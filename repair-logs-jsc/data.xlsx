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بيانات الآليات " sheetId="1" state="visible" r:id="rId3"/>
    <sheet name="بنود أعمال الصيانة" sheetId="2" state="visible" r:id="rId4"/>
    <sheet name="بنود أعمال الصيانة (معدل)" sheetId="3" state="visible" r:id="rId5"/>
    <sheet name="سجل الصيانة" sheetId="4" state="visible" r:id="rId6"/>
  </sheets>
  <definedNames>
    <definedName function="false" hidden="true" localSheetId="0" name="_xlnm._FilterDatabase" vbProcedure="false">'بيانات الآليات '!$A$1:$I$41</definedName>
    <definedName function="false" hidden="true" localSheetId="3" name="_xlnm._FilterDatabase" vbProcedure="false">'سجل الصيانة'!$A$1:$Q$712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<sst xmlns="http://schemas.openxmlformats.org/spreadsheetml/2006/main" count="1523" uniqueCount="495">
  <si>
    <t xml:space="preserve">vehicle_code</t>
  </si>
  <si>
    <t xml:space="preserve">licence_number</t>
  </si>
  <si>
    <t xml:space="preserve">vehicle_type_en</t>
  </si>
  <si>
    <t xml:space="preserve">vehicle_type_ar</t>
  </si>
  <si>
    <t xml:space="preserve">vehicle_model_en</t>
  </si>
  <si>
    <t xml:space="preserve">vehicle_model_ar</t>
  </si>
  <si>
    <t xml:space="preserve">vehicle_dept</t>
  </si>
  <si>
    <t xml:space="preserve">vehicle_state</t>
  </si>
  <si>
    <t xml:space="preserve">Notes</t>
  </si>
  <si>
    <t xml:space="preserve">Backhoe Loader</t>
  </si>
  <si>
    <t xml:space="preserve">حفار</t>
  </si>
  <si>
    <r>
      <rPr>
        <sz val="11"/>
        <color rgb="FF000000"/>
        <rFont val="Calibri"/>
        <family val="2"/>
        <charset val="1"/>
      </rPr>
      <t xml:space="preserve">Caterpillar 428F, </t>
    </r>
    <r>
      <rPr>
        <b val="true"/>
        <u val="single"/>
        <sz val="11"/>
        <color rgb="FF000000"/>
        <rFont val="Calibri"/>
        <family val="2"/>
        <charset val="1"/>
      </rPr>
      <t xml:space="preserve">2018</t>
    </r>
  </si>
  <si>
    <r>
      <rPr>
        <sz val="11"/>
        <color rgb="FF000000"/>
        <rFont val="Noto Sans Devanagari"/>
        <family val="2"/>
        <charset val="1"/>
      </rPr>
      <t xml:space="preserve">كاتربيلر </t>
    </r>
    <r>
      <rPr>
        <sz val="11"/>
        <color rgb="FF000000"/>
        <rFont val="Calibri"/>
        <family val="2"/>
        <charset val="1"/>
      </rPr>
      <t xml:space="preserve">428F</t>
    </r>
    <r>
      <rPr>
        <sz val="11"/>
        <color rgb="FF000000"/>
        <rFont val="Noto Sans Devanagari"/>
        <family val="2"/>
        <charset val="1"/>
      </rPr>
      <t xml:space="preserve">، موديل </t>
    </r>
    <r>
      <rPr>
        <sz val="11"/>
        <color rgb="FF000000"/>
        <rFont val="Calibri"/>
        <family val="2"/>
        <charset val="1"/>
      </rPr>
      <t xml:space="preserve">2018</t>
    </r>
  </si>
  <si>
    <t xml:space="preserve">قسم محافظة الوسطى</t>
  </si>
  <si>
    <t xml:space="preserve">تعمل</t>
  </si>
  <si>
    <t xml:space="preserve">قسم محافظة خانيونس</t>
  </si>
  <si>
    <t xml:space="preserve">مدمرة</t>
  </si>
  <si>
    <t xml:space="preserve">Administration Dept.</t>
  </si>
  <si>
    <t xml:space="preserve">آلية حركة</t>
  </si>
  <si>
    <r>
      <rPr>
        <sz val="11"/>
        <color rgb="FF000000"/>
        <rFont val="Calibri"/>
        <family val="2"/>
        <charset val="1"/>
      </rPr>
      <t xml:space="preserve">Hyundai H1, </t>
    </r>
    <r>
      <rPr>
        <b val="true"/>
        <u val="single"/>
        <sz val="11"/>
        <color rgb="FF000000"/>
        <rFont val="Calibri"/>
        <family val="2"/>
        <charset val="1"/>
      </rPr>
      <t xml:space="preserve">2016</t>
    </r>
  </si>
  <si>
    <r>
      <rPr>
        <sz val="11"/>
        <color rgb="FF000000"/>
        <rFont val="Noto Sans Devanagari"/>
        <family val="2"/>
        <charset val="1"/>
      </rPr>
      <t xml:space="preserve">هيونداي </t>
    </r>
    <r>
      <rPr>
        <sz val="11"/>
        <color rgb="FF000000"/>
        <rFont val="Calibri"/>
        <family val="2"/>
        <charset val="1"/>
      </rPr>
      <t xml:space="preserve">H1</t>
    </r>
    <r>
      <rPr>
        <sz val="11"/>
        <color rgb="FF000000"/>
        <rFont val="Noto Sans Devanagari"/>
        <family val="2"/>
        <charset val="1"/>
      </rPr>
      <t xml:space="preserve">، موديل </t>
    </r>
    <r>
      <rPr>
        <sz val="11"/>
        <color rgb="FF000000"/>
        <rFont val="Calibri"/>
        <family val="2"/>
        <charset val="1"/>
      </rPr>
      <t xml:space="preserve">2016</t>
    </r>
  </si>
  <si>
    <t xml:space="preserve">Compactor</t>
  </si>
  <si>
    <t xml:space="preserve">ضاغطة نفايات</t>
  </si>
  <si>
    <r>
      <rPr>
        <sz val="11"/>
        <color rgb="FF000000"/>
        <rFont val="Calibri"/>
        <family val="2"/>
        <charset val="1"/>
      </rPr>
      <t xml:space="preserve">Iveco ML180E28, </t>
    </r>
    <r>
      <rPr>
        <b val="true"/>
        <u val="single"/>
        <sz val="11"/>
        <color rgb="FF000000"/>
        <rFont val="Calibri"/>
        <family val="2"/>
        <charset val="1"/>
      </rPr>
      <t xml:space="preserve">2022</t>
    </r>
  </si>
  <si>
    <r>
      <rPr>
        <sz val="11"/>
        <color rgb="FF000000"/>
        <rFont val="Noto Sans Devanagari"/>
        <family val="2"/>
        <charset val="1"/>
      </rPr>
      <t xml:space="preserve">إيفيكو </t>
    </r>
    <r>
      <rPr>
        <sz val="11"/>
        <color rgb="FF000000"/>
        <rFont val="Calibri"/>
        <family val="2"/>
        <charset val="1"/>
      </rPr>
      <t xml:space="preserve">ML180E28</t>
    </r>
    <r>
      <rPr>
        <sz val="11"/>
        <color rgb="FF000000"/>
        <rFont val="Noto Sans Devanagari"/>
        <family val="2"/>
        <charset val="1"/>
      </rPr>
      <t xml:space="preserve">، موديل </t>
    </r>
    <r>
      <rPr>
        <sz val="11"/>
        <color rgb="FF000000"/>
        <rFont val="Calibri"/>
        <family val="2"/>
        <charset val="1"/>
      </rPr>
      <t xml:space="preserve">2022</t>
    </r>
  </si>
  <si>
    <t xml:space="preserve">لا تعمل</t>
  </si>
  <si>
    <r>
      <rPr>
        <sz val="11"/>
        <color rgb="FF000000"/>
        <rFont val="Calibri"/>
        <family val="2"/>
        <charset val="1"/>
      </rPr>
      <t xml:space="preserve">KIA Sportage, </t>
    </r>
    <r>
      <rPr>
        <b val="true"/>
        <u val="single"/>
        <sz val="11"/>
        <color rgb="FF000000"/>
        <rFont val="Calibri"/>
        <family val="2"/>
        <charset val="1"/>
      </rPr>
      <t xml:space="preserve">2016</t>
    </r>
  </si>
  <si>
    <r>
      <rPr>
        <sz val="11"/>
        <color rgb="FF000000"/>
        <rFont val="Noto Sans Devanagari"/>
        <family val="2"/>
        <charset val="1"/>
      </rPr>
      <t xml:space="preserve">كيا سبورتاج، موديل </t>
    </r>
    <r>
      <rPr>
        <sz val="11"/>
        <color rgb="FF000000"/>
        <rFont val="Calibri"/>
        <family val="2"/>
        <charset val="1"/>
      </rPr>
      <t xml:space="preserve">2016</t>
    </r>
  </si>
  <si>
    <t xml:space="preserve">Medical Waste Collection </t>
  </si>
  <si>
    <t xml:space="preserve">آلية جمع نفايات طبية</t>
  </si>
  <si>
    <r>
      <rPr>
        <sz val="11"/>
        <color rgb="FF000000"/>
        <rFont val="Calibri"/>
        <family val="2"/>
        <charset val="1"/>
      </rPr>
      <t xml:space="preserve">Mercedes-Benz Sprinter, </t>
    </r>
    <r>
      <rPr>
        <b val="true"/>
        <u val="single"/>
        <sz val="11"/>
        <color rgb="FF000000"/>
        <rFont val="Calibri"/>
        <family val="2"/>
        <charset val="1"/>
      </rPr>
      <t xml:space="preserve">2011</t>
    </r>
  </si>
  <si>
    <r>
      <rPr>
        <sz val="11"/>
        <color rgb="FF000000"/>
        <rFont val="Noto Sans Devanagari"/>
        <family val="2"/>
        <charset val="1"/>
      </rPr>
      <t xml:space="preserve">مرسيدس بنز سبرينتر، موديل </t>
    </r>
    <r>
      <rPr>
        <sz val="11"/>
        <color rgb="FF000000"/>
        <rFont val="Calibri"/>
        <family val="2"/>
        <charset val="1"/>
      </rPr>
      <t xml:space="preserve">2011</t>
    </r>
  </si>
  <si>
    <t xml:space="preserve">قسم الطبية</t>
  </si>
  <si>
    <r>
      <rPr>
        <sz val="11"/>
        <color rgb="FF000000"/>
        <rFont val="Calibri"/>
        <family val="2"/>
        <charset val="1"/>
      </rPr>
      <t xml:space="preserve">Mitsubishi L200, </t>
    </r>
    <r>
      <rPr>
        <b val="true"/>
        <u val="single"/>
        <sz val="11"/>
        <color rgb="FF000000"/>
        <rFont val="Calibri"/>
        <family val="2"/>
        <charset val="1"/>
      </rPr>
      <t xml:space="preserve">2018</t>
    </r>
  </si>
  <si>
    <r>
      <rPr>
        <sz val="11"/>
        <color rgb="FF000000"/>
        <rFont val="Noto Sans Devanagari"/>
        <family val="2"/>
        <charset val="1"/>
      </rPr>
      <t xml:space="preserve">ميتسوبيشي </t>
    </r>
    <r>
      <rPr>
        <sz val="11"/>
        <color rgb="FF000000"/>
        <rFont val="Calibri"/>
        <family val="2"/>
        <charset val="1"/>
      </rPr>
      <t xml:space="preserve">L200</t>
    </r>
    <r>
      <rPr>
        <sz val="11"/>
        <color rgb="FF000000"/>
        <rFont val="Noto Sans Devanagari"/>
        <family val="2"/>
        <charset val="1"/>
      </rPr>
      <t xml:space="preserve">، موديل </t>
    </r>
    <r>
      <rPr>
        <sz val="11"/>
        <color rgb="FF000000"/>
        <rFont val="Calibri"/>
        <family val="2"/>
        <charset val="1"/>
      </rPr>
      <t xml:space="preserve">2018</t>
    </r>
  </si>
  <si>
    <t xml:space="preserve">Tipper Crane</t>
  </si>
  <si>
    <t xml:space="preserve">رافعة قلاب</t>
  </si>
  <si>
    <r>
      <rPr>
        <sz val="11"/>
        <color rgb="FF000000"/>
        <rFont val="Calibri"/>
        <family val="2"/>
        <charset val="1"/>
      </rPr>
      <t xml:space="preserve">Renault DXI280, </t>
    </r>
    <r>
      <rPr>
        <b val="true"/>
        <u val="single"/>
        <sz val="11"/>
        <color rgb="FF000000"/>
        <rFont val="Calibri"/>
        <family val="2"/>
        <charset val="1"/>
      </rPr>
      <t xml:space="preserve">2008</t>
    </r>
  </si>
  <si>
    <r>
      <rPr>
        <sz val="11"/>
        <color rgb="FF000000"/>
        <rFont val="Noto Sans Devanagari"/>
        <family val="2"/>
        <charset val="1"/>
      </rPr>
      <t xml:space="preserve">رينو </t>
    </r>
    <r>
      <rPr>
        <sz val="11"/>
        <color rgb="FF000000"/>
        <rFont val="Calibri"/>
        <family val="2"/>
        <charset val="1"/>
      </rPr>
      <t xml:space="preserve">DXI280</t>
    </r>
    <r>
      <rPr>
        <sz val="11"/>
        <color rgb="FF000000"/>
        <rFont val="Noto Sans Devanagari"/>
        <family val="2"/>
        <charset val="1"/>
      </rPr>
      <t xml:space="preserve">، موديل </t>
    </r>
    <r>
      <rPr>
        <sz val="11"/>
        <color rgb="FF000000"/>
        <rFont val="Calibri"/>
        <family val="2"/>
        <charset val="1"/>
      </rPr>
      <t xml:space="preserve">2008</t>
    </r>
  </si>
  <si>
    <r>
      <rPr>
        <sz val="11"/>
        <color rgb="FF000000"/>
        <rFont val="Noto Sans Devanagari"/>
        <family val="2"/>
        <charset val="1"/>
      </rPr>
      <t xml:space="preserve">رينو </t>
    </r>
    <r>
      <rPr>
        <sz val="11"/>
        <color rgb="FF000000"/>
        <rFont val="Calibri"/>
        <family val="2"/>
        <charset val="1"/>
      </rPr>
      <t xml:space="preserve">DXI280 </t>
    </r>
    <r>
      <rPr>
        <sz val="11"/>
        <color rgb="FF000000"/>
        <rFont val="Noto Sans Devanagari"/>
        <family val="2"/>
        <charset val="1"/>
      </rPr>
      <t xml:space="preserve">موديل </t>
    </r>
    <r>
      <rPr>
        <sz val="11"/>
        <color rgb="FF000000"/>
        <rFont val="Calibri"/>
        <family val="2"/>
        <charset val="1"/>
      </rPr>
      <t xml:space="preserve">2008</t>
    </r>
  </si>
  <si>
    <t xml:space="preserve">قسم المكب</t>
  </si>
  <si>
    <t xml:space="preserve">0021</t>
  </si>
  <si>
    <r>
      <rPr>
        <sz val="11"/>
        <color rgb="FF000000"/>
        <rFont val="Calibri"/>
        <family val="2"/>
        <charset val="1"/>
      </rPr>
      <t xml:space="preserve">Toyota Hilux, </t>
    </r>
    <r>
      <rPr>
        <b val="true"/>
        <u val="single"/>
        <sz val="11"/>
        <color rgb="FF000000"/>
        <rFont val="Calibri"/>
        <family val="2"/>
        <charset val="1"/>
      </rPr>
      <t xml:space="preserve">2010</t>
    </r>
  </si>
  <si>
    <r>
      <rPr>
        <sz val="11"/>
        <color rgb="FF000000"/>
        <rFont val="Noto Sans Devanagari"/>
        <family val="2"/>
        <charset val="1"/>
      </rPr>
      <t xml:space="preserve">تويوتا هايلكس موديل </t>
    </r>
    <r>
      <rPr>
        <sz val="11"/>
        <color rgb="FF000000"/>
        <rFont val="Calibri"/>
        <family val="2"/>
        <charset val="1"/>
      </rPr>
      <t xml:space="preserve">2010</t>
    </r>
  </si>
  <si>
    <r>
      <rPr>
        <sz val="11"/>
        <color rgb="FF000000"/>
        <rFont val="Calibri"/>
        <family val="2"/>
        <charset val="1"/>
      </rPr>
      <t xml:space="preserve">Volkswagens T4, </t>
    </r>
    <r>
      <rPr>
        <b val="true"/>
        <u val="single"/>
        <sz val="11"/>
        <color rgb="FF000000"/>
        <rFont val="Calibri"/>
        <family val="2"/>
        <charset val="1"/>
      </rPr>
      <t xml:space="preserve">1995</t>
    </r>
  </si>
  <si>
    <r>
      <rPr>
        <sz val="11"/>
        <color rgb="FF000000"/>
        <rFont val="Noto Sans Devanagari"/>
        <family val="2"/>
        <charset val="1"/>
      </rPr>
      <t xml:space="preserve">فولكس فاجن </t>
    </r>
    <r>
      <rPr>
        <sz val="11"/>
        <color rgb="FF000000"/>
        <rFont val="Calibri"/>
        <family val="2"/>
        <charset val="1"/>
      </rPr>
      <t xml:space="preserve">T4 </t>
    </r>
    <r>
      <rPr>
        <sz val="11"/>
        <color rgb="FF000000"/>
        <rFont val="Noto Sans Devanagari"/>
        <family val="2"/>
        <charset val="1"/>
      </rPr>
      <t xml:space="preserve">موديل </t>
    </r>
    <r>
      <rPr>
        <sz val="11"/>
        <color rgb="FF000000"/>
        <rFont val="Calibri"/>
        <family val="2"/>
        <charset val="1"/>
      </rPr>
      <t xml:space="preserve">1995</t>
    </r>
  </si>
  <si>
    <r>
      <rPr>
        <sz val="11"/>
        <color rgb="FF000000"/>
        <rFont val="Calibri"/>
        <family val="2"/>
        <charset val="1"/>
      </rPr>
      <t xml:space="preserve">Volvo FL 619, </t>
    </r>
    <r>
      <rPr>
        <b val="true"/>
        <u val="single"/>
        <sz val="11"/>
        <color rgb="FF000000"/>
        <rFont val="Calibri"/>
        <family val="2"/>
        <charset val="1"/>
      </rPr>
      <t xml:space="preserve">1995</t>
    </r>
  </si>
  <si>
    <r>
      <rPr>
        <sz val="11"/>
        <color rgb="FF000000"/>
        <rFont val="Noto Sans Devanagari"/>
        <family val="2"/>
        <charset val="1"/>
      </rPr>
      <t xml:space="preserve">فولفو </t>
    </r>
    <r>
      <rPr>
        <sz val="11"/>
        <color rgb="FF000000"/>
        <rFont val="Calibri"/>
        <family val="2"/>
        <charset val="1"/>
      </rPr>
      <t xml:space="preserve">FL 619 </t>
    </r>
    <r>
      <rPr>
        <sz val="11"/>
        <color rgb="FF000000"/>
        <rFont val="Noto Sans Devanagari"/>
        <family val="2"/>
        <charset val="1"/>
      </rPr>
      <t xml:space="preserve">موديل </t>
    </r>
    <r>
      <rPr>
        <sz val="11"/>
        <color rgb="FF000000"/>
        <rFont val="Calibri"/>
        <family val="2"/>
        <charset val="1"/>
      </rPr>
      <t xml:space="preserve">1995</t>
    </r>
  </si>
  <si>
    <t xml:space="preserve">Tipper Truck</t>
  </si>
  <si>
    <t xml:space="preserve">شاحنة قلاب</t>
  </si>
  <si>
    <r>
      <rPr>
        <sz val="11"/>
        <color rgb="FF000000"/>
        <rFont val="Calibri"/>
        <family val="2"/>
        <charset val="1"/>
      </rPr>
      <t xml:space="preserve">Volvo FM 64R, </t>
    </r>
    <r>
      <rPr>
        <b val="true"/>
        <u val="single"/>
        <sz val="11"/>
        <color rgb="FF000000"/>
        <rFont val="Calibri"/>
        <family val="2"/>
        <charset val="1"/>
      </rPr>
      <t xml:space="preserve">2018</t>
    </r>
  </si>
  <si>
    <r>
      <rPr>
        <sz val="11"/>
        <color rgb="FF000000"/>
        <rFont val="Noto Sans Devanagari"/>
        <family val="2"/>
        <charset val="1"/>
      </rPr>
      <t xml:space="preserve">فولفو </t>
    </r>
    <r>
      <rPr>
        <sz val="11"/>
        <color rgb="FF000000"/>
        <rFont val="Calibri"/>
        <family val="2"/>
        <charset val="1"/>
      </rPr>
      <t xml:space="preserve">FM 64R </t>
    </r>
    <r>
      <rPr>
        <sz val="11"/>
        <color rgb="FF000000"/>
        <rFont val="Noto Sans Devanagari"/>
        <family val="2"/>
        <charset val="1"/>
      </rPr>
      <t xml:space="preserve">موديل </t>
    </r>
    <r>
      <rPr>
        <sz val="11"/>
        <color rgb="FF000000"/>
        <rFont val="Calibri"/>
        <family val="2"/>
        <charset val="1"/>
      </rPr>
      <t xml:space="preserve">2018</t>
    </r>
  </si>
  <si>
    <t xml:space="preserve">Vacuum Jetter</t>
  </si>
  <si>
    <t xml:space="preserve">كاسحة مجاري</t>
  </si>
  <si>
    <r>
      <rPr>
        <sz val="11"/>
        <color rgb="FF000000"/>
        <rFont val="Calibri"/>
        <family val="2"/>
        <charset val="1"/>
      </rPr>
      <t xml:space="preserve">Volvo-FM64R, </t>
    </r>
    <r>
      <rPr>
        <b val="true"/>
        <u val="single"/>
        <sz val="11"/>
        <color rgb="FF000000"/>
        <rFont val="Calibri"/>
        <family val="2"/>
        <charset val="1"/>
      </rPr>
      <t xml:space="preserve">2016</t>
    </r>
  </si>
  <si>
    <r>
      <rPr>
        <sz val="11"/>
        <color rgb="FF000000"/>
        <rFont val="Noto Sans Devanagari"/>
        <family val="2"/>
        <charset val="1"/>
      </rPr>
      <t xml:space="preserve">فولفو</t>
    </r>
    <r>
      <rPr>
        <sz val="11"/>
        <color rgb="FF000000"/>
        <rFont val="Calibri"/>
        <family val="2"/>
        <charset val="1"/>
      </rPr>
      <t xml:space="preserve">-FM64R </t>
    </r>
    <r>
      <rPr>
        <sz val="11"/>
        <color rgb="FF000000"/>
        <rFont val="Noto Sans Devanagari"/>
        <family val="2"/>
        <charset val="1"/>
      </rPr>
      <t xml:space="preserve">موديل </t>
    </r>
    <r>
      <rPr>
        <sz val="11"/>
        <color rgb="FF000000"/>
        <rFont val="Calibri"/>
        <family val="2"/>
        <charset val="1"/>
      </rPr>
      <t xml:space="preserve">2016</t>
    </r>
  </si>
  <si>
    <r>
      <rPr>
        <sz val="11"/>
        <color rgb="FF000000"/>
        <rFont val="Noto Sans Devanagari"/>
        <family val="2"/>
        <charset val="1"/>
      </rPr>
      <t xml:space="preserve">فولفو</t>
    </r>
    <r>
      <rPr>
        <sz val="11"/>
        <color rgb="FF000000"/>
        <rFont val="Calibri"/>
        <family val="2"/>
        <charset val="1"/>
      </rPr>
      <t xml:space="preserve">-FM64R</t>
    </r>
    <r>
      <rPr>
        <sz val="11"/>
        <color rgb="FF000000"/>
        <rFont val="Noto Sans Devanagari"/>
        <family val="2"/>
        <charset val="1"/>
      </rPr>
      <t xml:space="preserve">، الموديل ٢٠١٦</t>
    </r>
  </si>
  <si>
    <r>
      <rPr>
        <sz val="11"/>
        <color rgb="FF000000"/>
        <rFont val="Noto Sans Devanagari"/>
        <family val="2"/>
        <charset val="1"/>
      </rPr>
      <t xml:space="preserve">فولفو </t>
    </r>
    <r>
      <rPr>
        <sz val="11"/>
        <color rgb="FF000000"/>
        <rFont val="Calibri"/>
        <family val="2"/>
        <charset val="1"/>
      </rPr>
      <t xml:space="preserve">FM64R</t>
    </r>
    <r>
      <rPr>
        <sz val="11"/>
        <color rgb="FF000000"/>
        <rFont val="Noto Sans Devanagari"/>
        <family val="2"/>
        <charset val="1"/>
      </rPr>
      <t xml:space="preserve">، موديل ٢٠١٦</t>
    </r>
  </si>
  <si>
    <t xml:space="preserve">Roll on/off</t>
  </si>
  <si>
    <r>
      <rPr>
        <sz val="11"/>
        <color rgb="FF000000"/>
        <rFont val="Noto Sans Devanagari"/>
        <family val="2"/>
        <charset val="1"/>
      </rPr>
      <t xml:space="preserve">رمثة </t>
    </r>
    <r>
      <rPr>
        <sz val="11"/>
        <color rgb="FF000000"/>
        <rFont val="Calibri"/>
        <family val="2"/>
        <charset val="1"/>
      </rPr>
      <t xml:space="preserve">- </t>
    </r>
    <r>
      <rPr>
        <sz val="11"/>
        <color rgb="FF000000"/>
        <rFont val="Noto Sans Devanagari"/>
        <family val="2"/>
        <charset val="1"/>
      </rPr>
      <t xml:space="preserve">شاحنة كبيرة</t>
    </r>
  </si>
  <si>
    <r>
      <rPr>
        <sz val="11"/>
        <color rgb="FF000000"/>
        <rFont val="Calibri"/>
        <family val="2"/>
        <charset val="1"/>
      </rPr>
      <t xml:space="preserve">Volvo-FM84FR, </t>
    </r>
    <r>
      <rPr>
        <b val="true"/>
        <u val="single"/>
        <sz val="11"/>
        <color rgb="FF000000"/>
        <rFont val="Calibri"/>
        <family val="2"/>
        <charset val="1"/>
      </rPr>
      <t xml:space="preserve">2016</t>
    </r>
  </si>
  <si>
    <r>
      <rPr>
        <sz val="11"/>
        <color rgb="FF000000"/>
        <rFont val="Noto Sans Devanagari"/>
        <family val="2"/>
        <charset val="1"/>
      </rPr>
      <t xml:space="preserve">فولفو </t>
    </r>
    <r>
      <rPr>
        <sz val="11"/>
        <color rgb="FF000000"/>
        <rFont val="Calibri"/>
        <family val="2"/>
        <charset val="1"/>
      </rPr>
      <t xml:space="preserve">FM84FR</t>
    </r>
    <r>
      <rPr>
        <sz val="11"/>
        <color rgb="FF000000"/>
        <rFont val="Noto Sans Devanagari"/>
        <family val="2"/>
        <charset val="1"/>
      </rPr>
      <t xml:space="preserve">، موديل ٢٠١٦</t>
    </r>
  </si>
  <si>
    <t xml:space="preserve">Bulldozer</t>
  </si>
  <si>
    <t xml:space="preserve">بلدوزر</t>
  </si>
  <si>
    <t xml:space="preserve">Bulldozer Caterillar DBR</t>
  </si>
  <si>
    <r>
      <rPr>
        <sz val="11"/>
        <color rgb="FF000000"/>
        <rFont val="Noto Sans Devanagari"/>
        <family val="2"/>
        <charset val="1"/>
      </rPr>
      <t xml:space="preserve">كاتربيلر </t>
    </r>
    <r>
      <rPr>
        <sz val="11"/>
        <color rgb="FF000000"/>
        <rFont val="Calibri"/>
        <family val="2"/>
        <charset val="1"/>
      </rPr>
      <t xml:space="preserve">DBR</t>
    </r>
    <r>
      <rPr>
        <sz val="11"/>
        <color rgb="FF000000"/>
        <rFont val="Noto Sans Devanagari"/>
        <family val="2"/>
        <charset val="1"/>
      </rPr>
      <t xml:space="preserve">، موديل ٢٠١٨</t>
    </r>
  </si>
  <si>
    <t xml:space="preserve">Weel Loader </t>
  </si>
  <si>
    <t xml:space="preserve">كباش</t>
  </si>
  <si>
    <t xml:space="preserve">Weel Loader Caterpillar 950L</t>
  </si>
  <si>
    <r>
      <rPr>
        <sz val="11"/>
        <color rgb="FF000000"/>
        <rFont val="Noto Sans Devanagari"/>
        <family val="2"/>
        <charset val="1"/>
      </rPr>
      <t xml:space="preserve">لودر كاتربيلر </t>
    </r>
    <r>
      <rPr>
        <sz val="11"/>
        <color rgb="FF000000"/>
        <rFont val="Calibri"/>
        <family val="2"/>
        <charset val="1"/>
      </rPr>
      <t xml:space="preserve">950L</t>
    </r>
    <r>
      <rPr>
        <sz val="11"/>
        <color rgb="FF000000"/>
        <rFont val="Noto Sans Devanagari"/>
        <family val="2"/>
        <charset val="1"/>
      </rPr>
      <t xml:space="preserve">، موديل ٢٠١٨</t>
    </r>
  </si>
  <si>
    <t xml:space="preserve">Landfill Compactors</t>
  </si>
  <si>
    <r>
      <rPr>
        <sz val="11"/>
        <color rgb="FF000000"/>
        <rFont val="Noto Sans Devanagari"/>
        <family val="2"/>
        <charset val="1"/>
      </rPr>
      <t xml:space="preserve">مكب نفايات </t>
    </r>
    <r>
      <rPr>
        <sz val="11"/>
        <color rgb="FF000000"/>
        <rFont val="Calibri"/>
        <family val="2"/>
        <charset val="1"/>
      </rPr>
      <t xml:space="preserve">- </t>
    </r>
    <r>
      <rPr>
        <sz val="11"/>
        <color rgb="FF000000"/>
        <rFont val="Noto Sans Devanagari"/>
        <family val="2"/>
        <charset val="1"/>
      </rPr>
      <t xml:space="preserve">ضاغطة</t>
    </r>
  </si>
  <si>
    <t xml:space="preserve">Landfill Compactors Caterpillar 826k</t>
  </si>
  <si>
    <r>
      <rPr>
        <sz val="11"/>
        <color rgb="FF000000"/>
        <rFont val="Noto Sans Devanagari"/>
        <family val="2"/>
        <charset val="1"/>
      </rPr>
      <t xml:space="preserve">كاتربيلر </t>
    </r>
    <r>
      <rPr>
        <sz val="11"/>
        <color rgb="FF000000"/>
        <rFont val="Calibri"/>
        <family val="2"/>
        <charset val="1"/>
      </rPr>
      <t xml:space="preserve">826k</t>
    </r>
    <r>
      <rPr>
        <sz val="11"/>
        <color rgb="FF000000"/>
        <rFont val="Noto Sans Devanagari"/>
        <family val="2"/>
        <charset val="1"/>
      </rPr>
      <t xml:space="preserve">، موديل ٢٠١٨</t>
    </r>
  </si>
  <si>
    <t xml:space="preserve">SkidSteer Loader</t>
  </si>
  <si>
    <t xml:space="preserve">بوبكات</t>
  </si>
  <si>
    <t xml:space="preserve">SkidSteer Loader CAT 232D</t>
  </si>
  <si>
    <r>
      <rPr>
        <sz val="11"/>
        <color rgb="FF000000"/>
        <rFont val="Noto Sans Devanagari"/>
        <family val="2"/>
        <charset val="1"/>
      </rPr>
      <t xml:space="preserve">كاتربيلر </t>
    </r>
    <r>
      <rPr>
        <sz val="11"/>
        <color rgb="FF000000"/>
        <rFont val="Calibri"/>
        <family val="2"/>
        <charset val="1"/>
      </rPr>
      <t xml:space="preserve">232D</t>
    </r>
    <r>
      <rPr>
        <sz val="11"/>
        <color rgb="FF000000"/>
        <rFont val="Noto Sans Devanagari"/>
        <family val="2"/>
        <charset val="1"/>
      </rPr>
      <t xml:space="preserve">، موديل ٢٠١٨</t>
    </r>
  </si>
  <si>
    <t xml:space="preserve">#</t>
  </si>
  <si>
    <t xml:space="preserve">اسم البند</t>
  </si>
  <si>
    <t xml:space="preserve"> Description</t>
  </si>
  <si>
    <t xml:space="preserve">UOM</t>
  </si>
  <si>
    <t xml:space="preserve">Qty</t>
  </si>
  <si>
    <r>
      <rPr>
        <b val="true"/>
        <sz val="11"/>
        <color theme="1"/>
        <rFont val="Calibri"/>
        <family val="2"/>
        <charset val="1"/>
      </rPr>
      <t xml:space="preserve">Service Cost </t>
    </r>
    <r>
      <rPr>
        <b val="true"/>
        <sz val="11"/>
        <color rgb="FFFFFF00"/>
        <rFont val="Calibri"/>
        <family val="2"/>
        <charset val="1"/>
      </rPr>
      <t xml:space="preserve">(US$)</t>
    </r>
  </si>
  <si>
    <t xml:space="preserve">1</t>
  </si>
  <si>
    <t xml:space="preserve">إصلاحات محرك</t>
  </si>
  <si>
    <t xml:space="preserve">Engine Repairs</t>
  </si>
  <si>
    <t xml:space="preserve">1.1</t>
  </si>
  <si>
    <t xml:space="preserve">منظم ضغط العادم</t>
  </si>
  <si>
    <t xml:space="preserve">EPG</t>
  </si>
  <si>
    <t xml:space="preserve">NO</t>
  </si>
  <si>
    <t xml:space="preserve">1.2</t>
  </si>
  <si>
    <t xml:space="preserve">مصحة سولار</t>
  </si>
  <si>
    <t xml:space="preserve">FUEL PUMP</t>
  </si>
  <si>
    <t xml:space="preserve">1.3</t>
  </si>
  <si>
    <t xml:space="preserve">تيوم تشارجر</t>
  </si>
  <si>
    <t xml:space="preserve">Turbocharger</t>
  </si>
  <si>
    <t xml:space="preserve">1.4</t>
  </si>
  <si>
    <t xml:space="preserve">استبدال بخاخ</t>
  </si>
  <si>
    <t xml:space="preserve">injector replacements</t>
  </si>
  <si>
    <t xml:space="preserve">set</t>
  </si>
  <si>
    <t xml:space="preserve">1.5</t>
  </si>
  <si>
    <t xml:space="preserve">تنظيف أو تبديل فلتر العادم</t>
  </si>
  <si>
    <t xml:space="preserve">DPF cleaning/replacement</t>
  </si>
  <si>
    <t xml:space="preserve">1.6</t>
  </si>
  <si>
    <t xml:space="preserve">فلتر سولار</t>
  </si>
  <si>
    <t xml:space="preserve">Fuel Filter</t>
  </si>
  <si>
    <t xml:space="preserve">1.7</t>
  </si>
  <si>
    <t xml:space="preserve">فلتر ميابيش</t>
  </si>
  <si>
    <t xml:space="preserve">Air Dryer Filter</t>
  </si>
  <si>
    <t xml:space="preserve">1.8</t>
  </si>
  <si>
    <t xml:space="preserve">فلتر هواء</t>
  </si>
  <si>
    <t xml:space="preserve">AIR Filter</t>
  </si>
  <si>
    <t xml:space="preserve">1.9</t>
  </si>
  <si>
    <t xml:space="preserve">فلتر زيت أولي</t>
  </si>
  <si>
    <t xml:space="preserve">Primary Oil Filter</t>
  </si>
  <si>
    <t xml:space="preserve">1.10</t>
  </si>
  <si>
    <t xml:space="preserve">فلتر زيت ثانوي</t>
  </si>
  <si>
    <t xml:space="preserve">Secondary Oil Filter</t>
  </si>
  <si>
    <t xml:space="preserve">1.11</t>
  </si>
  <si>
    <t xml:space="preserve">فلتر مكيف</t>
  </si>
  <si>
    <t xml:space="preserve">A/C Filter</t>
  </si>
  <si>
    <t xml:space="preserve">1.12</t>
  </si>
  <si>
    <t xml:space="preserve">فلتر هيدروليك</t>
  </si>
  <si>
    <t xml:space="preserve">Hydraulic Filter</t>
  </si>
  <si>
    <t xml:space="preserve">1.13</t>
  </si>
  <si>
    <t xml:space="preserve">بكرة شداد التقسيمة</t>
  </si>
  <si>
    <t xml:space="preserve">Timing Belt Tensioner Pulley</t>
  </si>
  <si>
    <t xml:space="preserve">1.14</t>
  </si>
  <si>
    <t xml:space="preserve">بكرة تقسيمة</t>
  </si>
  <si>
    <t xml:space="preserve">Timing Belt Pulley / Camshaft Pulley</t>
  </si>
  <si>
    <t xml:space="preserve">1.15</t>
  </si>
  <si>
    <t xml:space="preserve">جلده دينامو</t>
  </si>
  <si>
    <t xml:space="preserve">Alternator Belt/V-Belt/Serpentine Belt</t>
  </si>
  <si>
    <t xml:space="preserve">1.16</t>
  </si>
  <si>
    <t xml:space="preserve">بكرة دينامو</t>
  </si>
  <si>
    <t xml:space="preserve">Alternator Pulley</t>
  </si>
  <si>
    <t xml:space="preserve">1.17</t>
  </si>
  <si>
    <t xml:space="preserve">قاعد فلتر ميابيش كاملة</t>
  </si>
  <si>
    <t xml:space="preserve">Complete Air Dryer Filter Base Assembly</t>
  </si>
  <si>
    <t xml:space="preserve">1.18</t>
  </si>
  <si>
    <t xml:space="preserve">منظم  </t>
  </si>
  <si>
    <t xml:space="preserve">Volvo Engine Brake Controller</t>
  </si>
  <si>
    <t xml:space="preserve">1.19</t>
  </si>
  <si>
    <t xml:space="preserve">انابيب توصيل داخلية</t>
  </si>
  <si>
    <t xml:space="preserve">Internal Connecting Pipes</t>
  </si>
  <si>
    <t xml:space="preserve">2</t>
  </si>
  <si>
    <t xml:space="preserve">نظام التبريد</t>
  </si>
  <si>
    <t xml:space="preserve">Cooling System</t>
  </si>
  <si>
    <t xml:space="preserve">2.1</t>
  </si>
  <si>
    <t xml:space="preserve">اصلاح راديتر</t>
  </si>
  <si>
    <t xml:space="preserve">Radiater repair</t>
  </si>
  <si>
    <t xml:space="preserve">2.2</t>
  </si>
  <si>
    <t xml:space="preserve">استبدال راديتر</t>
  </si>
  <si>
    <t xml:space="preserve">Radiater replacement</t>
  </si>
  <si>
    <t xml:space="preserve">2.3</t>
  </si>
  <si>
    <t xml:space="preserve">تيرموستات</t>
  </si>
  <si>
    <t xml:space="preserve">thermostat replacement</t>
  </si>
  <si>
    <t xml:space="preserve">2.4</t>
  </si>
  <si>
    <t xml:space="preserve">صيانة كلتش مروحة التبريد</t>
  </si>
  <si>
    <t xml:space="preserve">Cooling fan clutch service</t>
  </si>
  <si>
    <t xml:space="preserve">2.5</t>
  </si>
  <si>
    <t xml:space="preserve">مضحة مبرد</t>
  </si>
  <si>
    <t xml:space="preserve">Coolant Pump/Radiator Water Pump</t>
  </si>
  <si>
    <t xml:space="preserve">2.6</t>
  </si>
  <si>
    <t xml:space="preserve">استبدال خراطيم سائل التبريد</t>
  </si>
  <si>
    <t xml:space="preserve">Coolant hoses replacement</t>
  </si>
  <si>
    <t xml:space="preserve">3</t>
  </si>
  <si>
    <t xml:space="preserve">ناقل الحركة ونظام الدفع</t>
  </si>
  <si>
    <t xml:space="preserve">Transmission &amp; Drivetrain</t>
  </si>
  <si>
    <t xml:space="preserve">3.1</t>
  </si>
  <si>
    <t xml:space="preserve">اصلاح جير بكس</t>
  </si>
  <si>
    <t xml:space="preserve">Gearbox repairs</t>
  </si>
  <si>
    <t xml:space="preserve">3.2</t>
  </si>
  <si>
    <t xml:space="preserve">استبدال كلتش</t>
  </si>
  <si>
    <t xml:space="preserve">clutch replacement</t>
  </si>
  <si>
    <t xml:space="preserve">3.3</t>
  </si>
  <si>
    <t xml:space="preserve">التجديد دسك وكلتش</t>
  </si>
  <si>
    <t xml:space="preserve">clutch repaire</t>
  </si>
  <si>
    <t xml:space="preserve">3.4</t>
  </si>
  <si>
    <t xml:space="preserve">طرمبة كلتش علوية</t>
  </si>
  <si>
    <t xml:space="preserve">Clutch Master Cylinder-uper clutch pump</t>
  </si>
  <si>
    <t xml:space="preserve">3.5</t>
  </si>
  <si>
    <t xml:space="preserve">طرمبة كلتش سفلية</t>
  </si>
  <si>
    <t xml:space="preserve">Clutch Slave Cylinder-lower clutch pump</t>
  </si>
  <si>
    <t xml:space="preserve">صيانة عمود الكردان ووصلاته</t>
  </si>
  <si>
    <t xml:space="preserve">propeller shaft and U-joints service</t>
  </si>
  <si>
    <t xml:space="preserve">اصلاح الدفرنس أو علبة</t>
  </si>
  <si>
    <t xml:space="preserve">differential repairs</t>
  </si>
  <si>
    <t xml:space="preserve">3.6</t>
  </si>
  <si>
    <t xml:space="preserve">صيانة علبة التروس المساعدة</t>
  </si>
  <si>
    <t xml:space="preserve">PTO repairs</t>
  </si>
  <si>
    <t xml:space="preserve">3.7</t>
  </si>
  <si>
    <r>
      <rPr>
        <sz val="11"/>
        <color rgb="FF1F1F1F"/>
        <rFont val="Noto Sans Devanagari"/>
        <family val="2"/>
        <charset val="1"/>
      </rPr>
      <t xml:space="preserve">تلف الخبيزيكي </t>
    </r>
    <r>
      <rPr>
        <sz val="11"/>
        <color rgb="FF1F1F1F"/>
        <rFont val="Calibri"/>
        <family val="2"/>
        <charset val="1"/>
      </rPr>
      <t xml:space="preserve">(</t>
    </r>
    <r>
      <rPr>
        <sz val="11"/>
        <color rgb="FF1F1F1F"/>
        <rFont val="Noto Sans Devanagari"/>
        <family val="2"/>
        <charset val="1"/>
      </rPr>
      <t xml:space="preserve">صمام التغيير</t>
    </r>
    <r>
      <rPr>
        <sz val="11"/>
        <color rgb="FF1F1F1F"/>
        <rFont val="Calibri"/>
        <family val="2"/>
        <charset val="1"/>
      </rPr>
      <t xml:space="preserve">)</t>
    </r>
  </si>
  <si>
    <t xml:space="preserve">Transmission Control Valve</t>
  </si>
  <si>
    <t xml:space="preserve">3.8</t>
  </si>
  <si>
    <t xml:space="preserve">جمال درایف شافت</t>
  </si>
  <si>
    <t xml:space="preserve">Universal Joint (U-Joint) for Driveshaft</t>
  </si>
  <si>
    <t xml:space="preserve">3.9</t>
  </si>
  <si>
    <t xml:space="preserve">صليب عمود الشفط</t>
  </si>
  <si>
    <t xml:space="preserve">Propeller Shaft Carrier / Driveshaft Bearing Bracket</t>
  </si>
  <si>
    <t xml:space="preserve">4</t>
  </si>
  <si>
    <t xml:space="preserve">نظام التعليق والتوجيه</t>
  </si>
  <si>
    <t xml:space="preserve">Suspension &amp; Steering</t>
  </si>
  <si>
    <t xml:space="preserve">4.1</t>
  </si>
  <si>
    <t xml:space="preserve">استبدال يايات ورقية أو تغيير</t>
  </si>
  <si>
    <t xml:space="preserve">Leaf spring replacement</t>
  </si>
  <si>
    <t xml:space="preserve">4.2</t>
  </si>
  <si>
    <t xml:space="preserve">استبدال جوزة</t>
  </si>
  <si>
    <t xml:space="preserve">bushing replacement</t>
  </si>
  <si>
    <t xml:space="preserve">4.3</t>
  </si>
  <si>
    <t xml:space="preserve">تغيير رؤوس أذرع التوجيه</t>
  </si>
  <si>
    <t xml:space="preserve">tie rod ends</t>
  </si>
  <si>
    <t xml:space="preserve">4.4</t>
  </si>
  <si>
    <t xml:space="preserve">إصلاح مضخة الباور</t>
  </si>
  <si>
    <t xml:space="preserve">steering pump repairs</t>
  </si>
  <si>
    <t xml:space="preserve">4.5</t>
  </si>
  <si>
    <t xml:space="preserve">برغي عجل صمولة</t>
  </si>
  <si>
    <t xml:space="preserve">Wheel Bolt and Nut</t>
  </si>
  <si>
    <t xml:space="preserve">5</t>
  </si>
  <si>
    <t xml:space="preserve">نظام الفرامل</t>
  </si>
  <si>
    <t xml:space="preserve">Brake System</t>
  </si>
  <si>
    <t xml:space="preserve">5.1</t>
  </si>
  <si>
    <t xml:space="preserve">قرص فرامل</t>
  </si>
  <si>
    <t xml:space="preserve">Brake Disc/Rotor</t>
  </si>
  <si>
    <t xml:space="preserve">5.2</t>
  </si>
  <si>
    <t xml:space="preserve">سبيد باند</t>
  </si>
  <si>
    <t xml:space="preserve">Speed Band</t>
  </si>
  <si>
    <t xml:space="preserve">5.3</t>
  </si>
  <si>
    <t xml:space="preserve">حساس الفرامل</t>
  </si>
  <si>
    <t xml:space="preserve">ABS sensor replacement</t>
  </si>
  <si>
    <t xml:space="preserve">5.4</t>
  </si>
  <si>
    <r>
      <rPr>
        <sz val="11"/>
        <color rgb="FF1F1F1F"/>
        <rFont val="Noto Sans Devanagari"/>
        <family val="2"/>
        <charset val="1"/>
      </rPr>
      <t xml:space="preserve">طقم لقمد بريك </t>
    </r>
    <r>
      <rPr>
        <sz val="11"/>
        <color rgb="FF1F1F1F"/>
        <rFont val="Calibri"/>
        <family val="2"/>
        <charset val="1"/>
      </rPr>
      <t xml:space="preserve">4 </t>
    </r>
    <r>
      <rPr>
        <sz val="11"/>
        <color rgb="FF1F1F1F"/>
        <rFont val="Noto Sans Devanagari"/>
        <family val="2"/>
        <charset val="1"/>
      </rPr>
      <t xml:space="preserve">قطع خاص</t>
    </r>
  </si>
  <si>
    <t xml:space="preserve">Brake Pads/Brake Linings</t>
  </si>
  <si>
    <t xml:space="preserve">5.5</t>
  </si>
  <si>
    <t xml:space="preserve">صيانة كمبروسر الهواء</t>
  </si>
  <si>
    <t xml:space="preserve">Air compressor servicing</t>
  </si>
  <si>
    <t xml:space="preserve">5.7</t>
  </si>
  <si>
    <t xml:space="preserve">مجفف هواء</t>
  </si>
  <si>
    <t xml:space="preserve">Air Dryer</t>
  </si>
  <si>
    <t xml:space="preserve">5.8</t>
  </si>
  <si>
    <t xml:space="preserve">تلف فرامل خلفية</t>
  </si>
  <si>
    <t xml:space="preserve">Rear Brake Valve</t>
  </si>
  <si>
    <t xml:space="preserve">6</t>
  </si>
  <si>
    <t xml:space="preserve">الأعمال الكهربائية والبرمجة</t>
  </si>
  <si>
    <t xml:space="preserve">Electrical &amp; Programing</t>
  </si>
  <si>
    <t xml:space="preserve">6.1</t>
  </si>
  <si>
    <t xml:space="preserve">اصلاح ملف</t>
  </si>
  <si>
    <t xml:space="preserve">Starter motor repair</t>
  </si>
  <si>
    <t xml:space="preserve">6.2</t>
  </si>
  <si>
    <t xml:space="preserve">استبدال ملف</t>
  </si>
  <si>
    <t xml:space="preserve">Starter motor replacement</t>
  </si>
  <si>
    <t xml:space="preserve">6.3</t>
  </si>
  <si>
    <t xml:space="preserve">اصلاح دينمو</t>
  </si>
  <si>
    <t xml:space="preserve">alternator repair</t>
  </si>
  <si>
    <t xml:space="preserve">6.4</t>
  </si>
  <si>
    <t xml:space="preserve">استبدال دينمو</t>
  </si>
  <si>
    <t xml:space="preserve">alternator replacement</t>
  </si>
  <si>
    <t xml:space="preserve">6.5</t>
  </si>
  <si>
    <t xml:space="preserve">فحص مكتبات اعطال</t>
  </si>
  <si>
    <t xml:space="preserve">electrical circuit troubleshooting</t>
  </si>
  <si>
    <t xml:space="preserve">6.6</t>
  </si>
  <si>
    <t xml:space="preserve">التوصيل الداخلية</t>
  </si>
  <si>
    <t xml:space="preserve">Repair and replacement of damaged wiring harnesses</t>
  </si>
  <si>
    <t xml:space="preserve">6.7</t>
  </si>
  <si>
    <t xml:space="preserve">استبدال أنظمة الإضاءة</t>
  </si>
  <si>
    <t xml:space="preserve">replacement of lighting systems</t>
  </si>
  <si>
    <t xml:space="preserve">6.8</t>
  </si>
  <si>
    <t xml:space="preserve">اصلاح لوحة قيادة</t>
  </si>
  <si>
    <t xml:space="preserve">replacement dashboard instruments</t>
  </si>
  <si>
    <t xml:space="preserve">6.9</t>
  </si>
  <si>
    <t xml:space="preserve">اصلاح لوحة كهربائية</t>
  </si>
  <si>
    <t xml:space="preserve">control modules repair</t>
  </si>
  <si>
    <t xml:space="preserve">6.10</t>
  </si>
  <si>
    <t xml:space="preserve">استبدال لوحة كهربائية</t>
  </si>
  <si>
    <t xml:space="preserve">control modules replacement</t>
  </si>
  <si>
    <t xml:space="preserve">6.12</t>
  </si>
  <si>
    <t xml:space="preserve">فحص وبرمجة</t>
  </si>
  <si>
    <t xml:space="preserve">Diagnostic scanning and calibration for engine/electrical</t>
  </si>
  <si>
    <t xml:space="preserve">7</t>
  </si>
  <si>
    <t xml:space="preserve">الأعمال الهيدروليكية</t>
  </si>
  <si>
    <t xml:space="preserve">HYDRULIC</t>
  </si>
  <si>
    <t xml:space="preserve">7.1</t>
  </si>
  <si>
    <r>
      <rPr>
        <sz val="11"/>
        <color rgb="FF1F1F1F"/>
        <rFont val="Noto Sans Devanagari"/>
        <family val="2"/>
        <charset val="1"/>
      </rPr>
      <t xml:space="preserve">خرطوم هيدروليك </t>
    </r>
    <r>
      <rPr>
        <sz val="11"/>
        <color rgb="FF1F1F1F"/>
        <rFont val="Calibri"/>
        <family val="2"/>
        <charset val="1"/>
      </rPr>
      <t xml:space="preserve">3/4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</si>
  <si>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HYDRAULIC HOSE 3/4 inch, MANOLE OR EQUIV 2SN/R2T 280</t>
  </si>
  <si>
    <t xml:space="preserve">Meter</t>
  </si>
  <si>
    <t xml:space="preserve">7.2</t>
  </si>
  <si>
    <r>
      <rPr>
        <sz val="11"/>
        <color rgb="FF1F1F1F"/>
        <rFont val="Noto Sans Devanagari"/>
        <family val="2"/>
        <charset val="1"/>
      </rPr>
      <t xml:space="preserve">خرطوم هيدروليك </t>
    </r>
    <r>
      <rPr>
        <sz val="11"/>
        <color rgb="FF1F1F1F"/>
        <rFont val="Calibri"/>
        <family val="2"/>
        <charset val="1"/>
      </rPr>
      <t xml:space="preserve">3/8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</si>
  <si>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HYDRAULIC HOSE 3/8 inch, MANOLE OR EQUIV 2SN/R2T 330</t>
  </si>
  <si>
    <t xml:space="preserve">7.3</t>
  </si>
  <si>
    <r>
      <rPr>
        <sz val="11"/>
        <color rgb="FF1F1F1F"/>
        <rFont val="Noto Sans Devanagari"/>
        <family val="2"/>
        <charset val="1"/>
      </rPr>
      <t xml:space="preserve">خرطوم هيدروليك </t>
    </r>
    <r>
      <rPr>
        <sz val="11"/>
        <color rgb="FF1F1F1F"/>
        <rFont val="Calibri"/>
        <family val="2"/>
        <charset val="1"/>
      </rPr>
      <t xml:space="preserve">1/2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</si>
  <si>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HYDRAULIC HOSE 1/2 Inch, MANOLE OR EQUIV 2SN/R2T</t>
  </si>
  <si>
    <t xml:space="preserve">7.4</t>
  </si>
  <si>
    <r>
      <rPr>
        <sz val="11"/>
        <color rgb="FF1F1F1F"/>
        <rFont val="Noto Sans Devanagari"/>
        <family val="2"/>
        <charset val="1"/>
      </rPr>
      <t xml:space="preserve">كبسة تلبيج هيدروليك </t>
    </r>
    <r>
      <rPr>
        <sz val="11"/>
        <color rgb="FF1F1F1F"/>
        <rFont val="Calibri"/>
        <family val="2"/>
        <charset val="1"/>
      </rPr>
      <t xml:space="preserve">3/8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</si>
  <si>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Hydraulic Hose Fitting Cap 3/8 inch</t>
  </si>
  <si>
    <t xml:space="preserve">No</t>
  </si>
  <si>
    <t xml:space="preserve">7.5</t>
  </si>
  <si>
    <r>
      <rPr>
        <sz val="11"/>
        <color rgb="FF1F1F1F"/>
        <rFont val="Noto Sans Devanagari"/>
        <family val="2"/>
        <charset val="1"/>
      </rPr>
      <t xml:space="preserve">كبسة تلبيج هيدروليك </t>
    </r>
    <r>
      <rPr>
        <sz val="11"/>
        <color rgb="FF1F1F1F"/>
        <rFont val="Calibri"/>
        <family val="2"/>
        <charset val="1"/>
      </rPr>
      <t xml:space="preserve">3/4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</si>
  <si>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Hydraulic Hose Fitting Cap 3/4 Inch</t>
  </si>
  <si>
    <t xml:space="preserve">7.6</t>
  </si>
  <si>
    <r>
      <rPr>
        <sz val="11"/>
        <color rgb="FF1F1F1F"/>
        <rFont val="Noto Sans Devanagari"/>
        <family val="2"/>
        <charset val="1"/>
      </rPr>
      <t xml:space="preserve">كبسة تلبيج هيدروليك </t>
    </r>
    <r>
      <rPr>
        <sz val="11"/>
        <color rgb="FF1F1F1F"/>
        <rFont val="Calibri"/>
        <family val="2"/>
        <charset val="1"/>
      </rPr>
      <t xml:space="preserve">1/2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</si>
  <si>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Hose Fitting Cap 1/2 Inch</t>
  </si>
  <si>
    <t xml:space="preserve">7.7</t>
  </si>
  <si>
    <r>
      <rPr>
        <sz val="11"/>
        <color rgb="FF1F1F1F"/>
        <rFont val="Noto Sans Devanagari"/>
        <family val="2"/>
        <charset val="1"/>
      </rPr>
      <t xml:space="preserve">ذيل سن خارجي </t>
    </r>
    <r>
      <rPr>
        <sz val="11"/>
        <color rgb="FF1F1F1F"/>
        <rFont val="Calibri"/>
        <family val="2"/>
        <charset val="1"/>
      </rPr>
      <t xml:space="preserve">3/8</t>
    </r>
  </si>
  <si>
    <t xml:space="preserve">Tail Jic Male Hydraulic Hose 3/8 Inch</t>
  </si>
  <si>
    <t xml:space="preserve">7.8</t>
  </si>
  <si>
    <r>
      <rPr>
        <sz val="11"/>
        <color rgb="FF1F1F1F"/>
        <rFont val="Noto Sans Devanagari"/>
        <family val="2"/>
        <charset val="1"/>
      </rPr>
      <t xml:space="preserve">ذيل سن خارجي </t>
    </r>
    <r>
      <rPr>
        <sz val="11"/>
        <color rgb="FF1F1F1F"/>
        <rFont val="Calibri"/>
        <family val="2"/>
        <charset val="1"/>
      </rPr>
      <t xml:space="preserve">3/4</t>
    </r>
  </si>
  <si>
    <t xml:space="preserve">Tail Jic Male Hydraulic Hose 3/4 Inch</t>
  </si>
  <si>
    <t xml:space="preserve">7.9</t>
  </si>
  <si>
    <r>
      <rPr>
        <sz val="11"/>
        <color rgb="FF1F1F1F"/>
        <rFont val="Noto Sans Devanagari"/>
        <family val="2"/>
        <charset val="1"/>
      </rPr>
      <t xml:space="preserve">ذيل سن خارجي </t>
    </r>
    <r>
      <rPr>
        <sz val="11"/>
        <color rgb="FF1F1F1F"/>
        <rFont val="Calibri"/>
        <family val="2"/>
        <charset val="1"/>
      </rPr>
      <t xml:space="preserve">1/2</t>
    </r>
  </si>
  <si>
    <t xml:space="preserve">Tail Jic Male Hydraulic Hose 1/2 Inch</t>
  </si>
  <si>
    <t xml:space="preserve">7.10</t>
  </si>
  <si>
    <r>
      <rPr>
        <sz val="11"/>
        <color rgb="FF1F1F1F"/>
        <rFont val="Noto Sans Devanagari"/>
        <family val="2"/>
        <charset val="1"/>
      </rPr>
      <t xml:space="preserve">ذيل سن داخلي </t>
    </r>
    <r>
      <rPr>
        <sz val="11"/>
        <color rgb="FF1F1F1F"/>
        <rFont val="Calibri"/>
        <family val="2"/>
        <charset val="1"/>
      </rPr>
      <t xml:space="preserve">3/8</t>
    </r>
  </si>
  <si>
    <t xml:space="preserve">Female 900 Cone Seat Fitting 3/8 Inch</t>
  </si>
  <si>
    <t xml:space="preserve">7.11</t>
  </si>
  <si>
    <r>
      <rPr>
        <sz val="11"/>
        <color rgb="FF1F1F1F"/>
        <rFont val="Noto Sans Devanagari"/>
        <family val="2"/>
        <charset val="1"/>
      </rPr>
      <t xml:space="preserve">ذيل سن داخلي </t>
    </r>
    <r>
      <rPr>
        <sz val="11"/>
        <color rgb="FF1F1F1F"/>
        <rFont val="Calibri"/>
        <family val="2"/>
        <charset val="1"/>
      </rPr>
      <t xml:space="preserve">3/4</t>
    </r>
  </si>
  <si>
    <t xml:space="preserve">Female 900 Cone Seat Fitting 3/4 Inch</t>
  </si>
  <si>
    <t xml:space="preserve">7.12</t>
  </si>
  <si>
    <r>
      <rPr>
        <sz val="11"/>
        <color rgb="FF1F1F1F"/>
        <rFont val="Noto Sans Devanagari"/>
        <family val="2"/>
        <charset val="1"/>
      </rPr>
      <t xml:space="preserve">ذيل سن داخلي </t>
    </r>
    <r>
      <rPr>
        <sz val="11"/>
        <color rgb="FF1F1F1F"/>
        <rFont val="Calibri"/>
        <family val="2"/>
        <charset val="1"/>
      </rPr>
      <t xml:space="preserve">1/2</t>
    </r>
  </si>
  <si>
    <t xml:space="preserve">Female 900 Cone Seat Fitting 1/2 Inch</t>
  </si>
  <si>
    <t xml:space="preserve">7.13</t>
  </si>
  <si>
    <r>
      <rPr>
        <sz val="11"/>
        <color rgb="FF1F1F1F"/>
        <rFont val="Noto Sans Devanagari"/>
        <family val="2"/>
        <charset val="1"/>
      </rPr>
      <t xml:space="preserve">كوع ذيل سن داخلي </t>
    </r>
    <r>
      <rPr>
        <sz val="11"/>
        <color rgb="FF1F1F1F"/>
        <rFont val="Calibri"/>
        <family val="2"/>
        <charset val="1"/>
      </rPr>
      <t xml:space="preserve">3/8</t>
    </r>
  </si>
  <si>
    <t xml:space="preserve">90 Degree Elbow Hydraulic Hose Fitting SAE 3/8 inch</t>
  </si>
  <si>
    <t xml:space="preserve">7.14</t>
  </si>
  <si>
    <r>
      <rPr>
        <sz val="11"/>
        <color rgb="FF1F1F1F"/>
        <rFont val="Noto Sans Devanagari"/>
        <family val="2"/>
        <charset val="1"/>
      </rPr>
      <t xml:space="preserve">كوع ذيل سن داخلي </t>
    </r>
    <r>
      <rPr>
        <sz val="11"/>
        <color rgb="FF1F1F1F"/>
        <rFont val="Calibri"/>
        <family val="2"/>
        <charset val="1"/>
      </rPr>
      <t xml:space="preserve">3/4</t>
    </r>
  </si>
  <si>
    <t xml:space="preserve">90 Degree Elbow Hydraulic Hose Fitting SAE 3/4 Inch</t>
  </si>
  <si>
    <t xml:space="preserve">7.15</t>
  </si>
  <si>
    <r>
      <rPr>
        <sz val="11"/>
        <color rgb="FF1F1F1F"/>
        <rFont val="Noto Sans Devanagari"/>
        <family val="2"/>
        <charset val="1"/>
      </rPr>
      <t xml:space="preserve">كوع ذيل سن داخلي </t>
    </r>
    <r>
      <rPr>
        <sz val="11"/>
        <color rgb="FF1F1F1F"/>
        <rFont val="Calibri"/>
        <family val="2"/>
        <charset val="1"/>
      </rPr>
      <t xml:space="preserve">1/2</t>
    </r>
  </si>
  <si>
    <t xml:space="preserve">90 Degree Elbow Hydraulic Hose Fitting SAE 1/2 Inch</t>
  </si>
  <si>
    <t xml:space="preserve">7.16</t>
  </si>
  <si>
    <r>
      <rPr>
        <sz val="11"/>
        <color rgb="FF1F1F1F"/>
        <rFont val="Noto Sans Devanagari"/>
        <family val="2"/>
        <charset val="1"/>
      </rPr>
      <t xml:space="preserve">خرطوم هيدروليك </t>
    </r>
    <r>
      <rPr>
        <sz val="11"/>
        <color rgb="FF1F1F1F"/>
        <rFont val="Calibri"/>
        <family val="2"/>
        <charset val="1"/>
      </rPr>
      <t xml:space="preserve">5/8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</si>
  <si>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HOSE 5/8 inch, MANOLE OR EQUIV 2SN/R2T 330</t>
  </si>
  <si>
    <t xml:space="preserve">7.17</t>
  </si>
  <si>
    <r>
      <rPr>
        <sz val="11"/>
        <color rgb="FF1F1F1F"/>
        <rFont val="Noto Sans Devanagari"/>
        <family val="2"/>
        <charset val="1"/>
      </rPr>
      <t xml:space="preserve">كوع ذيل سن داخلي </t>
    </r>
    <r>
      <rPr>
        <sz val="11"/>
        <color rgb="FF1F1F1F"/>
        <rFont val="Calibri"/>
        <family val="2"/>
        <charset val="1"/>
      </rPr>
      <t xml:space="preserve">5/8</t>
    </r>
  </si>
  <si>
    <t xml:space="preserve">90 Degree Elbow Hydraulic Hose Fitting 5/8 Inch</t>
  </si>
  <si>
    <t xml:space="preserve">7.18</t>
  </si>
  <si>
    <r>
      <rPr>
        <sz val="11"/>
        <color rgb="FF1F1F1F"/>
        <rFont val="Noto Sans Devanagari"/>
        <family val="2"/>
        <charset val="1"/>
      </rPr>
      <t xml:space="preserve">ذيل سن داخلي </t>
    </r>
    <r>
      <rPr>
        <sz val="11"/>
        <color rgb="FF1F1F1F"/>
        <rFont val="Calibri"/>
        <family val="2"/>
        <charset val="1"/>
      </rPr>
      <t xml:space="preserve">5/8</t>
    </r>
  </si>
  <si>
    <t xml:space="preserve">900 Cone Seat Fitting 5/8 inch</t>
  </si>
  <si>
    <t xml:space="preserve">7.19</t>
  </si>
  <si>
    <r>
      <rPr>
        <sz val="11"/>
        <color rgb="FF1F1F1F"/>
        <rFont val="Noto Sans Devanagari"/>
        <family val="2"/>
        <charset val="1"/>
      </rPr>
      <t xml:space="preserve">كبسة تلبيج هيدروليك </t>
    </r>
    <r>
      <rPr>
        <sz val="11"/>
        <color rgb="FF1F1F1F"/>
        <rFont val="Calibri"/>
        <family val="2"/>
        <charset val="1"/>
      </rPr>
      <t xml:space="preserve">5/8 </t>
    </r>
    <r>
      <rPr>
        <sz val="11"/>
        <color rgb="FF1F1F1F"/>
        <rFont val="Noto Sans Devanagari"/>
        <family val="2"/>
        <charset val="1"/>
      </rPr>
      <t xml:space="preserve">انش</t>
    </r>
  </si>
  <si>
    <t xml:space="preserve">Hose Fitting Cap 5/8 Inch, [19,22,24,27,30,32,36] MM</t>
  </si>
  <si>
    <t xml:space="preserve">7.20</t>
  </si>
  <si>
    <r>
      <rPr>
        <sz val="11"/>
        <color rgb="FF1F1F1F"/>
        <rFont val="Noto Sans Devanagari"/>
        <family val="2"/>
        <charset val="1"/>
      </rPr>
      <t xml:space="preserve">صيانة وتبديل ختم </t>
    </r>
    <r>
      <rPr>
        <sz val="11"/>
        <color rgb="FF1F1F1F"/>
        <rFont val="Calibri"/>
        <family val="2"/>
        <charset val="1"/>
      </rPr>
      <t xml:space="preserve">(</t>
    </r>
    <r>
      <rPr>
        <sz val="11"/>
        <color rgb="FF1F1F1F"/>
        <rFont val="Noto Sans Devanagari"/>
        <family val="2"/>
        <charset val="1"/>
      </rPr>
      <t xml:space="preserve">رام</t>
    </r>
    <r>
      <rPr>
        <sz val="11"/>
        <color rgb="FF1F1F1F"/>
        <rFont val="Calibri"/>
        <family val="2"/>
        <charset val="1"/>
      </rPr>
      <t xml:space="preserve">) </t>
    </r>
    <r>
      <rPr>
        <sz val="11"/>
        <color rgb="FF1F1F1F"/>
        <rFont val="Noto Sans Devanagari"/>
        <family val="2"/>
        <charset val="1"/>
      </rPr>
      <t xml:space="preserve">الاسطوانة</t>
    </r>
  </si>
  <si>
    <t xml:space="preserve">Hydraulic cylinder (ram) seal replacement and overhaul</t>
  </si>
  <si>
    <t xml:space="preserve">7.21</t>
  </si>
  <si>
    <r>
      <rPr>
        <sz val="11"/>
        <color rgb="FF1F1F1F"/>
        <rFont val="Noto Sans Devanagari"/>
        <family val="2"/>
        <charset val="1"/>
      </rPr>
      <t xml:space="preserve">صيانة أو تبديل مضخة الهيدروليك و </t>
    </r>
    <r>
      <rPr>
        <sz val="11"/>
        <color rgb="FF1F1F1F"/>
        <rFont val="Calibri"/>
        <family val="2"/>
        <charset val="1"/>
      </rPr>
      <t xml:space="preserve">PTO</t>
    </r>
  </si>
  <si>
    <t xml:space="preserve">Hydraulic pump and PTO servicing/replacement</t>
  </si>
  <si>
    <t xml:space="preserve">8</t>
  </si>
  <si>
    <t xml:space="preserve">أعمال صيانة الإطارات</t>
  </si>
  <si>
    <t xml:space="preserve">Tires Repair</t>
  </si>
  <si>
    <t xml:space="preserve">8.1</t>
  </si>
  <si>
    <t xml:space="preserve">بنشر سيارة أو جيب</t>
  </si>
  <si>
    <t xml:space="preserve">Car or Jeep Tire Repair</t>
  </si>
  <si>
    <t xml:space="preserve">8.2</t>
  </si>
  <si>
    <t xml:space="preserve">بنشر شاحنة</t>
  </si>
  <si>
    <t xml:space="preserve">Truck Tire Repair</t>
  </si>
  <si>
    <t xml:space="preserve">8.3</t>
  </si>
  <si>
    <r>
      <rPr>
        <sz val="11"/>
        <color rgb="FF1F1F1F"/>
        <rFont val="Noto Sans Devanagari"/>
        <family val="2"/>
        <charset val="1"/>
      </rPr>
      <t xml:space="preserve">بنشر صغير مع رقعة مقاس </t>
    </r>
    <r>
      <rPr>
        <sz val="11"/>
        <color rgb="FF1F1F1F"/>
        <rFont val="Calibri"/>
        <family val="2"/>
        <charset val="1"/>
      </rPr>
      <t xml:space="preserve">10</t>
    </r>
  </si>
  <si>
    <t xml:space="preserve">Small Tire Repair with Patch Size 10</t>
  </si>
  <si>
    <t xml:space="preserve">8.4</t>
  </si>
  <si>
    <r>
      <rPr>
        <sz val="11"/>
        <color rgb="FF1F1F1F"/>
        <rFont val="Noto Sans Devanagari"/>
        <family val="2"/>
        <charset val="1"/>
      </rPr>
      <t xml:space="preserve">بنشر صغير مع رقعة مقاس </t>
    </r>
    <r>
      <rPr>
        <sz val="11"/>
        <color rgb="FF1F1F1F"/>
        <rFont val="Calibri"/>
        <family val="2"/>
        <charset val="1"/>
      </rPr>
      <t xml:space="preserve">12</t>
    </r>
  </si>
  <si>
    <t xml:space="preserve">Small Tire Repair with Patch Size 12</t>
  </si>
  <si>
    <t xml:space="preserve">8.5</t>
  </si>
  <si>
    <r>
      <rPr>
        <sz val="11"/>
        <color rgb="FF1F1F1F"/>
        <rFont val="Noto Sans Devanagari"/>
        <family val="2"/>
        <charset val="1"/>
      </rPr>
      <t xml:space="preserve">بنشر صغير مع رقعة مقاس </t>
    </r>
    <r>
      <rPr>
        <sz val="11"/>
        <color rgb="FF1F1F1F"/>
        <rFont val="Calibri"/>
        <family val="2"/>
        <charset val="1"/>
      </rPr>
      <t xml:space="preserve">14</t>
    </r>
  </si>
  <si>
    <t xml:space="preserve">Small Tire Repair with Patch Size 14</t>
  </si>
  <si>
    <t xml:space="preserve">8.6</t>
  </si>
  <si>
    <r>
      <rPr>
        <sz val="11"/>
        <color rgb="FF1F1F1F"/>
        <rFont val="Noto Sans Devanagari"/>
        <family val="2"/>
        <charset val="1"/>
      </rPr>
      <t xml:space="preserve">بنشر كبير مع رقعة مقاس </t>
    </r>
    <r>
      <rPr>
        <sz val="11"/>
        <color rgb="FF1F1F1F"/>
        <rFont val="Calibri"/>
        <family val="2"/>
        <charset val="1"/>
      </rPr>
      <t xml:space="preserve">10</t>
    </r>
  </si>
  <si>
    <t xml:space="preserve">Large Tire Repair with Patch Size 10</t>
  </si>
  <si>
    <t xml:space="preserve">8.7</t>
  </si>
  <si>
    <r>
      <rPr>
        <sz val="11"/>
        <color rgb="FF1F1F1F"/>
        <rFont val="Noto Sans Devanagari"/>
        <family val="2"/>
        <charset val="1"/>
      </rPr>
      <t xml:space="preserve">بنشر كبير مع رقعة مقاس </t>
    </r>
    <r>
      <rPr>
        <sz val="11"/>
        <color rgb="FF1F1F1F"/>
        <rFont val="Calibri"/>
        <family val="2"/>
        <charset val="1"/>
      </rPr>
      <t xml:space="preserve">12</t>
    </r>
  </si>
  <si>
    <t xml:space="preserve">Tire Repair with Patch Size 12</t>
  </si>
  <si>
    <t xml:space="preserve">8.8</t>
  </si>
  <si>
    <r>
      <rPr>
        <sz val="11"/>
        <color rgb="FF1F1F1F"/>
        <rFont val="Noto Sans Devanagari"/>
        <family val="2"/>
        <charset val="1"/>
      </rPr>
      <t xml:space="preserve">بنشر كبير مع رقعة مقاس </t>
    </r>
    <r>
      <rPr>
        <sz val="11"/>
        <color rgb="FF1F1F1F"/>
        <rFont val="Calibri"/>
        <family val="2"/>
        <charset val="1"/>
      </rPr>
      <t xml:space="preserve">14</t>
    </r>
  </si>
  <si>
    <t xml:space="preserve">Large Tire Repair with Patch Size 14</t>
  </si>
  <si>
    <t xml:space="preserve">8.9</t>
  </si>
  <si>
    <t xml:space="preserve">بلف نحاس تيوبلس</t>
  </si>
  <si>
    <t xml:space="preserve">Tubeless Copper Valve</t>
  </si>
  <si>
    <t xml:space="preserve">8.10</t>
  </si>
  <si>
    <t xml:space="preserve">بلف جلد سيارة او جيب</t>
  </si>
  <si>
    <t xml:space="preserve">Car or Jeep Rubber Valve</t>
  </si>
  <si>
    <t xml:space="preserve">8.11</t>
  </si>
  <si>
    <t xml:space="preserve">لحام كاوتشوك شاحنة</t>
  </si>
  <si>
    <t xml:space="preserve">Truck Tire Vulcanizing</t>
  </si>
  <si>
    <t xml:space="preserve">8.12</t>
  </si>
  <si>
    <t xml:space="preserve">لحام كاوتشوك سيارة أو جيب</t>
  </si>
  <si>
    <t xml:space="preserve">Car or Jeep Tire Vulcanizing</t>
  </si>
  <si>
    <t xml:space="preserve">8.13</t>
  </si>
  <si>
    <t xml:space="preserve">غراء إصلاح الإطارات</t>
  </si>
  <si>
    <t xml:space="preserve">Tire Repair Glue</t>
  </si>
  <si>
    <t xml:space="preserve">liter</t>
  </si>
  <si>
    <t xml:space="preserve">9</t>
  </si>
  <si>
    <t xml:space="preserve">الزيوت</t>
  </si>
  <si>
    <t xml:space="preserve">Oils</t>
  </si>
  <si>
    <t xml:space="preserve">9.1</t>
  </si>
  <si>
    <t xml:space="preserve">زيت محرك بكر</t>
  </si>
  <si>
    <t xml:space="preserve">SAE 15W 40 API-Ci4-85102464</t>
  </si>
  <si>
    <t xml:space="preserve">litter</t>
  </si>
  <si>
    <t xml:space="preserve">9.2</t>
  </si>
  <si>
    <t xml:space="preserve">زيت هيدروليك</t>
  </si>
  <si>
    <t xml:space="preserve">ISO 68</t>
  </si>
  <si>
    <t xml:space="preserve">Litter</t>
  </si>
  <si>
    <t xml:space="preserve">9.3</t>
  </si>
  <si>
    <t xml:space="preserve">زيت قيربوكس</t>
  </si>
  <si>
    <t xml:space="preserve">75w90 GL-4</t>
  </si>
  <si>
    <t xml:space="preserve">9.4</t>
  </si>
  <si>
    <t xml:space="preserve">زيت بريك</t>
  </si>
  <si>
    <t xml:space="preserve">BRAKE OILS Dot 4</t>
  </si>
  <si>
    <t xml:space="preserve">9.5</t>
  </si>
  <si>
    <t xml:space="preserve">زيت ستيرنج أحمر</t>
  </si>
  <si>
    <t xml:space="preserve">Steering oils Dot 10</t>
  </si>
  <si>
    <t xml:space="preserve">9.6</t>
  </si>
  <si>
    <r>
      <rPr>
        <sz val="11"/>
        <color rgb="FF1F1F1F"/>
        <rFont val="Noto Sans Devanagari"/>
        <family val="2"/>
        <charset val="1"/>
      </rPr>
      <t xml:space="preserve">توربد شحمة </t>
    </r>
    <r>
      <rPr>
        <sz val="11"/>
        <color rgb="FF1F1F1F"/>
        <rFont val="Calibri"/>
        <family val="2"/>
        <charset val="1"/>
      </rPr>
      <t xml:space="preserve">NO.3 </t>
    </r>
    <r>
      <rPr>
        <sz val="11"/>
        <color rgb="FF1F1F1F"/>
        <rFont val="Noto Sans Devanagari"/>
        <family val="2"/>
        <charset val="1"/>
      </rPr>
      <t xml:space="preserve">سعة العبوة </t>
    </r>
    <r>
      <rPr>
        <sz val="11"/>
        <color rgb="FF1F1F1F"/>
        <rFont val="Calibri"/>
        <family val="2"/>
        <charset val="1"/>
      </rPr>
      <t xml:space="preserve">16 </t>
    </r>
    <r>
      <rPr>
        <sz val="11"/>
        <color rgb="FF1F1F1F"/>
        <rFont val="Noto Sans Devanagari"/>
        <family val="2"/>
        <charset val="1"/>
      </rPr>
      <t xml:space="preserve">كجم نوع كاسترول</t>
    </r>
  </si>
  <si>
    <t xml:space="preserve">Grease</t>
  </si>
  <si>
    <t xml:space="preserve">kg</t>
  </si>
  <si>
    <t xml:space="preserve">10</t>
  </si>
  <si>
    <t xml:space="preserve">بطاريات</t>
  </si>
  <si>
    <t xml:space="preserve">Batteries</t>
  </si>
  <si>
    <t xml:space="preserve">10.1</t>
  </si>
  <si>
    <r>
      <rPr>
        <sz val="11"/>
        <color rgb="FF1F1F1F"/>
        <rFont val="Noto Sans Devanagari"/>
        <family val="2"/>
        <charset val="1"/>
      </rPr>
      <t xml:space="preserve">بطارية سائلة سعة </t>
    </r>
    <r>
      <rPr>
        <sz val="11"/>
        <color rgb="FF1F1F1F"/>
        <rFont val="Calibri"/>
        <family val="2"/>
        <charset val="1"/>
      </rPr>
      <t xml:space="preserve">220 </t>
    </r>
    <r>
      <rPr>
        <sz val="11"/>
        <color rgb="FF1F1F1F"/>
        <rFont val="Noto Sans Devanagari"/>
        <family val="2"/>
        <charset val="1"/>
      </rPr>
      <t xml:space="preserve">أمبير</t>
    </r>
  </si>
  <si>
    <t xml:space="preserve">BATTERY,220 AMP. ORDINARY POLE, VOLTA OR EQUIV.</t>
  </si>
  <si>
    <t xml:space="preserve">unit</t>
  </si>
  <si>
    <t xml:space="preserve">10.2</t>
  </si>
  <si>
    <r>
      <rPr>
        <sz val="11"/>
        <color rgb="FF1F1F1F"/>
        <rFont val="Noto Sans Devanagari"/>
        <family val="2"/>
        <charset val="1"/>
      </rPr>
      <t xml:space="preserve">بطارية سائلة سعة </t>
    </r>
    <r>
      <rPr>
        <sz val="11"/>
        <color rgb="FF1F1F1F"/>
        <rFont val="Calibri"/>
        <family val="2"/>
        <charset val="1"/>
      </rPr>
      <t xml:space="preserve">160 </t>
    </r>
    <r>
      <rPr>
        <sz val="11"/>
        <color rgb="FF1F1F1F"/>
        <rFont val="Noto Sans Devanagari"/>
        <family val="2"/>
        <charset val="1"/>
      </rPr>
      <t xml:space="preserve">أمبير</t>
    </r>
  </si>
  <si>
    <t xml:space="preserve">BATTERY, 160 AMP. ORDINARY POLE, VOLTA OR EQUIV.</t>
  </si>
  <si>
    <t xml:space="preserve">10.3</t>
  </si>
  <si>
    <r>
      <rPr>
        <sz val="11"/>
        <color rgb="FF1F1F1F"/>
        <rFont val="Noto Sans Devanagari"/>
        <family val="2"/>
        <charset val="1"/>
      </rPr>
      <t xml:space="preserve">بطارية سائلة سعة </t>
    </r>
    <r>
      <rPr>
        <sz val="11"/>
        <color rgb="FF1F1F1F"/>
        <rFont val="Calibri"/>
        <family val="2"/>
        <charset val="1"/>
      </rPr>
      <t xml:space="preserve">100 </t>
    </r>
    <r>
      <rPr>
        <sz val="11"/>
        <color rgb="FF1F1F1F"/>
        <rFont val="Noto Sans Devanagari"/>
        <family val="2"/>
        <charset val="1"/>
      </rPr>
      <t xml:space="preserve">أمبير</t>
    </r>
  </si>
  <si>
    <t xml:space="preserve">BATTERY 100 AMP, ORDINARY POLE, VOLTA OR EQUIV.</t>
  </si>
  <si>
    <t xml:space="preserve">11</t>
  </si>
  <si>
    <t xml:space="preserve">أعمال حدادة لجسم الآلية</t>
  </si>
  <si>
    <t xml:space="preserve">Chassis &amp; Body</t>
  </si>
  <si>
    <t xml:space="preserve">11.1</t>
  </si>
  <si>
    <t xml:space="preserve">إصلاح أو تدعيم الشاسيه</t>
  </si>
  <si>
    <t xml:space="preserve">Main chassis/frame repair or reinforcement Welding</t>
  </si>
  <si>
    <t xml:space="preserve">11.2</t>
  </si>
  <si>
    <t xml:space="preserve">الكروس ميمبرز</t>
  </si>
  <si>
    <t xml:space="preserve">cross members</t>
  </si>
  <si>
    <t xml:space="preserve">11.3</t>
  </si>
  <si>
    <t xml:space="preserve">إصلاح أو استبدال حوامل نظام التعليق</t>
  </si>
  <si>
    <t xml:space="preserve">Repair or replacement of suspension mounts</t>
  </si>
  <si>
    <t xml:space="preserve">11.4</t>
  </si>
  <si>
    <t xml:space="preserve">لحام قواعد المحور الأمامي أو الخلفي</t>
  </si>
  <si>
    <t xml:space="preserve">Welding front or rear axle mounts</t>
  </si>
  <si>
    <t xml:space="preserve">11.5</t>
  </si>
  <si>
    <t xml:space="preserve">إصلاح حوامل اليايات الورقية</t>
  </si>
  <si>
    <t xml:space="preserve">Repairing leaf spring or air suspension mounts</t>
  </si>
  <si>
    <t xml:space="preserve">11.6</t>
  </si>
  <si>
    <t xml:space="preserve">اصلاح قواعد الدفرنس</t>
  </si>
  <si>
    <t xml:space="preserve">Differential housing bracket repairs</t>
  </si>
  <si>
    <t xml:space="preserve">11.7</t>
  </si>
  <si>
    <t xml:space="preserve">لحام أو استبدال أرضية صندوق الشاحنة</t>
  </si>
  <si>
    <t xml:space="preserve">Welding or replacing truck bed floor panels</t>
  </si>
  <si>
    <t xml:space="preserve">11.8</t>
  </si>
  <si>
    <t xml:space="preserve">اصلاح الجوانب أو الدعامات العمودية</t>
  </si>
  <si>
    <t xml:space="preserve">Repairing side panels or vertical supports</t>
  </si>
  <si>
    <t xml:space="preserve">11.9</t>
  </si>
  <si>
    <t xml:space="preserve">إعادة لحام دعامات الأبواب الخلفية أو الجانبية</t>
  </si>
  <si>
    <t xml:space="preserve">Re-welding tailgate or side door supports</t>
  </si>
  <si>
    <t xml:space="preserve">11.10</t>
  </si>
  <si>
    <r>
      <rPr>
        <sz val="11"/>
        <color rgb="FF1F1F1F"/>
        <rFont val="Noto Sans Devanagari"/>
        <family val="2"/>
        <charset val="1"/>
      </rPr>
      <t xml:space="preserve">اصلاح أو استبدال قضبان الحماية الجانبية</t>
    </r>
    <r>
      <rPr>
        <sz val="11"/>
        <color rgb="FF1F1F1F"/>
        <rFont val="Calibri"/>
        <family val="2"/>
        <charset val="1"/>
      </rPr>
      <t xml:space="preserve">/</t>
    </r>
    <r>
      <rPr>
        <sz val="11"/>
        <color rgb="FF1F1F1F"/>
        <rFont val="Noto Sans Devanagari"/>
        <family val="2"/>
        <charset val="1"/>
      </rPr>
      <t xml:space="preserve">الخلفية</t>
    </r>
  </si>
  <si>
    <t xml:space="preserve">Repair or replacement of side/rear underride guards</t>
  </si>
  <si>
    <t xml:space="preserve">11.11</t>
  </si>
  <si>
    <t xml:space="preserve">لحام حوامل الصدمات</t>
  </si>
  <si>
    <t xml:space="preserve">Bumper bracket welding</t>
  </si>
  <si>
    <t xml:space="preserve">11.12</t>
  </si>
  <si>
    <t xml:space="preserve">إعادة لحام قواعد تثبيت الهيكل</t>
  </si>
  <si>
    <t xml:space="preserve">Re-welding body-to-chassis mounting brackets</t>
  </si>
  <si>
    <t xml:space="preserve">11.13</t>
  </si>
  <si>
    <r>
      <rPr>
        <sz val="11"/>
        <color rgb="FF1F1F1F"/>
        <rFont val="Noto Sans Devanagari"/>
        <family val="2"/>
        <charset val="1"/>
      </rPr>
      <t xml:space="preserve">اصلاح قواعد </t>
    </r>
    <r>
      <rPr>
        <sz val="11"/>
        <color rgb="FF1F1F1F"/>
        <rFont val="Calibri"/>
        <family val="2"/>
        <charset val="1"/>
      </rPr>
      <t xml:space="preserve">PTO </t>
    </r>
    <r>
      <rPr>
        <sz val="11"/>
        <color rgb="FF1F1F1F"/>
        <rFont val="Noto Sans Devanagari"/>
        <family val="2"/>
        <charset val="1"/>
      </rPr>
      <t xml:space="preserve">أو مضخة الهيدروليك</t>
    </r>
  </si>
  <si>
    <t xml:space="preserve">PTO or hydraulic pump bracket repairs</t>
  </si>
  <si>
    <t xml:space="preserve">11.14</t>
  </si>
  <si>
    <t xml:space="preserve">اصلاح قواعد صناديق الأدوات</t>
  </si>
  <si>
    <t xml:space="preserve">Toolbox or fuel/air tank mount repairs</t>
  </si>
  <si>
    <t xml:space="preserve">term_num</t>
  </si>
  <si>
    <t xml:space="preserve">repair_type_ar</t>
  </si>
  <si>
    <t xml:space="preserve">repair_type_en</t>
  </si>
  <si>
    <t xml:space="preserve">repair_desc_ar</t>
  </si>
  <si>
    <t xml:space="preserve">repair_desc_en</t>
  </si>
  <si>
    <t xml:space="preserve">uom</t>
  </si>
  <si>
    <t xml:space="preserve">qty</t>
  </si>
  <si>
    <t xml:space="preserve">service_cost</t>
  </si>
  <si>
    <t xml:space="preserve">3.40</t>
  </si>
  <si>
    <t xml:space="preserve">3.50</t>
  </si>
  <si>
    <t xml:space="preserve"> </t>
  </si>
  <si>
    <t xml:space="preserve">log_date</t>
  </si>
  <si>
    <t xml:space="preserve">order_num</t>
  </si>
  <si>
    <t xml:space="preserve">statement</t>
  </si>
  <si>
    <t xml:space="preserve">unit_cost</t>
  </si>
  <si>
    <t xml:space="preserve">إجمالي 
السعر</t>
  </si>
  <si>
    <t xml:space="preserve">repair_cost</t>
  </si>
  <si>
    <t xml:space="preserve">total_cost</t>
  </si>
  <si>
    <t xml:space="preserve">notes</t>
  </si>
  <si>
    <t xml:space="preserve">01</t>
  </si>
  <si>
    <t xml:space="preserve">لتر</t>
  </si>
  <si>
    <t xml:space="preserve">عدد</t>
  </si>
  <si>
    <t xml:space="preserve">02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</si>
</sst>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.00_-;\-* #,##0.00_-;_-* \-??_-;_-@_-"/>
    <numFmt numFmtId="166" formatCode="0"/>
    <numFmt numFmtId="167" formatCode="[$$-409]#,##0.00"/>
    <numFmt numFmtId="168" formatCode="@"/>
    <numFmt numFmtId="169" formatCode="dd/mm/yyyy"/>
    <numFmt numFmtId="170" formatCode="General"/>
    <numFmt numFmtId="171" formatCode="_-* #,##0.00\ _ر_._س_._‏_-;\-* #,##0.00\ _ر_._س_._‏_-;_-* \-??\ _ر_._س_._‏_-;_-@_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78"/>
    </font>
    <font>
      <b val="true"/>
      <sz val="11"/>
      <color rgb="FF000000"/>
      <name val="Calibri"/>
      <family val="2"/>
      <charset val="178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Noto Sans Devanagari"/>
      <family val="2"/>
      <charset val="1"/>
    </font>
    <font>
      <b val="true"/>
      <u val="single"/>
      <sz val="11"/>
      <color rgb="FF000000"/>
      <name val="Calibri"/>
      <family val="2"/>
      <charset val="1"/>
    </font>
    <font>
      <b val="true"/>
      <sz val="11"/>
      <color rgb="FF00B050"/>
      <name val="Noto Sans Devanagari"/>
      <family val="2"/>
      <charset val="1"/>
    </font>
    <font>
      <b val="true"/>
      <sz val="11"/>
      <color theme="1"/>
      <name val="Noto Sans Devanagari"/>
      <family val="2"/>
      <charset val="1"/>
    </font>
    <font>
      <b val="true"/>
      <sz val="11"/>
      <color rgb="FFFF0000"/>
      <name val="Noto Sans Devanaga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FF00"/>
      <name val="Calibri"/>
      <family val="2"/>
      <charset val="1"/>
    </font>
    <font>
      <b val="true"/>
      <sz val="11"/>
      <color rgb="FF1F1F1F"/>
      <name val="Calibri"/>
      <family val="2"/>
      <charset val="1"/>
    </font>
    <font>
      <b val="true"/>
      <sz val="11"/>
      <color rgb="FF1F1F1F"/>
      <name val="Noto Sans Devanagari"/>
      <family val="2"/>
      <charset val="1"/>
    </font>
    <font>
      <sz val="11"/>
      <color rgb="FF1F1F1F"/>
      <name val="Calibri"/>
      <family val="2"/>
      <charset val="1"/>
    </font>
    <font>
      <sz val="11"/>
      <color rgb="FF1F1F1F"/>
      <name val="Noto Sans Devanagari"/>
      <family val="2"/>
      <charset val="1"/>
    </font>
    <font>
      <b val="true"/>
      <sz val="11"/>
      <color theme="1"/>
      <name val="Calibri"/>
      <family val="2"/>
      <charset val="178"/>
    </font>
    <font>
      <sz val="11"/>
      <color theme="1"/>
      <name val="Noto Sans Devanagari"/>
      <family val="2"/>
      <charset val="1"/>
    </font>
    <font>
      <sz val="11"/>
      <color rgb="FFFF0000"/>
      <name val="Calibri"/>
      <family val="2"/>
      <charset val="178"/>
    </font>
    <font>
      <b val="true"/>
      <u val="singl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2CC"/>
      </patternFill>
    </fill>
    <fill>
      <patternFill patternType="solid">
        <fgColor rgb="FFFF9B9B"/>
        <bgColor rgb="FFFF8080"/>
      </patternFill>
    </fill>
    <fill>
      <patternFill patternType="solid">
        <fgColor theme="7" tint="0.7999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>
        <color theme="1"/>
      </right>
      <top style="thin">
        <color theme="1"/>
      </top>
      <bottom/>
      <diagonal/>
    </border>
    <border diagonalUp="false" diagonalDown="false">
      <left style="thin"/>
      <right style="medium"/>
      <top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4" fillId="0" borderId="0" xfId="23" applyFont="true" applyBorder="false" applyAlignment="true" applyProtection="true">
      <alignment horizontal="right" vertical="bottom" textRotation="0" wrapText="false" indent="1" shrinkToFit="false" readingOrder="2"/>
      <protection locked="true" hidden="false"/>
    </xf>
    <xf numFmtId="164" fontId="5" fillId="2" borderId="1" xfId="23" applyFont="true" applyBorder="true" applyAlignment="true" applyProtection="true">
      <alignment horizontal="right" vertical="top" textRotation="0" wrapText="true" indent="1" shrinkToFit="false" readingOrder="2"/>
      <protection locked="true" hidden="false"/>
    </xf>
    <xf numFmtId="164" fontId="5" fillId="2" borderId="2" xfId="23" applyFont="true" applyBorder="true" applyAlignment="true" applyProtection="true">
      <alignment horizontal="right" vertical="top" textRotation="0" wrapText="true" indent="1" shrinkToFit="false" readingOrder="1"/>
      <protection locked="true" hidden="false"/>
    </xf>
    <xf numFmtId="164" fontId="5" fillId="2" borderId="2" xfId="23" applyFont="true" applyBorder="true" applyAlignment="true" applyProtection="true">
      <alignment horizontal="right" vertical="top" textRotation="0" wrapText="true" indent="1" shrinkToFit="false" readingOrder="2"/>
      <protection locked="true" hidden="false"/>
    </xf>
    <xf numFmtId="164" fontId="5" fillId="2" borderId="2" xfId="23" applyFont="true" applyBorder="true" applyAlignment="true" applyProtection="true">
      <alignment horizontal="right" vertical="top" textRotation="0" wrapText="true" indent="2" shrinkToFit="false" readingOrder="1"/>
      <protection locked="true" hidden="false"/>
    </xf>
    <xf numFmtId="164" fontId="6" fillId="2" borderId="3" xfId="23" applyFont="true" applyBorder="true" applyAlignment="true" applyProtection="true">
      <alignment horizontal="left" vertical="top" textRotation="0" wrapText="true" indent="1" shrinkToFit="false" readingOrder="1"/>
      <protection locked="true" hidden="false"/>
    </xf>
    <xf numFmtId="164" fontId="7" fillId="0" borderId="4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7" fillId="0" borderId="5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8" fillId="0" borderId="5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8" fillId="0" borderId="5" xfId="23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8" fillId="0" borderId="6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10" fillId="0" borderId="5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6" fontId="9" fillId="0" borderId="7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7" fillId="0" borderId="8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7" fillId="0" borderId="6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8" fillId="0" borderId="6" xfId="23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1" fillId="3" borderId="6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6" fontId="9" fillId="0" borderId="7" xfId="23" applyFont="true" applyBorder="true" applyAlignment="true" applyProtection="true">
      <alignment horizontal="right" vertical="center" textRotation="0" wrapText="true" indent="4" shrinkToFit="false" readingOrder="1"/>
      <protection locked="true" hidden="false"/>
    </xf>
    <xf numFmtId="164" fontId="7" fillId="0" borderId="6" xfId="23" applyFont="true" applyBorder="true" applyAlignment="true" applyProtection="true">
      <alignment horizontal="left" vertical="center" textRotation="0" wrapText="false" indent="1" shrinkToFit="false" readingOrder="1"/>
      <protection locked="true" hidden="false"/>
    </xf>
    <xf numFmtId="164" fontId="8" fillId="0" borderId="6" xfId="23" applyFont="true" applyBorder="true" applyAlignment="true" applyProtection="true">
      <alignment horizontal="right" vertical="center" textRotation="0" wrapText="false" indent="1" shrinkToFit="false" readingOrder="1"/>
      <protection locked="true" hidden="false"/>
    </xf>
    <xf numFmtId="164" fontId="12" fillId="0" borderId="6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8" fillId="0" borderId="6" xfId="23" applyFont="true" applyBorder="true" applyAlignment="true" applyProtection="true">
      <alignment horizontal="right" vertical="center" textRotation="0" wrapText="false" indent="1" shrinkToFit="false" readingOrder="2"/>
      <protection locked="true" hidden="false"/>
    </xf>
    <xf numFmtId="164" fontId="7" fillId="0" borderId="8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7" fontId="4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7" fillId="0" borderId="10" xfId="23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4" fontId="8" fillId="0" borderId="10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8" fillId="0" borderId="10" xfId="23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1" fillId="3" borderId="10" xfId="23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6" fontId="9" fillId="0" borderId="11" xfId="23" applyFont="true" applyBorder="true" applyAlignment="true" applyProtection="true">
      <alignment horizontal="right" vertical="center" textRotation="0" wrapText="true" indent="4" shrinkToFit="false" readingOrder="1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21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11" fillId="0" borderId="0" xfId="21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13" fillId="0" borderId="0" xfId="21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8" fontId="15" fillId="2" borderId="6" xfId="0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16" fillId="2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5" fillId="2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7" fillId="2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7" fillId="2" borderId="6" xfId="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8" fontId="17" fillId="0" borderId="6" xfId="0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18" fillId="0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7" fillId="0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7" fillId="0" borderId="6" xfId="0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8" fontId="15" fillId="0" borderId="6" xfId="0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4" fontId="16" fillId="0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5" fillId="0" borderId="6" xfId="0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8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9" fillId="0" borderId="0" xfId="22" applyFont="true" applyBorder="false" applyAlignment="true" applyProtection="true">
      <alignment horizontal="right" vertical="top" textRotation="0" wrapText="true" indent="1" shrinkToFit="false"/>
      <protection locked="true" hidden="false"/>
    </xf>
    <xf numFmtId="164" fontId="13" fillId="0" borderId="0" xfId="22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13" fillId="0" borderId="0" xfId="22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8" fontId="17" fillId="0" borderId="6" xfId="24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8" fillId="0" borderId="6" xfId="24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7" fillId="0" borderId="6" xfId="24" applyFont="true" applyBorder="true" applyAlignment="true" applyProtection="true">
      <alignment horizontal="left" vertical="center" textRotation="0" wrapText="true" indent="1" shrinkToFit="false" readingOrder="2"/>
      <protection locked="true" hidden="false"/>
    </xf>
    <xf numFmtId="164" fontId="17" fillId="0" borderId="6" xfId="24" applyFont="true" applyBorder="true" applyAlignment="true" applyProtection="true">
      <alignment horizontal="right" vertical="center" textRotation="0" wrapText="true" indent="1" shrinkToFit="false" readingOrder="2"/>
      <protection locked="true" hidden="false"/>
    </xf>
    <xf numFmtId="164" fontId="17" fillId="0" borderId="6" xfId="24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8" fontId="18" fillId="0" borderId="6" xfId="24" applyFont="true" applyBorder="true" applyAlignment="true" applyProtection="true">
      <alignment horizontal="right" vertical="center" textRotation="0" wrapText="true" indent="1" shrinkToFit="false" readingOrder="1"/>
      <protection locked="true" hidden="false"/>
    </xf>
    <xf numFmtId="168" fontId="17" fillId="0" borderId="6" xfId="24" applyFont="true" applyBorder="true" applyAlignment="true" applyProtection="true">
      <alignment horizontal="left" vertical="center" textRotation="0" wrapText="true" indent="1" shrinkToFit="false" readingOrder="1"/>
      <protection locked="true" hidden="false"/>
    </xf>
    <xf numFmtId="168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1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4" fillId="0" borderId="0" xfId="21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21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4" fillId="0" borderId="0" xfId="21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19" fillId="2" borderId="2" xfId="21" applyFont="true" applyBorder="true" applyAlignment="true" applyProtection="true">
      <alignment horizontal="right" vertical="top" textRotation="0" wrapText="false" indent="1" shrinkToFit="false"/>
      <protection locked="true" hidden="false"/>
    </xf>
    <xf numFmtId="164" fontId="19" fillId="2" borderId="2" xfId="21" applyFont="true" applyBorder="true" applyAlignment="true" applyProtection="true">
      <alignment horizontal="right" vertical="top" textRotation="0" wrapText="true" indent="1" shrinkToFit="false"/>
      <protection locked="true" hidden="false"/>
    </xf>
    <xf numFmtId="168" fontId="19" fillId="2" borderId="2" xfId="21" applyFont="true" applyBorder="true" applyAlignment="true" applyProtection="true">
      <alignment horizontal="right" vertical="top" textRotation="0" wrapText="true" indent="1" shrinkToFit="false"/>
      <protection locked="true" hidden="false"/>
    </xf>
    <xf numFmtId="164" fontId="13" fillId="2" borderId="2" xfId="21" applyFont="true" applyBorder="true" applyAlignment="true" applyProtection="true">
      <alignment horizontal="left" vertical="top" textRotation="0" wrapText="true" indent="1" shrinkToFit="false"/>
      <protection locked="true" hidden="false"/>
    </xf>
    <xf numFmtId="164" fontId="11" fillId="2" borderId="2" xfId="21" applyFont="true" applyBorder="true" applyAlignment="true" applyProtection="true">
      <alignment horizontal="right" vertical="top" textRotation="0" wrapText="true" indent="1" shrinkToFit="false"/>
      <protection locked="true" hidden="false"/>
    </xf>
    <xf numFmtId="164" fontId="19" fillId="2" borderId="3" xfId="21" applyFont="true" applyBorder="true" applyAlignment="true" applyProtection="true">
      <alignment horizontal="right" vertical="top" textRotation="0" wrapText="false" indent="1" shrinkToFit="false"/>
      <protection locked="true" hidden="false"/>
    </xf>
    <xf numFmtId="164" fontId="4" fillId="0" borderId="0" xfId="21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9" fontId="0" fillId="0" borderId="5" xfId="21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0" fillId="0" borderId="5" xfId="21" applyFont="true" applyBorder="true" applyAlignment="true" applyProtection="true">
      <alignment horizontal="right" vertical="bottom" textRotation="0" wrapText="false" indent="2" shrinkToFit="false"/>
      <protection locked="true" hidden="false"/>
    </xf>
    <xf numFmtId="164" fontId="0" fillId="0" borderId="5" xfId="21" applyFont="true" applyBorder="true" applyAlignment="true" applyProtection="true">
      <alignment horizontal="right" vertical="bottom" textRotation="0" wrapText="false" indent="1" shrinkToFit="false"/>
      <protection locked="true" hidden="false"/>
    </xf>
    <xf numFmtId="169" fontId="0" fillId="0" borderId="6" xfId="21" applyFont="true" applyBorder="true" applyAlignment="true" applyProtection="true">
      <alignment horizontal="right" vertical="bottom" textRotation="0" wrapText="false" indent="1" shrinkToFit="false"/>
      <protection locked="true" hidden="false"/>
    </xf>
    <xf numFmtId="170" fontId="4" fillId="4" borderId="12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12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12" xfId="21" applyFont="true" applyBorder="true" applyAlignment="true" applyProtection="true">
      <alignment horizontal="right" vertical="bottom" textRotation="0" wrapText="false" indent="1" shrinkToFit="false"/>
      <protection locked="true" hidden="false"/>
    </xf>
    <xf numFmtId="170" fontId="4" fillId="0" borderId="12" xfId="21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20" fillId="0" borderId="12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2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5" xfId="2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0" fillId="0" borderId="13" xfId="2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5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2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" fillId="0" borderId="1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22" fillId="2" borderId="2" xfId="21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22" fillId="2" borderId="2" xfId="21" applyFont="true" applyBorder="true" applyAlignment="true" applyProtection="true">
      <alignment horizontal="right" vertical="bottom" textRotation="0" wrapText="false" indent="2" shrinkToFit="false"/>
      <protection locked="true" hidden="false"/>
    </xf>
    <xf numFmtId="164" fontId="22" fillId="2" borderId="2" xfId="21" applyFont="true" applyBorder="true" applyAlignment="true" applyProtection="true">
      <alignment horizontal="right" vertical="bottom" textRotation="0" wrapText="false" indent="1" shrinkToFit="false"/>
      <protection locked="true" hidden="false"/>
    </xf>
    <xf numFmtId="168" fontId="22" fillId="2" borderId="2" xfId="21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22" fillId="2" borderId="2" xfId="21" applyFont="true" applyBorder="true" applyAlignment="true" applyProtection="true">
      <alignment horizontal="right" vertical="bottom" textRotation="0" wrapText="false" indent="2" shrinkToFit="false"/>
      <protection locked="true" hidden="false"/>
    </xf>
    <xf numFmtId="164" fontId="22" fillId="2" borderId="2" xfId="21" applyFont="true" applyBorder="true" applyAlignment="true" applyProtection="true">
      <alignment horizontal="left" vertical="bottom" textRotation="0" wrapText="false" indent="2" shrinkToFit="false"/>
      <protection locked="true" hidden="false"/>
    </xf>
    <xf numFmtId="170" fontId="13" fillId="2" borderId="2" xfId="2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3" xfId="21" applyFont="true" applyBorder="true" applyAlignment="true" applyProtection="true">
      <alignment horizontal="left" vertical="bottom" textRotation="0" wrapText="false" indent="1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Normal 2" xfId="21"/>
    <cellStyle name="Normal 2 2" xfId="22"/>
    <cellStyle name="Normal 3" xfId="23"/>
    <cellStyle name="Normal 3 2" xfId="24"/>
  </cellStyles>
  <dxfs count="8"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9B9B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F1F1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B9B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4543" displayName="Table14543" ref="A1:F128" headerRowCount="1" totalsRowCount="0" totalsRowShown="0">
  <autoFilter ref="A1:F128"/>
  <tableColumns count="6">
    <tableColumn id="1" name="#"/>
    <tableColumn id="2" name="اسم البند"/>
    <tableColumn id="3" name=" Description"/>
    <tableColumn id="4" name="UOM"/>
    <tableColumn id="5" name="Qty"/>
    <tableColumn id="6" name="Service Cost (US$)"/>
  </tableColumns>
</table>
</file>

<file path=xl/tables/table2.xml><?xml version="1.0" encoding="utf-8"?>
<table xmlns="http://schemas.openxmlformats.org/spreadsheetml/2006/main" id="2" name="Table145432" displayName="Table145432" ref="A1:H117" headerRowCount="1" totalsRowCount="0" totalsRowShown="0">
  <autoFilter ref="A1:H117"/>
  <tableColumns count="8">
    <tableColumn id="1" name="term_num"/>
    <tableColumn id="2" name="repair_type_ar"/>
    <tableColumn id="3" name="repair_type_en"/>
    <tableColumn id="4" name="repair_desc_ar"/>
    <tableColumn id="5" name="repair_desc_en"/>
    <tableColumn id="6" name="uom"/>
    <tableColumn id="7" name="qty"/>
    <tableColumn id="8" name="service_cos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0" ySplit="1" topLeftCell="A24" activePane="bottomLeft" state="frozen"/>
      <selection pane="topLeft" activeCell="A1" activeCellId="0" sqref="A1"/>
      <selection pane="bottomLeft" activeCell="B24" activeCellId="0" sqref="B24"/>
    </sheetView>
  </sheetViews>
  <sheetFormatPr defaultColWidth="8.890625" defaultRowHeight="14.25" zeroHeight="false" outlineLevelRow="0" outlineLevelCol="0"/>
  <cols>
    <col collapsed="false" customWidth="true" hidden="false" outlineLevel="0" max="1" min="1" style="1" width="23.82"/>
    <col collapsed="false" customWidth="true" hidden="false" outlineLevel="0" max="2" min="2" style="1" width="23.71"/>
    <col collapsed="false" customWidth="true" hidden="false" outlineLevel="0" max="3" min="3" style="1" width="24.83"/>
    <col collapsed="false" customWidth="true" hidden="false" outlineLevel="0" max="4" min="4" style="2" width="22.02"/>
    <col collapsed="false" customWidth="true" hidden="false" outlineLevel="0" max="5" min="5" style="1" width="34.89"/>
    <col collapsed="false" customWidth="true" hidden="false" outlineLevel="0" max="6" min="6" style="3" width="34.89"/>
    <col collapsed="false" customWidth="true" hidden="false" outlineLevel="0" max="7" min="7" style="2" width="25.22"/>
    <col collapsed="false" customWidth="true" hidden="false" outlineLevel="0" max="8" min="8" style="1" width="16.11"/>
    <col collapsed="false" customWidth="true" hidden="false" outlineLevel="0" max="9" min="9" style="1" width="37.44"/>
    <col collapsed="false" customWidth="true" hidden="false" outlineLevel="0" max="10" min="10" style="1" width="10"/>
    <col collapsed="false" customWidth="false" hidden="false" outlineLevel="0" max="16384" min="11" style="1" width="8.89"/>
  </cols>
  <sheetData>
    <row r="1" customFormat="false" ht="59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7" t="s">
        <v>6</v>
      </c>
      <c r="H1" s="5" t="s">
        <v>7</v>
      </c>
      <c r="I1" s="8" t="s">
        <v>8</v>
      </c>
    </row>
    <row r="2" customFormat="false" ht="21.75" hidden="false" customHeight="true" outlineLevel="0" collapsed="false">
      <c r="A2" s="9" t="n">
        <v>1225</v>
      </c>
      <c r="B2" s="10" t="n">
        <v>3122555</v>
      </c>
      <c r="C2" s="10" t="s">
        <v>9</v>
      </c>
      <c r="D2" s="11" t="s">
        <v>10</v>
      </c>
      <c r="E2" s="10" t="s">
        <v>11</v>
      </c>
      <c r="F2" s="12" t="s">
        <v>12</v>
      </c>
      <c r="G2" s="13" t="s">
        <v>13</v>
      </c>
      <c r="H2" s="14" t="s">
        <v>14</v>
      </c>
      <c r="I2" s="15"/>
    </row>
    <row r="3" customFormat="false" ht="21.75" hidden="false" customHeight="true" outlineLevel="0" collapsed="false">
      <c r="A3" s="16" t="n">
        <v>1222</v>
      </c>
      <c r="B3" s="17" t="n">
        <v>3122255</v>
      </c>
      <c r="C3" s="17" t="s">
        <v>9</v>
      </c>
      <c r="D3" s="11" t="s">
        <v>10</v>
      </c>
      <c r="E3" s="17" t="s">
        <v>11</v>
      </c>
      <c r="F3" s="18" t="s">
        <v>12</v>
      </c>
      <c r="G3" s="13" t="s">
        <v>15</v>
      </c>
      <c r="H3" s="14" t="s">
        <v>14</v>
      </c>
      <c r="I3" s="15"/>
    </row>
    <row r="4" customFormat="false" ht="21.75" hidden="false" customHeight="true" outlineLevel="0" collapsed="false">
      <c r="A4" s="16" t="n">
        <v>1174</v>
      </c>
      <c r="B4" s="17" t="n">
        <v>3117455</v>
      </c>
      <c r="C4" s="17" t="s">
        <v>9</v>
      </c>
      <c r="D4" s="11" t="s">
        <v>10</v>
      </c>
      <c r="E4" s="17" t="s">
        <v>11</v>
      </c>
      <c r="F4" s="18" t="s">
        <v>12</v>
      </c>
      <c r="G4" s="13" t="s">
        <v>15</v>
      </c>
      <c r="H4" s="19" t="s">
        <v>16</v>
      </c>
      <c r="I4" s="20"/>
    </row>
    <row r="5" customFormat="false" ht="21.75" hidden="false" customHeight="true" outlineLevel="0" collapsed="false">
      <c r="A5" s="16" t="n">
        <v>1067</v>
      </c>
      <c r="B5" s="17" t="n">
        <v>3106755</v>
      </c>
      <c r="C5" s="21" t="s">
        <v>17</v>
      </c>
      <c r="D5" s="22" t="s">
        <v>18</v>
      </c>
      <c r="E5" s="17" t="s">
        <v>19</v>
      </c>
      <c r="F5" s="18" t="s">
        <v>20</v>
      </c>
      <c r="G5" s="13" t="s">
        <v>13</v>
      </c>
      <c r="H5" s="14" t="s">
        <v>14</v>
      </c>
      <c r="I5" s="15"/>
    </row>
    <row r="6" customFormat="false" ht="21.75" hidden="false" customHeight="true" outlineLevel="0" collapsed="false">
      <c r="A6" s="16" t="n">
        <v>56</v>
      </c>
      <c r="B6" s="17" t="n">
        <v>3129055</v>
      </c>
      <c r="C6" s="17" t="s">
        <v>21</v>
      </c>
      <c r="D6" s="13" t="s">
        <v>22</v>
      </c>
      <c r="E6" s="17" t="s">
        <v>23</v>
      </c>
      <c r="F6" s="18" t="s">
        <v>24</v>
      </c>
      <c r="G6" s="13" t="s">
        <v>15</v>
      </c>
      <c r="H6" s="14" t="s">
        <v>14</v>
      </c>
      <c r="I6" s="20"/>
    </row>
    <row r="7" customFormat="false" ht="21.75" hidden="false" customHeight="true" outlineLevel="0" collapsed="false">
      <c r="A7" s="16" t="n">
        <v>57</v>
      </c>
      <c r="B7" s="17" t="n">
        <v>3129155</v>
      </c>
      <c r="C7" s="17" t="s">
        <v>21</v>
      </c>
      <c r="D7" s="13" t="s">
        <v>22</v>
      </c>
      <c r="E7" s="17" t="s">
        <v>23</v>
      </c>
      <c r="F7" s="18" t="s">
        <v>24</v>
      </c>
      <c r="G7" s="13" t="s">
        <v>15</v>
      </c>
      <c r="H7" s="23" t="s">
        <v>25</v>
      </c>
      <c r="I7" s="15"/>
    </row>
    <row r="8" customFormat="false" ht="21.75" hidden="false" customHeight="true" outlineLevel="0" collapsed="false">
      <c r="A8" s="16" t="n">
        <v>58</v>
      </c>
      <c r="B8" s="17" t="n">
        <v>3129255</v>
      </c>
      <c r="C8" s="17" t="s">
        <v>21</v>
      </c>
      <c r="D8" s="13" t="s">
        <v>22</v>
      </c>
      <c r="E8" s="17" t="s">
        <v>23</v>
      </c>
      <c r="F8" s="18" t="s">
        <v>24</v>
      </c>
      <c r="G8" s="13" t="s">
        <v>15</v>
      </c>
      <c r="H8" s="23" t="s">
        <v>25</v>
      </c>
      <c r="I8" s="15"/>
    </row>
    <row r="9" customFormat="false" ht="21.75" hidden="false" customHeight="true" outlineLevel="0" collapsed="false">
      <c r="A9" s="16" t="n">
        <v>1059</v>
      </c>
      <c r="B9" s="17" t="n">
        <v>3105955</v>
      </c>
      <c r="C9" s="21" t="s">
        <v>17</v>
      </c>
      <c r="D9" s="22" t="s">
        <v>18</v>
      </c>
      <c r="E9" s="17" t="s">
        <v>26</v>
      </c>
      <c r="F9" s="18" t="s">
        <v>27</v>
      </c>
      <c r="G9" s="13" t="s">
        <v>13</v>
      </c>
      <c r="H9" s="19" t="s">
        <v>16</v>
      </c>
      <c r="I9" s="20"/>
    </row>
    <row r="10" customFormat="false" ht="21.75" hidden="false" customHeight="true" outlineLevel="0" collapsed="false">
      <c r="A10" s="16" t="n">
        <v>1118</v>
      </c>
      <c r="B10" s="17" t="n">
        <v>3111855</v>
      </c>
      <c r="C10" s="21" t="s">
        <v>28</v>
      </c>
      <c r="D10" s="22" t="s">
        <v>29</v>
      </c>
      <c r="E10" s="21" t="s">
        <v>30</v>
      </c>
      <c r="F10" s="24" t="s">
        <v>31</v>
      </c>
      <c r="G10" s="13" t="s">
        <v>32</v>
      </c>
      <c r="H10" s="23" t="s">
        <v>25</v>
      </c>
      <c r="I10" s="15"/>
    </row>
    <row r="11" customFormat="false" ht="21.75" hidden="false" customHeight="true" outlineLevel="0" collapsed="false">
      <c r="A11" s="16" t="n">
        <v>1117</v>
      </c>
      <c r="B11" s="17" t="n">
        <v>3111755</v>
      </c>
      <c r="C11" s="21" t="s">
        <v>28</v>
      </c>
      <c r="D11" s="22" t="s">
        <v>29</v>
      </c>
      <c r="E11" s="21" t="s">
        <v>30</v>
      </c>
      <c r="F11" s="24" t="s">
        <v>31</v>
      </c>
      <c r="G11" s="13" t="s">
        <v>32</v>
      </c>
      <c r="H11" s="23" t="s">
        <v>25</v>
      </c>
      <c r="I11" s="15"/>
    </row>
    <row r="12" customFormat="false" ht="21.75" hidden="false" customHeight="true" outlineLevel="0" collapsed="false">
      <c r="A12" s="16" t="n">
        <v>1151</v>
      </c>
      <c r="B12" s="17" t="n">
        <v>3115155</v>
      </c>
      <c r="C12" s="21" t="s">
        <v>17</v>
      </c>
      <c r="D12" s="22" t="s">
        <v>18</v>
      </c>
      <c r="E12" s="17" t="s">
        <v>33</v>
      </c>
      <c r="F12" s="18" t="s">
        <v>34</v>
      </c>
      <c r="G12" s="13" t="s">
        <v>13</v>
      </c>
      <c r="H12" s="14" t="s">
        <v>14</v>
      </c>
      <c r="I12" s="15"/>
    </row>
    <row r="13" customFormat="false" ht="21.75" hidden="false" customHeight="true" outlineLevel="0" collapsed="false">
      <c r="A13" s="16" t="n">
        <v>1152</v>
      </c>
      <c r="B13" s="17" t="n">
        <v>3115255</v>
      </c>
      <c r="C13" s="21" t="s">
        <v>17</v>
      </c>
      <c r="D13" s="22" t="s">
        <v>18</v>
      </c>
      <c r="E13" s="17" t="s">
        <v>33</v>
      </c>
      <c r="F13" s="18" t="s">
        <v>34</v>
      </c>
      <c r="G13" s="13" t="s">
        <v>15</v>
      </c>
      <c r="H13" s="14" t="s">
        <v>14</v>
      </c>
      <c r="I13" s="15"/>
    </row>
    <row r="14" customFormat="false" ht="21.75" hidden="false" customHeight="true" outlineLevel="0" collapsed="false">
      <c r="A14" s="16" t="n">
        <v>1153</v>
      </c>
      <c r="B14" s="17" t="n">
        <v>3115355</v>
      </c>
      <c r="C14" s="21" t="s">
        <v>17</v>
      </c>
      <c r="D14" s="22" t="s">
        <v>18</v>
      </c>
      <c r="E14" s="17" t="s">
        <v>33</v>
      </c>
      <c r="F14" s="18" t="s">
        <v>34</v>
      </c>
      <c r="G14" s="13" t="s">
        <v>15</v>
      </c>
      <c r="H14" s="14" t="s">
        <v>14</v>
      </c>
      <c r="I14" s="15"/>
    </row>
    <row r="15" customFormat="false" ht="21.75" hidden="false" customHeight="true" outlineLevel="0" collapsed="false">
      <c r="A15" s="16" t="n">
        <v>28</v>
      </c>
      <c r="B15" s="17" t="n">
        <v>3064655</v>
      </c>
      <c r="C15" s="17" t="s">
        <v>35</v>
      </c>
      <c r="D15" s="13" t="s">
        <v>36</v>
      </c>
      <c r="E15" s="17" t="s">
        <v>37</v>
      </c>
      <c r="F15" s="18" t="s">
        <v>38</v>
      </c>
      <c r="G15" s="13" t="s">
        <v>15</v>
      </c>
      <c r="H15" s="14" t="s">
        <v>14</v>
      </c>
      <c r="I15" s="15"/>
    </row>
    <row r="16" customFormat="false" ht="21.75" hidden="false" customHeight="true" outlineLevel="0" collapsed="false">
      <c r="A16" s="16" t="n">
        <v>27</v>
      </c>
      <c r="B16" s="17" t="n">
        <v>3064755</v>
      </c>
      <c r="C16" s="17" t="s">
        <v>35</v>
      </c>
      <c r="D16" s="13" t="s">
        <v>36</v>
      </c>
      <c r="E16" s="17" t="s">
        <v>37</v>
      </c>
      <c r="F16" s="18" t="s">
        <v>39</v>
      </c>
      <c r="G16" s="13" t="s">
        <v>40</v>
      </c>
      <c r="H16" s="19" t="s">
        <v>16</v>
      </c>
      <c r="I16" s="20"/>
    </row>
    <row r="17" customFormat="false" ht="21.75" hidden="false" customHeight="true" outlineLevel="0" collapsed="false">
      <c r="A17" s="16" t="n">
        <v>30</v>
      </c>
      <c r="B17" s="17" t="n">
        <v>3064855</v>
      </c>
      <c r="C17" s="17" t="s">
        <v>35</v>
      </c>
      <c r="D17" s="13" t="s">
        <v>36</v>
      </c>
      <c r="E17" s="17" t="s">
        <v>37</v>
      </c>
      <c r="F17" s="18" t="s">
        <v>39</v>
      </c>
      <c r="G17" s="13" t="s">
        <v>13</v>
      </c>
      <c r="H17" s="23" t="s">
        <v>25</v>
      </c>
      <c r="I17" s="15"/>
    </row>
    <row r="18" customFormat="false" ht="21.75" hidden="false" customHeight="true" outlineLevel="0" collapsed="false">
      <c r="A18" s="25" t="s">
        <v>41</v>
      </c>
      <c r="B18" s="17" t="n">
        <v>3002155</v>
      </c>
      <c r="C18" s="21" t="s">
        <v>17</v>
      </c>
      <c r="D18" s="22" t="s">
        <v>18</v>
      </c>
      <c r="E18" s="17" t="s">
        <v>42</v>
      </c>
      <c r="F18" s="18" t="s">
        <v>43</v>
      </c>
      <c r="G18" s="13" t="s">
        <v>13</v>
      </c>
      <c r="H18" s="23" t="s">
        <v>25</v>
      </c>
      <c r="I18" s="15"/>
    </row>
    <row r="19" customFormat="false" ht="21.75" hidden="false" customHeight="true" outlineLevel="0" collapsed="false">
      <c r="A19" s="16" t="n">
        <v>1187</v>
      </c>
      <c r="B19" s="17" t="n">
        <v>3118755</v>
      </c>
      <c r="C19" s="21" t="s">
        <v>17</v>
      </c>
      <c r="D19" s="22" t="s">
        <v>18</v>
      </c>
      <c r="E19" s="17" t="s">
        <v>44</v>
      </c>
      <c r="F19" s="18" t="s">
        <v>45</v>
      </c>
      <c r="G19" s="13" t="s">
        <v>15</v>
      </c>
      <c r="H19" s="19" t="s">
        <v>16</v>
      </c>
      <c r="I19" s="20"/>
    </row>
    <row r="20" customFormat="false" ht="21.75" hidden="false" customHeight="true" outlineLevel="0" collapsed="false">
      <c r="A20" s="16" t="n">
        <v>73</v>
      </c>
      <c r="B20" s="17" t="n">
        <v>3118955</v>
      </c>
      <c r="C20" s="17" t="s">
        <v>35</v>
      </c>
      <c r="D20" s="13" t="s">
        <v>36</v>
      </c>
      <c r="E20" s="17" t="s">
        <v>46</v>
      </c>
      <c r="F20" s="18" t="s">
        <v>47</v>
      </c>
      <c r="G20" s="13" t="s">
        <v>13</v>
      </c>
      <c r="H20" s="23" t="s">
        <v>25</v>
      </c>
      <c r="I20" s="15"/>
    </row>
    <row r="21" customFormat="false" ht="21.75" hidden="false" customHeight="true" outlineLevel="0" collapsed="false">
      <c r="A21" s="16" t="n">
        <v>75</v>
      </c>
      <c r="B21" s="17" t="n">
        <v>3119055</v>
      </c>
      <c r="C21" s="17" t="s">
        <v>35</v>
      </c>
      <c r="D21" s="13" t="s">
        <v>36</v>
      </c>
      <c r="E21" s="17" t="s">
        <v>46</v>
      </c>
      <c r="F21" s="18" t="s">
        <v>47</v>
      </c>
      <c r="G21" s="13" t="s">
        <v>13</v>
      </c>
      <c r="H21" s="14" t="s">
        <v>14</v>
      </c>
      <c r="I21" s="15"/>
    </row>
    <row r="22" customFormat="false" ht="21.75" hidden="false" customHeight="true" outlineLevel="0" collapsed="false">
      <c r="A22" s="16" t="n">
        <v>16</v>
      </c>
      <c r="B22" s="17" t="n">
        <v>3065055</v>
      </c>
      <c r="C22" s="17" t="s">
        <v>35</v>
      </c>
      <c r="D22" s="13" t="s">
        <v>36</v>
      </c>
      <c r="E22" s="17" t="s">
        <v>46</v>
      </c>
      <c r="F22" s="18" t="s">
        <v>47</v>
      </c>
      <c r="G22" s="13" t="s">
        <v>13</v>
      </c>
      <c r="H22" s="23" t="s">
        <v>25</v>
      </c>
      <c r="I22" s="20"/>
    </row>
    <row r="23" customFormat="false" ht="21.75" hidden="false" customHeight="true" outlineLevel="0" collapsed="false">
      <c r="A23" s="16" t="n">
        <v>17</v>
      </c>
      <c r="B23" s="17" t="n">
        <v>3065155</v>
      </c>
      <c r="C23" s="17" t="s">
        <v>35</v>
      </c>
      <c r="D23" s="13" t="s">
        <v>36</v>
      </c>
      <c r="E23" s="17" t="s">
        <v>46</v>
      </c>
      <c r="F23" s="18" t="s">
        <v>47</v>
      </c>
      <c r="G23" s="13" t="s">
        <v>13</v>
      </c>
      <c r="H23" s="23" t="s">
        <v>25</v>
      </c>
      <c r="I23" s="20"/>
    </row>
    <row r="24" customFormat="false" ht="21.75" hidden="false" customHeight="true" outlineLevel="0" collapsed="false">
      <c r="A24" s="16" t="n">
        <v>88</v>
      </c>
      <c r="B24" s="17" t="n">
        <v>3108855</v>
      </c>
      <c r="C24" s="17" t="s">
        <v>48</v>
      </c>
      <c r="D24" s="13" t="s">
        <v>49</v>
      </c>
      <c r="E24" s="17" t="s">
        <v>50</v>
      </c>
      <c r="F24" s="18" t="s">
        <v>51</v>
      </c>
      <c r="G24" s="13" t="s">
        <v>13</v>
      </c>
      <c r="H24" s="14" t="s">
        <v>14</v>
      </c>
      <c r="I24" s="15"/>
    </row>
    <row r="25" customFormat="false" ht="21.75" hidden="false" customHeight="true" outlineLevel="0" collapsed="false">
      <c r="A25" s="16" t="n">
        <v>86</v>
      </c>
      <c r="B25" s="17" t="n">
        <v>3108655</v>
      </c>
      <c r="C25" s="17" t="s">
        <v>48</v>
      </c>
      <c r="D25" s="13" t="s">
        <v>49</v>
      </c>
      <c r="E25" s="17" t="s">
        <v>50</v>
      </c>
      <c r="F25" s="18" t="s">
        <v>51</v>
      </c>
      <c r="G25" s="13" t="s">
        <v>13</v>
      </c>
      <c r="H25" s="14" t="s">
        <v>14</v>
      </c>
      <c r="I25" s="15"/>
    </row>
    <row r="26" customFormat="false" ht="21.75" hidden="false" customHeight="true" outlineLevel="0" collapsed="false">
      <c r="A26" s="16" t="n">
        <v>87</v>
      </c>
      <c r="B26" s="17" t="n">
        <v>3108755</v>
      </c>
      <c r="C26" s="17" t="s">
        <v>52</v>
      </c>
      <c r="D26" s="13" t="s">
        <v>53</v>
      </c>
      <c r="E26" s="17" t="s">
        <v>50</v>
      </c>
      <c r="F26" s="18" t="s">
        <v>51</v>
      </c>
      <c r="G26" s="13" t="s">
        <v>13</v>
      </c>
      <c r="H26" s="14" t="s">
        <v>14</v>
      </c>
      <c r="I26" s="15"/>
    </row>
    <row r="27" customFormat="false" ht="21.75" hidden="false" customHeight="true" outlineLevel="0" collapsed="false">
      <c r="A27" s="16" t="n">
        <v>33</v>
      </c>
      <c r="B27" s="17" t="n">
        <v>3114355</v>
      </c>
      <c r="C27" s="17" t="s">
        <v>21</v>
      </c>
      <c r="D27" s="13" t="s">
        <v>22</v>
      </c>
      <c r="E27" s="17" t="s">
        <v>54</v>
      </c>
      <c r="F27" s="18" t="s">
        <v>55</v>
      </c>
      <c r="G27" s="13" t="s">
        <v>13</v>
      </c>
      <c r="H27" s="14" t="s">
        <v>14</v>
      </c>
      <c r="I27" s="15"/>
    </row>
    <row r="28" customFormat="false" ht="21.75" hidden="false" customHeight="true" outlineLevel="0" collapsed="false">
      <c r="A28" s="16" t="n">
        <v>35</v>
      </c>
      <c r="B28" s="17" t="n">
        <v>3114655</v>
      </c>
      <c r="C28" s="17" t="s">
        <v>21</v>
      </c>
      <c r="D28" s="13" t="s">
        <v>22</v>
      </c>
      <c r="E28" s="17" t="s">
        <v>54</v>
      </c>
      <c r="F28" s="18" t="s">
        <v>55</v>
      </c>
      <c r="G28" s="13" t="s">
        <v>15</v>
      </c>
      <c r="H28" s="14" t="s">
        <v>14</v>
      </c>
      <c r="I28" s="15"/>
    </row>
    <row r="29" customFormat="false" ht="21.75" hidden="false" customHeight="true" outlineLevel="0" collapsed="false">
      <c r="A29" s="16" t="n">
        <v>37</v>
      </c>
      <c r="B29" s="17" t="n">
        <v>3114555</v>
      </c>
      <c r="C29" s="17" t="s">
        <v>21</v>
      </c>
      <c r="D29" s="13" t="s">
        <v>22</v>
      </c>
      <c r="E29" s="17" t="s">
        <v>54</v>
      </c>
      <c r="F29" s="18" t="s">
        <v>55</v>
      </c>
      <c r="G29" s="13" t="s">
        <v>15</v>
      </c>
      <c r="H29" s="23" t="s">
        <v>25</v>
      </c>
      <c r="I29" s="15"/>
    </row>
    <row r="30" customFormat="false" ht="21.75" hidden="false" customHeight="true" outlineLevel="0" collapsed="false">
      <c r="A30" s="16" t="n">
        <v>38</v>
      </c>
      <c r="B30" s="17" t="n">
        <v>3114155</v>
      </c>
      <c r="C30" s="17" t="s">
        <v>21</v>
      </c>
      <c r="D30" s="13" t="s">
        <v>22</v>
      </c>
      <c r="E30" s="17" t="s">
        <v>54</v>
      </c>
      <c r="F30" s="18" t="s">
        <v>55</v>
      </c>
      <c r="G30" s="13" t="s">
        <v>13</v>
      </c>
      <c r="H30" s="14" t="s">
        <v>14</v>
      </c>
      <c r="I30" s="15"/>
    </row>
    <row r="31" customFormat="false" ht="21.75" hidden="false" customHeight="true" outlineLevel="0" collapsed="false">
      <c r="A31" s="16" t="n">
        <v>39</v>
      </c>
      <c r="B31" s="17" t="n">
        <v>3113755</v>
      </c>
      <c r="C31" s="17" t="s">
        <v>21</v>
      </c>
      <c r="D31" s="13" t="s">
        <v>22</v>
      </c>
      <c r="E31" s="17" t="s">
        <v>54</v>
      </c>
      <c r="F31" s="18" t="s">
        <v>56</v>
      </c>
      <c r="G31" s="13" t="s">
        <v>13</v>
      </c>
      <c r="H31" s="23" t="s">
        <v>25</v>
      </c>
      <c r="I31" s="15"/>
    </row>
    <row r="32" customFormat="false" ht="21.75" hidden="false" customHeight="true" outlineLevel="0" collapsed="false">
      <c r="A32" s="16" t="n">
        <v>40</v>
      </c>
      <c r="B32" s="17" t="n">
        <v>3114455</v>
      </c>
      <c r="C32" s="17" t="s">
        <v>21</v>
      </c>
      <c r="D32" s="13" t="s">
        <v>22</v>
      </c>
      <c r="E32" s="17" t="s">
        <v>54</v>
      </c>
      <c r="F32" s="18" t="s">
        <v>57</v>
      </c>
      <c r="G32" s="13" t="s">
        <v>15</v>
      </c>
      <c r="H32" s="14" t="s">
        <v>14</v>
      </c>
      <c r="I32" s="20"/>
      <c r="J32" s="26"/>
    </row>
    <row r="33" customFormat="false" ht="21.75" hidden="false" customHeight="true" outlineLevel="0" collapsed="false">
      <c r="A33" s="16" t="n">
        <v>400</v>
      </c>
      <c r="B33" s="17" t="n">
        <v>3113855</v>
      </c>
      <c r="C33" s="17" t="s">
        <v>58</v>
      </c>
      <c r="D33" s="13" t="s">
        <v>59</v>
      </c>
      <c r="E33" s="17" t="s">
        <v>60</v>
      </c>
      <c r="F33" s="18" t="s">
        <v>61</v>
      </c>
      <c r="G33" s="13" t="s">
        <v>15</v>
      </c>
      <c r="H33" s="14" t="s">
        <v>14</v>
      </c>
      <c r="I33" s="20"/>
    </row>
    <row r="34" customFormat="false" ht="21.75" hidden="false" customHeight="true" outlineLevel="0" collapsed="false">
      <c r="A34" s="16" t="n">
        <v>401</v>
      </c>
      <c r="B34" s="17" t="n">
        <v>3113955</v>
      </c>
      <c r="C34" s="17" t="s">
        <v>58</v>
      </c>
      <c r="D34" s="13" t="s">
        <v>59</v>
      </c>
      <c r="E34" s="17" t="s">
        <v>60</v>
      </c>
      <c r="F34" s="18" t="s">
        <v>61</v>
      </c>
      <c r="G34" s="13" t="s">
        <v>15</v>
      </c>
      <c r="H34" s="14" t="s">
        <v>14</v>
      </c>
      <c r="I34" s="20"/>
    </row>
    <row r="35" customFormat="false" ht="21.75" hidden="false" customHeight="true" outlineLevel="0" collapsed="false">
      <c r="A35" s="16" t="n">
        <v>402</v>
      </c>
      <c r="B35" s="17" t="n">
        <v>3114055</v>
      </c>
      <c r="C35" s="17" t="s">
        <v>58</v>
      </c>
      <c r="D35" s="13" t="s">
        <v>59</v>
      </c>
      <c r="E35" s="17" t="s">
        <v>60</v>
      </c>
      <c r="F35" s="18" t="s">
        <v>61</v>
      </c>
      <c r="G35" s="13" t="s">
        <v>15</v>
      </c>
      <c r="H35" s="23" t="s">
        <v>25</v>
      </c>
      <c r="I35" s="20"/>
    </row>
    <row r="36" customFormat="false" ht="21.75" hidden="false" customHeight="true" outlineLevel="0" collapsed="false">
      <c r="A36" s="16" t="n">
        <v>1175</v>
      </c>
      <c r="B36" s="17" t="n">
        <v>3117555</v>
      </c>
      <c r="C36" s="17" t="s">
        <v>62</v>
      </c>
      <c r="D36" s="13" t="s">
        <v>63</v>
      </c>
      <c r="E36" s="17" t="s">
        <v>64</v>
      </c>
      <c r="F36" s="18" t="s">
        <v>65</v>
      </c>
      <c r="G36" s="13" t="s">
        <v>40</v>
      </c>
      <c r="H36" s="19" t="s">
        <v>16</v>
      </c>
      <c r="I36" s="20"/>
    </row>
    <row r="37" customFormat="false" ht="21.75" hidden="false" customHeight="true" outlineLevel="0" collapsed="false">
      <c r="A37" s="16" t="n">
        <v>1165</v>
      </c>
      <c r="B37" s="17" t="n">
        <v>3116555</v>
      </c>
      <c r="C37" s="17" t="s">
        <v>66</v>
      </c>
      <c r="D37" s="13" t="s">
        <v>67</v>
      </c>
      <c r="E37" s="17" t="s">
        <v>68</v>
      </c>
      <c r="F37" s="18" t="s">
        <v>69</v>
      </c>
      <c r="G37" s="13" t="s">
        <v>40</v>
      </c>
      <c r="H37" s="19" t="s">
        <v>16</v>
      </c>
      <c r="I37" s="20"/>
    </row>
    <row r="38" customFormat="false" ht="21.75" hidden="false" customHeight="true" outlineLevel="0" collapsed="false">
      <c r="A38" s="16" t="n">
        <v>1173</v>
      </c>
      <c r="B38" s="17" t="n">
        <v>3117355</v>
      </c>
      <c r="C38" s="17" t="s">
        <v>66</v>
      </c>
      <c r="D38" s="13" t="s">
        <v>67</v>
      </c>
      <c r="E38" s="17" t="s">
        <v>68</v>
      </c>
      <c r="F38" s="18" t="s">
        <v>69</v>
      </c>
      <c r="G38" s="13" t="s">
        <v>40</v>
      </c>
      <c r="H38" s="19" t="s">
        <v>16</v>
      </c>
      <c r="I38" s="20"/>
    </row>
    <row r="39" customFormat="false" ht="21.75" hidden="false" customHeight="true" outlineLevel="0" collapsed="false">
      <c r="A39" s="16" t="n">
        <v>1172</v>
      </c>
      <c r="B39" s="17" t="n">
        <v>3117255</v>
      </c>
      <c r="C39" s="17" t="s">
        <v>70</v>
      </c>
      <c r="D39" s="13" t="s">
        <v>71</v>
      </c>
      <c r="E39" s="17" t="s">
        <v>72</v>
      </c>
      <c r="F39" s="18" t="s">
        <v>73</v>
      </c>
      <c r="G39" s="13" t="s">
        <v>40</v>
      </c>
      <c r="H39" s="19" t="s">
        <v>16</v>
      </c>
      <c r="I39" s="20"/>
    </row>
    <row r="40" customFormat="false" ht="21.75" hidden="false" customHeight="true" outlineLevel="0" collapsed="false">
      <c r="A40" s="16" t="n">
        <v>1177</v>
      </c>
      <c r="B40" s="17" t="n">
        <v>3117755</v>
      </c>
      <c r="C40" s="17" t="s">
        <v>70</v>
      </c>
      <c r="D40" s="13" t="s">
        <v>71</v>
      </c>
      <c r="E40" s="17" t="s">
        <v>72</v>
      </c>
      <c r="F40" s="18" t="s">
        <v>73</v>
      </c>
      <c r="G40" s="13" t="s">
        <v>40</v>
      </c>
      <c r="H40" s="19" t="s">
        <v>16</v>
      </c>
      <c r="I40" s="20"/>
    </row>
    <row r="41" customFormat="false" ht="21.75" hidden="false" customHeight="true" outlineLevel="0" collapsed="false">
      <c r="A41" s="27" t="n">
        <v>1176</v>
      </c>
      <c r="B41" s="28" t="n">
        <v>3117655</v>
      </c>
      <c r="C41" s="28" t="s">
        <v>74</v>
      </c>
      <c r="D41" s="29" t="s">
        <v>75</v>
      </c>
      <c r="E41" s="28" t="s">
        <v>76</v>
      </c>
      <c r="F41" s="30" t="s">
        <v>77</v>
      </c>
      <c r="G41" s="29" t="s">
        <v>40</v>
      </c>
      <c r="H41" s="31" t="s">
        <v>16</v>
      </c>
      <c r="I41" s="32"/>
    </row>
  </sheetData>
  <autoFilter ref="A1:I41">
    <sortState ref="A2:I41">
      <sortCondition ref="A2:A4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6" activePane="bottomLeft" state="frozen"/>
      <selection pane="topLeft" activeCell="A1" activeCellId="0" sqref="A1"/>
      <selection pane="bottomLeft" activeCell="B19" activeCellId="0" sqref="B19"/>
    </sheetView>
  </sheetViews>
  <sheetFormatPr defaultColWidth="8.890625" defaultRowHeight="14.25" zeroHeight="false" outlineLevelRow="0" outlineLevelCol="0"/>
  <cols>
    <col collapsed="false" customWidth="true" hidden="false" outlineLevel="0" max="1" min="1" style="33" width="6.78"/>
    <col collapsed="false" customWidth="true" hidden="false" outlineLevel="0" max="2" min="2" style="34" width="24.78"/>
    <col collapsed="false" customWidth="true" hidden="false" outlineLevel="0" max="3" min="3" style="34" width="38.78"/>
    <col collapsed="false" customWidth="true" hidden="false" outlineLevel="0" max="4" min="4" style="33" width="9"/>
    <col collapsed="false" customWidth="true" hidden="false" outlineLevel="0" max="5" min="5" style="33" width="7.45"/>
    <col collapsed="false" customWidth="true" hidden="false" outlineLevel="0" max="6" min="6" style="33" width="14.44"/>
    <col collapsed="false" customWidth="false" hidden="false" outlineLevel="0" max="16384" min="7" style="33" width="8.89"/>
  </cols>
  <sheetData>
    <row r="1" s="37" customFormat="true" ht="36" hidden="false" customHeight="true" outlineLevel="0" collapsed="false">
      <c r="A1" s="35" t="s">
        <v>78</v>
      </c>
      <c r="B1" s="36" t="s">
        <v>79</v>
      </c>
      <c r="C1" s="35" t="s">
        <v>80</v>
      </c>
      <c r="D1" s="35" t="s">
        <v>81</v>
      </c>
      <c r="E1" s="35" t="s">
        <v>82</v>
      </c>
      <c r="F1" s="35" t="s">
        <v>83</v>
      </c>
    </row>
    <row r="2" customFormat="false" ht="15.65" hidden="false" customHeight="false" outlineLevel="0" collapsed="false">
      <c r="A2" s="38" t="s">
        <v>84</v>
      </c>
      <c r="B2" s="39" t="s">
        <v>85</v>
      </c>
      <c r="C2" s="40" t="s">
        <v>86</v>
      </c>
      <c r="D2" s="41"/>
      <c r="E2" s="42"/>
      <c r="F2" s="42"/>
    </row>
    <row r="3" customFormat="false" ht="15.65" hidden="false" customHeight="false" outlineLevel="0" collapsed="false">
      <c r="A3" s="43" t="s">
        <v>87</v>
      </c>
      <c r="B3" s="44" t="s">
        <v>88</v>
      </c>
      <c r="C3" s="45" t="s">
        <v>89</v>
      </c>
      <c r="D3" s="45" t="s">
        <v>90</v>
      </c>
      <c r="E3" s="46" t="n">
        <v>1</v>
      </c>
      <c r="F3" s="46" t="n">
        <v>100</v>
      </c>
    </row>
    <row r="4" customFormat="false" ht="15.65" hidden="false" customHeight="false" outlineLevel="0" collapsed="false">
      <c r="A4" s="43" t="s">
        <v>91</v>
      </c>
      <c r="B4" s="44" t="s">
        <v>92</v>
      </c>
      <c r="C4" s="45" t="s">
        <v>93</v>
      </c>
      <c r="D4" s="45" t="s">
        <v>90</v>
      </c>
      <c r="E4" s="46" t="n">
        <v>1</v>
      </c>
      <c r="F4" s="46" t="n">
        <v>100</v>
      </c>
    </row>
    <row r="5" customFormat="false" ht="15.65" hidden="false" customHeight="false" outlineLevel="0" collapsed="false">
      <c r="A5" s="43" t="s">
        <v>94</v>
      </c>
      <c r="B5" s="44" t="s">
        <v>95</v>
      </c>
      <c r="C5" s="45" t="s">
        <v>96</v>
      </c>
      <c r="D5" s="45" t="s">
        <v>90</v>
      </c>
      <c r="E5" s="46" t="n">
        <v>1</v>
      </c>
      <c r="F5" s="46" t="n">
        <v>100</v>
      </c>
    </row>
    <row r="6" customFormat="false" ht="15.65" hidden="false" customHeight="false" outlineLevel="0" collapsed="false">
      <c r="A6" s="43" t="s">
        <v>97</v>
      </c>
      <c r="B6" s="44" t="s">
        <v>98</v>
      </c>
      <c r="C6" s="45" t="s">
        <v>99</v>
      </c>
      <c r="D6" s="45" t="s">
        <v>100</v>
      </c>
      <c r="E6" s="46" t="n">
        <v>1</v>
      </c>
      <c r="F6" s="46" t="n">
        <v>100</v>
      </c>
    </row>
    <row r="7" customFormat="false" ht="15.65" hidden="false" customHeight="false" outlineLevel="0" collapsed="false">
      <c r="A7" s="43" t="s">
        <v>101</v>
      </c>
      <c r="B7" s="44" t="s">
        <v>102</v>
      </c>
      <c r="C7" s="45" t="s">
        <v>103</v>
      </c>
      <c r="D7" s="45" t="s">
        <v>90</v>
      </c>
      <c r="E7" s="46" t="n">
        <v>1</v>
      </c>
      <c r="F7" s="46" t="n">
        <v>50</v>
      </c>
    </row>
    <row r="8" customFormat="false" ht="15.65" hidden="false" customHeight="false" outlineLevel="0" collapsed="false">
      <c r="A8" s="43" t="s">
        <v>104</v>
      </c>
      <c r="B8" s="44" t="s">
        <v>105</v>
      </c>
      <c r="C8" s="45" t="s">
        <v>106</v>
      </c>
      <c r="D8" s="45" t="s">
        <v>90</v>
      </c>
      <c r="E8" s="46" t="n">
        <v>1</v>
      </c>
      <c r="F8" s="46" t="n">
        <v>20</v>
      </c>
    </row>
    <row r="9" customFormat="false" ht="15.65" hidden="false" customHeight="false" outlineLevel="0" collapsed="false">
      <c r="A9" s="43" t="s">
        <v>107</v>
      </c>
      <c r="B9" s="44" t="s">
        <v>108</v>
      </c>
      <c r="C9" s="45" t="s">
        <v>109</v>
      </c>
      <c r="D9" s="45" t="s">
        <v>90</v>
      </c>
      <c r="E9" s="46" t="n">
        <v>1</v>
      </c>
      <c r="F9" s="46" t="n">
        <v>20</v>
      </c>
    </row>
    <row r="10" customFormat="false" ht="15.65" hidden="false" customHeight="false" outlineLevel="0" collapsed="false">
      <c r="A10" s="43" t="s">
        <v>110</v>
      </c>
      <c r="B10" s="44" t="s">
        <v>111</v>
      </c>
      <c r="C10" s="45" t="s">
        <v>112</v>
      </c>
      <c r="D10" s="45" t="s">
        <v>90</v>
      </c>
      <c r="E10" s="46" t="n">
        <v>1</v>
      </c>
      <c r="F10" s="46" t="n">
        <v>20</v>
      </c>
    </row>
    <row r="11" customFormat="false" ht="15.65" hidden="false" customHeight="false" outlineLevel="0" collapsed="false">
      <c r="A11" s="43" t="s">
        <v>113</v>
      </c>
      <c r="B11" s="44" t="s">
        <v>114</v>
      </c>
      <c r="C11" s="45" t="s">
        <v>115</v>
      </c>
      <c r="D11" s="45" t="s">
        <v>90</v>
      </c>
      <c r="E11" s="46" t="n">
        <v>1</v>
      </c>
      <c r="F11" s="46" t="n">
        <v>20</v>
      </c>
    </row>
    <row r="12" customFormat="false" ht="15.65" hidden="false" customHeight="false" outlineLevel="0" collapsed="false">
      <c r="A12" s="43" t="s">
        <v>116</v>
      </c>
      <c r="B12" s="44" t="s">
        <v>117</v>
      </c>
      <c r="C12" s="45" t="s">
        <v>118</v>
      </c>
      <c r="D12" s="45" t="s">
        <v>90</v>
      </c>
      <c r="E12" s="46" t="n">
        <v>1</v>
      </c>
      <c r="F12" s="46" t="n">
        <v>20</v>
      </c>
    </row>
    <row r="13" customFormat="false" ht="15.65" hidden="false" customHeight="false" outlineLevel="0" collapsed="false">
      <c r="A13" s="43" t="s">
        <v>119</v>
      </c>
      <c r="B13" s="44" t="s">
        <v>120</v>
      </c>
      <c r="C13" s="45" t="s">
        <v>121</v>
      </c>
      <c r="D13" s="45" t="s">
        <v>90</v>
      </c>
      <c r="E13" s="46" t="n">
        <v>1</v>
      </c>
      <c r="F13" s="46" t="n">
        <v>20</v>
      </c>
    </row>
    <row r="14" customFormat="false" ht="15.65" hidden="false" customHeight="false" outlineLevel="0" collapsed="false">
      <c r="A14" s="43" t="s">
        <v>122</v>
      </c>
      <c r="B14" s="44" t="s">
        <v>123</v>
      </c>
      <c r="C14" s="45" t="s">
        <v>124</v>
      </c>
      <c r="D14" s="45" t="s">
        <v>90</v>
      </c>
      <c r="E14" s="46" t="n">
        <v>1</v>
      </c>
      <c r="F14" s="46" t="n">
        <v>20</v>
      </c>
    </row>
    <row r="15" customFormat="false" ht="15.65" hidden="false" customHeight="false" outlineLevel="0" collapsed="false">
      <c r="A15" s="43" t="s">
        <v>125</v>
      </c>
      <c r="B15" s="44" t="s">
        <v>126</v>
      </c>
      <c r="C15" s="45" t="s">
        <v>127</v>
      </c>
      <c r="D15" s="45" t="s">
        <v>90</v>
      </c>
      <c r="E15" s="46" t="n">
        <v>1</v>
      </c>
      <c r="F15" s="46" t="n">
        <v>50</v>
      </c>
    </row>
    <row r="16" customFormat="false" ht="15.65" hidden="false" customHeight="false" outlineLevel="0" collapsed="false">
      <c r="A16" s="43" t="s">
        <v>128</v>
      </c>
      <c r="B16" s="44" t="s">
        <v>129</v>
      </c>
      <c r="C16" s="45" t="s">
        <v>130</v>
      </c>
      <c r="D16" s="45" t="s">
        <v>90</v>
      </c>
      <c r="E16" s="46" t="n">
        <v>1</v>
      </c>
      <c r="F16" s="46" t="n">
        <v>50</v>
      </c>
    </row>
    <row r="17" customFormat="false" ht="15.65" hidden="false" customHeight="false" outlineLevel="0" collapsed="false">
      <c r="A17" s="43" t="s">
        <v>131</v>
      </c>
      <c r="B17" s="44" t="s">
        <v>132</v>
      </c>
      <c r="C17" s="45" t="s">
        <v>133</v>
      </c>
      <c r="D17" s="45" t="s">
        <v>90</v>
      </c>
      <c r="E17" s="46" t="n">
        <v>1</v>
      </c>
      <c r="F17" s="46" t="n">
        <v>50</v>
      </c>
    </row>
    <row r="18" customFormat="false" ht="15.65" hidden="false" customHeight="false" outlineLevel="0" collapsed="false">
      <c r="A18" s="43" t="s">
        <v>134</v>
      </c>
      <c r="B18" s="44" t="s">
        <v>135</v>
      </c>
      <c r="C18" s="45" t="s">
        <v>136</v>
      </c>
      <c r="D18" s="45" t="s">
        <v>90</v>
      </c>
      <c r="E18" s="46" t="n">
        <v>1</v>
      </c>
      <c r="F18" s="46" t="n">
        <v>50</v>
      </c>
    </row>
    <row r="19" customFormat="false" ht="15.65" hidden="false" customHeight="false" outlineLevel="0" collapsed="false">
      <c r="A19" s="43" t="s">
        <v>137</v>
      </c>
      <c r="B19" s="44" t="s">
        <v>138</v>
      </c>
      <c r="C19" s="45" t="s">
        <v>139</v>
      </c>
      <c r="D19" s="45" t="s">
        <v>90</v>
      </c>
      <c r="E19" s="46" t="n">
        <v>1</v>
      </c>
      <c r="F19" s="46" t="n">
        <v>200</v>
      </c>
    </row>
    <row r="20" customFormat="false" ht="15.65" hidden="false" customHeight="false" outlineLevel="0" collapsed="false">
      <c r="A20" s="43" t="s">
        <v>140</v>
      </c>
      <c r="B20" s="44" t="s">
        <v>141</v>
      </c>
      <c r="C20" s="45" t="s">
        <v>142</v>
      </c>
      <c r="D20" s="45" t="s">
        <v>90</v>
      </c>
      <c r="E20" s="46" t="n">
        <v>1</v>
      </c>
      <c r="F20" s="46" t="n">
        <v>50</v>
      </c>
    </row>
    <row r="21" customFormat="false" ht="15.65" hidden="false" customHeight="false" outlineLevel="0" collapsed="false">
      <c r="A21" s="43" t="s">
        <v>143</v>
      </c>
      <c r="B21" s="44" t="s">
        <v>144</v>
      </c>
      <c r="C21" s="45" t="s">
        <v>145</v>
      </c>
      <c r="D21" s="45" t="s">
        <v>90</v>
      </c>
      <c r="E21" s="46" t="n">
        <v>1</v>
      </c>
      <c r="F21" s="46" t="n">
        <v>200</v>
      </c>
    </row>
    <row r="22" customFormat="false" ht="15.65" hidden="false" customHeight="false" outlineLevel="0" collapsed="false">
      <c r="A22" s="47" t="s">
        <v>146</v>
      </c>
      <c r="B22" s="48" t="s">
        <v>147</v>
      </c>
      <c r="C22" s="49" t="s">
        <v>148</v>
      </c>
      <c r="D22" s="45"/>
      <c r="E22" s="46"/>
      <c r="F22" s="46"/>
    </row>
    <row r="23" customFormat="false" ht="15.65" hidden="false" customHeight="false" outlineLevel="0" collapsed="false">
      <c r="A23" s="43" t="s">
        <v>149</v>
      </c>
      <c r="B23" s="44" t="s">
        <v>150</v>
      </c>
      <c r="C23" s="45" t="s">
        <v>151</v>
      </c>
      <c r="D23" s="45" t="s">
        <v>90</v>
      </c>
      <c r="E23" s="46" t="n">
        <v>1</v>
      </c>
      <c r="F23" s="46" t="n">
        <v>200</v>
      </c>
    </row>
    <row r="24" customFormat="false" ht="15.65" hidden="false" customHeight="false" outlineLevel="0" collapsed="false">
      <c r="A24" s="43" t="s">
        <v>152</v>
      </c>
      <c r="B24" s="44" t="s">
        <v>153</v>
      </c>
      <c r="C24" s="45" t="s">
        <v>154</v>
      </c>
      <c r="D24" s="45" t="s">
        <v>90</v>
      </c>
      <c r="E24" s="46" t="n">
        <v>1</v>
      </c>
      <c r="F24" s="46" t="n">
        <v>100</v>
      </c>
    </row>
    <row r="25" customFormat="false" ht="15.65" hidden="false" customHeight="false" outlineLevel="0" collapsed="false">
      <c r="A25" s="43" t="s">
        <v>155</v>
      </c>
      <c r="B25" s="44" t="s">
        <v>156</v>
      </c>
      <c r="C25" s="45" t="s">
        <v>157</v>
      </c>
      <c r="D25" s="45" t="s">
        <v>90</v>
      </c>
      <c r="E25" s="46" t="n">
        <v>1</v>
      </c>
      <c r="F25" s="46" t="n">
        <v>50</v>
      </c>
    </row>
    <row r="26" customFormat="false" ht="15.65" hidden="false" customHeight="false" outlineLevel="0" collapsed="false">
      <c r="A26" s="43" t="s">
        <v>158</v>
      </c>
      <c r="B26" s="44" t="s">
        <v>159</v>
      </c>
      <c r="C26" s="45" t="s">
        <v>160</v>
      </c>
      <c r="D26" s="45" t="s">
        <v>90</v>
      </c>
      <c r="E26" s="46" t="n">
        <v>1</v>
      </c>
      <c r="F26" s="46" t="n">
        <v>200</v>
      </c>
    </row>
    <row r="27" customFormat="false" ht="15.65" hidden="false" customHeight="false" outlineLevel="0" collapsed="false">
      <c r="A27" s="43" t="s">
        <v>161</v>
      </c>
      <c r="B27" s="44" t="s">
        <v>162</v>
      </c>
      <c r="C27" s="45" t="s">
        <v>163</v>
      </c>
      <c r="D27" s="45" t="s">
        <v>90</v>
      </c>
      <c r="E27" s="46" t="n">
        <v>1</v>
      </c>
      <c r="F27" s="46" t="n">
        <v>200</v>
      </c>
    </row>
    <row r="28" customFormat="false" ht="15.65" hidden="false" customHeight="false" outlineLevel="0" collapsed="false">
      <c r="A28" s="43" t="s">
        <v>164</v>
      </c>
      <c r="B28" s="44" t="s">
        <v>165</v>
      </c>
      <c r="C28" s="45" t="s">
        <v>166</v>
      </c>
      <c r="D28" s="45" t="s">
        <v>90</v>
      </c>
      <c r="E28" s="46" t="n">
        <v>1</v>
      </c>
      <c r="F28" s="46" t="n">
        <v>100</v>
      </c>
    </row>
    <row r="29" customFormat="false" ht="15.65" hidden="false" customHeight="false" outlineLevel="0" collapsed="false">
      <c r="A29" s="47" t="s">
        <v>167</v>
      </c>
      <c r="B29" s="48" t="s">
        <v>168</v>
      </c>
      <c r="C29" s="49" t="s">
        <v>169</v>
      </c>
      <c r="D29" s="45"/>
      <c r="E29" s="46"/>
      <c r="F29" s="46"/>
    </row>
    <row r="30" customFormat="false" ht="15.65" hidden="false" customHeight="false" outlineLevel="0" collapsed="false">
      <c r="A30" s="43" t="s">
        <v>170</v>
      </c>
      <c r="B30" s="44" t="s">
        <v>171</v>
      </c>
      <c r="C30" s="45" t="s">
        <v>172</v>
      </c>
      <c r="D30" s="45" t="s">
        <v>90</v>
      </c>
      <c r="E30" s="46" t="n">
        <v>1</v>
      </c>
      <c r="F30" s="46" t="n">
        <v>500</v>
      </c>
    </row>
    <row r="31" customFormat="false" ht="15.65" hidden="false" customHeight="false" outlineLevel="0" collapsed="false">
      <c r="A31" s="43" t="s">
        <v>173</v>
      </c>
      <c r="B31" s="44" t="s">
        <v>174</v>
      </c>
      <c r="C31" s="45" t="s">
        <v>175</v>
      </c>
      <c r="D31" s="45" t="s">
        <v>90</v>
      </c>
      <c r="E31" s="46" t="n">
        <v>1</v>
      </c>
      <c r="F31" s="46" t="n">
        <v>200</v>
      </c>
    </row>
    <row r="32" customFormat="false" ht="15.65" hidden="false" customHeight="false" outlineLevel="0" collapsed="false">
      <c r="A32" s="43" t="s">
        <v>176</v>
      </c>
      <c r="B32" s="44" t="s">
        <v>177</v>
      </c>
      <c r="C32" s="45" t="s">
        <v>178</v>
      </c>
      <c r="D32" s="45" t="s">
        <v>90</v>
      </c>
      <c r="E32" s="46" t="n">
        <v>1</v>
      </c>
      <c r="F32" s="46" t="n">
        <v>300</v>
      </c>
    </row>
    <row r="33" customFormat="false" ht="15.65" hidden="false" customHeight="false" outlineLevel="0" collapsed="false">
      <c r="A33" s="43" t="s">
        <v>179</v>
      </c>
      <c r="B33" s="44" t="s">
        <v>180</v>
      </c>
      <c r="C33" s="45" t="s">
        <v>181</v>
      </c>
      <c r="D33" s="45" t="s">
        <v>90</v>
      </c>
      <c r="E33" s="46" t="n">
        <v>1</v>
      </c>
      <c r="F33" s="46" t="n">
        <v>100</v>
      </c>
    </row>
    <row r="34" customFormat="false" ht="15.65" hidden="false" customHeight="false" outlineLevel="0" collapsed="false">
      <c r="A34" s="43" t="s">
        <v>182</v>
      </c>
      <c r="B34" s="44" t="s">
        <v>183</v>
      </c>
      <c r="C34" s="45" t="s">
        <v>184</v>
      </c>
      <c r="D34" s="45" t="s">
        <v>90</v>
      </c>
      <c r="E34" s="46" t="n">
        <v>1</v>
      </c>
      <c r="F34" s="46" t="n">
        <v>100</v>
      </c>
    </row>
    <row r="35" customFormat="false" ht="15.65" hidden="false" customHeight="false" outlineLevel="0" collapsed="false">
      <c r="A35" s="43" t="s">
        <v>179</v>
      </c>
      <c r="B35" s="44" t="s">
        <v>185</v>
      </c>
      <c r="C35" s="45" t="s">
        <v>186</v>
      </c>
      <c r="D35" s="45" t="s">
        <v>90</v>
      </c>
      <c r="E35" s="46" t="n">
        <v>1</v>
      </c>
      <c r="F35" s="46" t="n">
        <v>300</v>
      </c>
    </row>
    <row r="36" customFormat="false" ht="15.65" hidden="false" customHeight="false" outlineLevel="0" collapsed="false">
      <c r="A36" s="43" t="s">
        <v>182</v>
      </c>
      <c r="B36" s="44" t="s">
        <v>187</v>
      </c>
      <c r="C36" s="45" t="s">
        <v>188</v>
      </c>
      <c r="D36" s="45" t="s">
        <v>90</v>
      </c>
      <c r="E36" s="46" t="n">
        <v>1</v>
      </c>
      <c r="F36" s="46" t="n">
        <v>300</v>
      </c>
    </row>
    <row r="37" customFormat="false" ht="15.65" hidden="false" customHeight="false" outlineLevel="0" collapsed="false">
      <c r="A37" s="43" t="s">
        <v>189</v>
      </c>
      <c r="B37" s="44" t="s">
        <v>190</v>
      </c>
      <c r="C37" s="45" t="s">
        <v>191</v>
      </c>
      <c r="D37" s="45" t="s">
        <v>90</v>
      </c>
      <c r="E37" s="46" t="n">
        <v>1</v>
      </c>
      <c r="F37" s="46" t="n">
        <v>200</v>
      </c>
    </row>
    <row r="38" customFormat="false" ht="15.65" hidden="false" customHeight="false" outlineLevel="0" collapsed="false">
      <c r="A38" s="43" t="s">
        <v>192</v>
      </c>
      <c r="B38" s="44" t="s">
        <v>193</v>
      </c>
      <c r="C38" s="45" t="s">
        <v>194</v>
      </c>
      <c r="D38" s="45" t="s">
        <v>90</v>
      </c>
      <c r="E38" s="46" t="n">
        <v>1</v>
      </c>
      <c r="F38" s="46" t="n">
        <v>100</v>
      </c>
    </row>
    <row r="39" customFormat="false" ht="15.65" hidden="false" customHeight="false" outlineLevel="0" collapsed="false">
      <c r="A39" s="43" t="s">
        <v>195</v>
      </c>
      <c r="B39" s="44" t="s">
        <v>196</v>
      </c>
      <c r="C39" s="45" t="s">
        <v>197</v>
      </c>
      <c r="D39" s="45" t="s">
        <v>90</v>
      </c>
      <c r="E39" s="46" t="n">
        <v>1</v>
      </c>
      <c r="F39" s="46" t="n">
        <v>100</v>
      </c>
    </row>
    <row r="40" customFormat="false" ht="30.1" hidden="false" customHeight="false" outlineLevel="0" collapsed="false">
      <c r="A40" s="43" t="s">
        <v>198</v>
      </c>
      <c r="B40" s="44" t="s">
        <v>199</v>
      </c>
      <c r="C40" s="45" t="s">
        <v>200</v>
      </c>
      <c r="D40" s="45" t="s">
        <v>90</v>
      </c>
      <c r="E40" s="46" t="n">
        <v>1</v>
      </c>
      <c r="F40" s="46" t="n">
        <v>200</v>
      </c>
    </row>
    <row r="41" customFormat="false" ht="15.65" hidden="false" customHeight="false" outlineLevel="0" collapsed="false">
      <c r="A41" s="47" t="s">
        <v>201</v>
      </c>
      <c r="B41" s="48" t="s">
        <v>202</v>
      </c>
      <c r="C41" s="49" t="s">
        <v>203</v>
      </c>
      <c r="D41" s="45"/>
      <c r="E41" s="46"/>
      <c r="F41" s="46"/>
    </row>
    <row r="42" customFormat="false" ht="15.65" hidden="false" customHeight="false" outlineLevel="0" collapsed="false">
      <c r="A42" s="43" t="s">
        <v>204</v>
      </c>
      <c r="B42" s="44" t="s">
        <v>205</v>
      </c>
      <c r="C42" s="45" t="s">
        <v>206</v>
      </c>
      <c r="D42" s="45" t="s">
        <v>90</v>
      </c>
      <c r="E42" s="46" t="n">
        <v>1</v>
      </c>
      <c r="F42" s="46" t="n">
        <v>50</v>
      </c>
    </row>
    <row r="43" customFormat="false" ht="15.65" hidden="false" customHeight="false" outlineLevel="0" collapsed="false">
      <c r="A43" s="43" t="s">
        <v>207</v>
      </c>
      <c r="B43" s="44" t="s">
        <v>208</v>
      </c>
      <c r="C43" s="45" t="s">
        <v>209</v>
      </c>
      <c r="D43" s="45" t="s">
        <v>90</v>
      </c>
      <c r="E43" s="46" t="n">
        <v>1</v>
      </c>
      <c r="F43" s="46" t="n">
        <v>100</v>
      </c>
    </row>
    <row r="44" customFormat="false" ht="15.65" hidden="false" customHeight="false" outlineLevel="0" collapsed="false">
      <c r="A44" s="43" t="s">
        <v>210</v>
      </c>
      <c r="B44" s="44" t="s">
        <v>211</v>
      </c>
      <c r="C44" s="45" t="s">
        <v>212</v>
      </c>
      <c r="D44" s="45" t="s">
        <v>90</v>
      </c>
      <c r="E44" s="46" t="n">
        <v>1</v>
      </c>
      <c r="F44" s="46" t="n">
        <v>100</v>
      </c>
    </row>
    <row r="45" customFormat="false" ht="15.65" hidden="false" customHeight="false" outlineLevel="0" collapsed="false">
      <c r="A45" s="43" t="s">
        <v>213</v>
      </c>
      <c r="B45" s="44" t="s">
        <v>214</v>
      </c>
      <c r="C45" s="45" t="s">
        <v>215</v>
      </c>
      <c r="D45" s="45" t="s">
        <v>90</v>
      </c>
      <c r="E45" s="46" t="n">
        <v>1</v>
      </c>
      <c r="F45" s="46" t="n">
        <v>50</v>
      </c>
    </row>
    <row r="46" customFormat="false" ht="15.65" hidden="false" customHeight="false" outlineLevel="0" collapsed="false">
      <c r="A46" s="43" t="s">
        <v>216</v>
      </c>
      <c r="B46" s="44" t="s">
        <v>217</v>
      </c>
      <c r="C46" s="45" t="s">
        <v>218</v>
      </c>
      <c r="D46" s="45" t="s">
        <v>90</v>
      </c>
      <c r="E46" s="46" t="n">
        <v>1</v>
      </c>
      <c r="F46" s="46" t="n">
        <v>50</v>
      </c>
    </row>
    <row r="47" customFormat="false" ht="15.65" hidden="false" customHeight="false" outlineLevel="0" collapsed="false">
      <c r="A47" s="47" t="s">
        <v>219</v>
      </c>
      <c r="B47" s="48" t="s">
        <v>220</v>
      </c>
      <c r="C47" s="49" t="s">
        <v>221</v>
      </c>
      <c r="D47" s="45"/>
      <c r="E47" s="46"/>
      <c r="F47" s="46"/>
    </row>
    <row r="48" customFormat="false" ht="15.65" hidden="false" customHeight="false" outlineLevel="0" collapsed="false">
      <c r="A48" s="43" t="s">
        <v>222</v>
      </c>
      <c r="B48" s="44" t="s">
        <v>223</v>
      </c>
      <c r="C48" s="45" t="s">
        <v>224</v>
      </c>
      <c r="D48" s="45" t="s">
        <v>90</v>
      </c>
      <c r="E48" s="46" t="n">
        <v>1</v>
      </c>
      <c r="F48" s="46" t="n">
        <v>100</v>
      </c>
    </row>
    <row r="49" customFormat="false" ht="15.65" hidden="false" customHeight="false" outlineLevel="0" collapsed="false">
      <c r="A49" s="43" t="s">
        <v>225</v>
      </c>
      <c r="B49" s="44" t="s">
        <v>226</v>
      </c>
      <c r="C49" s="45" t="s">
        <v>227</v>
      </c>
      <c r="D49" s="45" t="s">
        <v>90</v>
      </c>
      <c r="E49" s="46" t="n">
        <v>1</v>
      </c>
      <c r="F49" s="46" t="n">
        <v>100</v>
      </c>
    </row>
    <row r="50" customFormat="false" ht="15.65" hidden="false" customHeight="false" outlineLevel="0" collapsed="false">
      <c r="A50" s="43" t="s">
        <v>228</v>
      </c>
      <c r="B50" s="44" t="s">
        <v>229</v>
      </c>
      <c r="C50" s="45" t="s">
        <v>230</v>
      </c>
      <c r="D50" s="45" t="s">
        <v>90</v>
      </c>
      <c r="E50" s="46" t="n">
        <v>1</v>
      </c>
      <c r="F50" s="46" t="n">
        <v>50</v>
      </c>
    </row>
    <row r="51" customFormat="false" ht="15.65" hidden="false" customHeight="false" outlineLevel="0" collapsed="false">
      <c r="A51" s="43" t="s">
        <v>231</v>
      </c>
      <c r="B51" s="44" t="s">
        <v>232</v>
      </c>
      <c r="C51" s="45" t="s">
        <v>233</v>
      </c>
      <c r="D51" s="45" t="s">
        <v>90</v>
      </c>
      <c r="E51" s="46" t="n">
        <v>1</v>
      </c>
      <c r="F51" s="46" t="n">
        <v>100</v>
      </c>
    </row>
    <row r="52" customFormat="false" ht="15.65" hidden="false" customHeight="false" outlineLevel="0" collapsed="false">
      <c r="A52" s="43" t="s">
        <v>234</v>
      </c>
      <c r="B52" s="44" t="s">
        <v>235</v>
      </c>
      <c r="C52" s="45" t="s">
        <v>236</v>
      </c>
      <c r="D52" s="45" t="s">
        <v>90</v>
      </c>
      <c r="E52" s="46" t="n">
        <v>1</v>
      </c>
      <c r="F52" s="46" t="n">
        <v>300</v>
      </c>
    </row>
    <row r="53" customFormat="false" ht="15.65" hidden="false" customHeight="false" outlineLevel="0" collapsed="false">
      <c r="A53" s="43" t="s">
        <v>237</v>
      </c>
      <c r="B53" s="44" t="s">
        <v>238</v>
      </c>
      <c r="C53" s="45" t="s">
        <v>239</v>
      </c>
      <c r="D53" s="45" t="s">
        <v>90</v>
      </c>
      <c r="E53" s="46" t="n">
        <v>1</v>
      </c>
      <c r="F53" s="46" t="n">
        <v>300</v>
      </c>
    </row>
    <row r="54" customFormat="false" ht="15.65" hidden="false" customHeight="false" outlineLevel="0" collapsed="false">
      <c r="A54" s="43" t="s">
        <v>240</v>
      </c>
      <c r="B54" s="44" t="s">
        <v>241</v>
      </c>
      <c r="C54" s="45" t="s">
        <v>242</v>
      </c>
      <c r="D54" s="45" t="s">
        <v>90</v>
      </c>
      <c r="E54" s="46" t="n">
        <v>1</v>
      </c>
      <c r="F54" s="46" t="n">
        <v>100</v>
      </c>
    </row>
    <row r="55" customFormat="false" ht="15.65" hidden="false" customHeight="false" outlineLevel="0" collapsed="false">
      <c r="A55" s="47" t="s">
        <v>243</v>
      </c>
      <c r="B55" s="48" t="s">
        <v>244</v>
      </c>
      <c r="C55" s="49" t="s">
        <v>245</v>
      </c>
      <c r="D55" s="45"/>
      <c r="E55" s="46"/>
      <c r="F55" s="46"/>
    </row>
    <row r="56" customFormat="false" ht="15.65" hidden="false" customHeight="false" outlineLevel="0" collapsed="false">
      <c r="A56" s="43" t="s">
        <v>246</v>
      </c>
      <c r="B56" s="44" t="s">
        <v>247</v>
      </c>
      <c r="C56" s="45" t="s">
        <v>248</v>
      </c>
      <c r="D56" s="45" t="s">
        <v>90</v>
      </c>
      <c r="E56" s="46" t="n">
        <v>1</v>
      </c>
      <c r="F56" s="46" t="n">
        <v>300</v>
      </c>
    </row>
    <row r="57" customFormat="false" ht="15.65" hidden="false" customHeight="false" outlineLevel="0" collapsed="false">
      <c r="A57" s="43" t="s">
        <v>249</v>
      </c>
      <c r="B57" s="44" t="s">
        <v>250</v>
      </c>
      <c r="C57" s="45" t="s">
        <v>251</v>
      </c>
      <c r="D57" s="45" t="s">
        <v>90</v>
      </c>
      <c r="E57" s="46" t="n">
        <v>1</v>
      </c>
      <c r="F57" s="46" t="n">
        <v>100</v>
      </c>
    </row>
    <row r="58" customFormat="false" ht="15.65" hidden="false" customHeight="false" outlineLevel="0" collapsed="false">
      <c r="A58" s="43" t="s">
        <v>252</v>
      </c>
      <c r="B58" s="44" t="s">
        <v>253</v>
      </c>
      <c r="C58" s="45" t="s">
        <v>254</v>
      </c>
      <c r="D58" s="45" t="s">
        <v>90</v>
      </c>
      <c r="E58" s="46" t="n">
        <v>1</v>
      </c>
      <c r="F58" s="46" t="n">
        <v>300</v>
      </c>
    </row>
    <row r="59" customFormat="false" ht="15.65" hidden="false" customHeight="false" outlineLevel="0" collapsed="false">
      <c r="A59" s="43" t="s">
        <v>255</v>
      </c>
      <c r="B59" s="44" t="s">
        <v>256</v>
      </c>
      <c r="C59" s="45" t="s">
        <v>257</v>
      </c>
      <c r="D59" s="45" t="s">
        <v>90</v>
      </c>
      <c r="E59" s="46" t="n">
        <v>1</v>
      </c>
      <c r="F59" s="46" t="n">
        <v>100</v>
      </c>
    </row>
    <row r="60" customFormat="false" ht="15.65" hidden="false" customHeight="false" outlineLevel="0" collapsed="false">
      <c r="A60" s="43" t="s">
        <v>258</v>
      </c>
      <c r="B60" s="44" t="s">
        <v>259</v>
      </c>
      <c r="C60" s="45" t="s">
        <v>260</v>
      </c>
      <c r="D60" s="45" t="s">
        <v>90</v>
      </c>
      <c r="E60" s="46" t="n">
        <v>1</v>
      </c>
      <c r="F60" s="46" t="n">
        <v>300</v>
      </c>
    </row>
    <row r="61" customFormat="false" ht="30.1" hidden="false" customHeight="false" outlineLevel="0" collapsed="false">
      <c r="A61" s="43" t="s">
        <v>261</v>
      </c>
      <c r="B61" s="44" t="s">
        <v>262</v>
      </c>
      <c r="C61" s="45" t="s">
        <v>263</v>
      </c>
      <c r="D61" s="45" t="s">
        <v>90</v>
      </c>
      <c r="E61" s="46" t="n">
        <v>1</v>
      </c>
      <c r="F61" s="46" t="n">
        <v>300</v>
      </c>
    </row>
    <row r="62" customFormat="false" ht="15.65" hidden="false" customHeight="false" outlineLevel="0" collapsed="false">
      <c r="A62" s="43" t="s">
        <v>264</v>
      </c>
      <c r="B62" s="44" t="s">
        <v>265</v>
      </c>
      <c r="C62" s="45" t="s">
        <v>266</v>
      </c>
      <c r="D62" s="45" t="s">
        <v>90</v>
      </c>
      <c r="E62" s="46" t="n">
        <v>1</v>
      </c>
      <c r="F62" s="46" t="n">
        <v>300</v>
      </c>
    </row>
    <row r="63" customFormat="false" ht="15.65" hidden="false" customHeight="false" outlineLevel="0" collapsed="false">
      <c r="A63" s="43" t="s">
        <v>267</v>
      </c>
      <c r="B63" s="44" t="s">
        <v>268</v>
      </c>
      <c r="C63" s="45" t="s">
        <v>269</v>
      </c>
      <c r="D63" s="45" t="s">
        <v>90</v>
      </c>
      <c r="E63" s="46" t="n">
        <v>1</v>
      </c>
      <c r="F63" s="46" t="n">
        <v>100</v>
      </c>
    </row>
    <row r="64" customFormat="false" ht="15.65" hidden="false" customHeight="false" outlineLevel="0" collapsed="false">
      <c r="A64" s="43" t="s">
        <v>270</v>
      </c>
      <c r="B64" s="44" t="s">
        <v>271</v>
      </c>
      <c r="C64" s="45" t="s">
        <v>272</v>
      </c>
      <c r="D64" s="45" t="s">
        <v>90</v>
      </c>
      <c r="E64" s="46" t="n">
        <v>1</v>
      </c>
      <c r="F64" s="46" t="n">
        <v>300</v>
      </c>
    </row>
    <row r="65" customFormat="false" ht="15.65" hidden="false" customHeight="false" outlineLevel="0" collapsed="false">
      <c r="A65" s="43" t="s">
        <v>273</v>
      </c>
      <c r="B65" s="44" t="s">
        <v>274</v>
      </c>
      <c r="C65" s="45" t="s">
        <v>275</v>
      </c>
      <c r="D65" s="45" t="s">
        <v>90</v>
      </c>
      <c r="E65" s="46" t="n">
        <v>1</v>
      </c>
      <c r="F65" s="46" t="n">
        <v>100</v>
      </c>
    </row>
    <row r="66" customFormat="false" ht="30.1" hidden="false" customHeight="false" outlineLevel="0" collapsed="false">
      <c r="A66" s="43" t="s">
        <v>276</v>
      </c>
      <c r="B66" s="44" t="s">
        <v>277</v>
      </c>
      <c r="C66" s="45" t="s">
        <v>278</v>
      </c>
      <c r="D66" s="45" t="s">
        <v>90</v>
      </c>
      <c r="E66" s="46" t="n">
        <v>1</v>
      </c>
      <c r="F66" s="46" t="n">
        <v>500</v>
      </c>
    </row>
    <row r="67" customFormat="false" ht="15.65" hidden="false" customHeight="false" outlineLevel="0" collapsed="false">
      <c r="A67" s="47" t="s">
        <v>279</v>
      </c>
      <c r="B67" s="48" t="s">
        <v>280</v>
      </c>
      <c r="C67" s="49" t="s">
        <v>281</v>
      </c>
      <c r="D67" s="45"/>
      <c r="E67" s="46"/>
      <c r="F67" s="46"/>
    </row>
    <row r="68" customFormat="false" ht="30.1" hidden="false" customHeight="false" outlineLevel="0" collapsed="false">
      <c r="A68" s="43" t="s">
        <v>282</v>
      </c>
      <c r="B68" s="44" t="s">
        <v>283</v>
      </c>
      <c r="C68" s="45" t="s">
        <v>284</v>
      </c>
      <c r="D68" s="45" t="s">
        <v>285</v>
      </c>
      <c r="E68" s="46" t="n">
        <v>1</v>
      </c>
      <c r="F68" s="46" t="n">
        <v>50</v>
      </c>
    </row>
    <row r="69" customFormat="false" ht="30.1" hidden="false" customHeight="false" outlineLevel="0" collapsed="false">
      <c r="A69" s="43" t="s">
        <v>286</v>
      </c>
      <c r="B69" s="44" t="s">
        <v>287</v>
      </c>
      <c r="C69" s="45" t="s">
        <v>288</v>
      </c>
      <c r="D69" s="45" t="s">
        <v>285</v>
      </c>
      <c r="E69" s="46" t="n">
        <v>1</v>
      </c>
      <c r="F69" s="46" t="n">
        <v>50</v>
      </c>
    </row>
    <row r="70" customFormat="false" ht="30.1" hidden="false" customHeight="false" outlineLevel="0" collapsed="false">
      <c r="A70" s="43" t="s">
        <v>289</v>
      </c>
      <c r="B70" s="44" t="s">
        <v>290</v>
      </c>
      <c r="C70" s="45" t="s">
        <v>291</v>
      </c>
      <c r="D70" s="45" t="s">
        <v>285</v>
      </c>
      <c r="E70" s="46" t="n">
        <v>1</v>
      </c>
      <c r="F70" s="46" t="n">
        <v>50</v>
      </c>
    </row>
    <row r="71" customFormat="false" ht="15.65" hidden="false" customHeight="false" outlineLevel="0" collapsed="false">
      <c r="A71" s="43" t="s">
        <v>292</v>
      </c>
      <c r="B71" s="44" t="s">
        <v>293</v>
      </c>
      <c r="C71" s="45" t="s">
        <v>294</v>
      </c>
      <c r="D71" s="45" t="s">
        <v>295</v>
      </c>
      <c r="E71" s="46" t="n">
        <v>1</v>
      </c>
      <c r="F71" s="46" t="n">
        <v>20</v>
      </c>
    </row>
    <row r="72" customFormat="false" ht="15.65" hidden="false" customHeight="false" outlineLevel="0" collapsed="false">
      <c r="A72" s="43" t="s">
        <v>296</v>
      </c>
      <c r="B72" s="44" t="s">
        <v>297</v>
      </c>
      <c r="C72" s="45" t="s">
        <v>298</v>
      </c>
      <c r="D72" s="45" t="s">
        <v>295</v>
      </c>
      <c r="E72" s="46" t="n">
        <v>1</v>
      </c>
      <c r="F72" s="46" t="n">
        <v>30</v>
      </c>
    </row>
    <row r="73" customFormat="false" ht="15.65" hidden="false" customHeight="false" outlineLevel="0" collapsed="false">
      <c r="A73" s="43" t="s">
        <v>299</v>
      </c>
      <c r="B73" s="44" t="s">
        <v>300</v>
      </c>
      <c r="C73" s="45" t="s">
        <v>301</v>
      </c>
      <c r="D73" s="45" t="s">
        <v>295</v>
      </c>
      <c r="E73" s="46" t="n">
        <v>1</v>
      </c>
      <c r="F73" s="46" t="n">
        <v>20</v>
      </c>
    </row>
    <row r="74" customFormat="false" ht="15.65" hidden="false" customHeight="false" outlineLevel="0" collapsed="false">
      <c r="A74" s="43" t="s">
        <v>302</v>
      </c>
      <c r="B74" s="44" t="s">
        <v>303</v>
      </c>
      <c r="C74" s="45" t="s">
        <v>304</v>
      </c>
      <c r="D74" s="45" t="s">
        <v>295</v>
      </c>
      <c r="E74" s="46" t="n">
        <v>1</v>
      </c>
      <c r="F74" s="46" t="n">
        <v>10</v>
      </c>
    </row>
    <row r="75" customFormat="false" ht="15.65" hidden="false" customHeight="false" outlineLevel="0" collapsed="false">
      <c r="A75" s="43" t="s">
        <v>305</v>
      </c>
      <c r="B75" s="44" t="s">
        <v>306</v>
      </c>
      <c r="C75" s="45" t="s">
        <v>307</v>
      </c>
      <c r="D75" s="45" t="s">
        <v>295</v>
      </c>
      <c r="E75" s="46" t="n">
        <v>1</v>
      </c>
      <c r="F75" s="46" t="n">
        <v>10</v>
      </c>
    </row>
    <row r="76" customFormat="false" ht="15.65" hidden="false" customHeight="false" outlineLevel="0" collapsed="false">
      <c r="A76" s="43" t="s">
        <v>308</v>
      </c>
      <c r="B76" s="44" t="s">
        <v>309</v>
      </c>
      <c r="C76" s="45" t="s">
        <v>310</v>
      </c>
      <c r="D76" s="45" t="s">
        <v>295</v>
      </c>
      <c r="E76" s="46" t="n">
        <v>1</v>
      </c>
      <c r="F76" s="46" t="n">
        <v>10</v>
      </c>
    </row>
    <row r="77" customFormat="false" ht="15.65" hidden="false" customHeight="false" outlineLevel="0" collapsed="false">
      <c r="A77" s="43" t="s">
        <v>311</v>
      </c>
      <c r="B77" s="44" t="s">
        <v>312</v>
      </c>
      <c r="C77" s="45" t="s">
        <v>313</v>
      </c>
      <c r="D77" s="45" t="s">
        <v>295</v>
      </c>
      <c r="E77" s="46" t="n">
        <v>1</v>
      </c>
      <c r="F77" s="46" t="n">
        <v>10</v>
      </c>
    </row>
    <row r="78" customFormat="false" ht="15.65" hidden="false" customHeight="false" outlineLevel="0" collapsed="false">
      <c r="A78" s="43" t="s">
        <v>314</v>
      </c>
      <c r="B78" s="44" t="s">
        <v>315</v>
      </c>
      <c r="C78" s="45" t="s">
        <v>316</v>
      </c>
      <c r="D78" s="45" t="s">
        <v>295</v>
      </c>
      <c r="E78" s="46" t="n">
        <v>1</v>
      </c>
      <c r="F78" s="46" t="n">
        <v>10</v>
      </c>
    </row>
    <row r="79" customFormat="false" ht="15.65" hidden="false" customHeight="false" outlineLevel="0" collapsed="false">
      <c r="A79" s="43" t="s">
        <v>317</v>
      </c>
      <c r="B79" s="44" t="s">
        <v>318</v>
      </c>
      <c r="C79" s="45" t="s">
        <v>319</v>
      </c>
      <c r="D79" s="45" t="s">
        <v>295</v>
      </c>
      <c r="E79" s="46" t="n">
        <v>1</v>
      </c>
      <c r="F79" s="46" t="n">
        <v>10</v>
      </c>
    </row>
    <row r="80" customFormat="false" ht="31.3" hidden="false" customHeight="false" outlineLevel="0" collapsed="false">
      <c r="A80" s="43" t="s">
        <v>320</v>
      </c>
      <c r="B80" s="44" t="s">
        <v>321</v>
      </c>
      <c r="C80" s="45" t="s">
        <v>322</v>
      </c>
      <c r="D80" s="45" t="s">
        <v>295</v>
      </c>
      <c r="E80" s="46" t="n">
        <v>1</v>
      </c>
      <c r="F80" s="46" t="n">
        <v>10</v>
      </c>
    </row>
    <row r="81" customFormat="false" ht="31.3" hidden="false" customHeight="false" outlineLevel="0" collapsed="false">
      <c r="A81" s="43" t="s">
        <v>323</v>
      </c>
      <c r="B81" s="44" t="s">
        <v>324</v>
      </c>
      <c r="C81" s="45" t="s">
        <v>325</v>
      </c>
      <c r="D81" s="45" t="s">
        <v>295</v>
      </c>
      <c r="E81" s="46" t="n">
        <v>1</v>
      </c>
      <c r="F81" s="46" t="n">
        <v>10</v>
      </c>
    </row>
    <row r="82" customFormat="false" ht="31.3" hidden="false" customHeight="false" outlineLevel="0" collapsed="false">
      <c r="A82" s="43" t="s">
        <v>326</v>
      </c>
      <c r="B82" s="44" t="s">
        <v>327</v>
      </c>
      <c r="C82" s="45" t="s">
        <v>328</v>
      </c>
      <c r="D82" s="45" t="s">
        <v>295</v>
      </c>
      <c r="E82" s="46" t="n">
        <v>1</v>
      </c>
      <c r="F82" s="46" t="n">
        <v>10</v>
      </c>
    </row>
    <row r="83" customFormat="false" ht="30.1" hidden="false" customHeight="false" outlineLevel="0" collapsed="false">
      <c r="A83" s="43" t="s">
        <v>329</v>
      </c>
      <c r="B83" s="44" t="s">
        <v>330</v>
      </c>
      <c r="C83" s="45" t="s">
        <v>331</v>
      </c>
      <c r="D83" s="45" t="s">
        <v>285</v>
      </c>
      <c r="E83" s="46" t="n">
        <v>1</v>
      </c>
      <c r="F83" s="46" t="n">
        <v>20</v>
      </c>
    </row>
    <row r="84" customFormat="false" ht="31.3" hidden="false" customHeight="false" outlineLevel="0" collapsed="false">
      <c r="A84" s="43" t="s">
        <v>332</v>
      </c>
      <c r="B84" s="44" t="s">
        <v>333</v>
      </c>
      <c r="C84" s="45" t="s">
        <v>334</v>
      </c>
      <c r="D84" s="45" t="s">
        <v>295</v>
      </c>
      <c r="E84" s="46" t="n">
        <v>1</v>
      </c>
      <c r="F84" s="46" t="n">
        <v>10</v>
      </c>
    </row>
    <row r="85" customFormat="false" ht="15.65" hidden="false" customHeight="false" outlineLevel="0" collapsed="false">
      <c r="A85" s="43" t="s">
        <v>335</v>
      </c>
      <c r="B85" s="44" t="s">
        <v>336</v>
      </c>
      <c r="C85" s="45" t="s">
        <v>337</v>
      </c>
      <c r="D85" s="45" t="s">
        <v>295</v>
      </c>
      <c r="E85" s="46" t="n">
        <v>1</v>
      </c>
      <c r="F85" s="46" t="n">
        <v>10</v>
      </c>
    </row>
    <row r="86" customFormat="false" ht="30.1" hidden="false" customHeight="false" outlineLevel="0" collapsed="false">
      <c r="A86" s="43" t="s">
        <v>338</v>
      </c>
      <c r="B86" s="44" t="s">
        <v>339</v>
      </c>
      <c r="C86" s="45" t="s">
        <v>340</v>
      </c>
      <c r="D86" s="45" t="s">
        <v>295</v>
      </c>
      <c r="E86" s="46" t="n">
        <v>1</v>
      </c>
      <c r="F86" s="46" t="n">
        <v>30</v>
      </c>
    </row>
    <row r="87" customFormat="false" ht="30.1" hidden="false" customHeight="false" outlineLevel="0" collapsed="false">
      <c r="A87" s="43" t="s">
        <v>341</v>
      </c>
      <c r="B87" s="44" t="s">
        <v>342</v>
      </c>
      <c r="C87" s="45" t="s">
        <v>343</v>
      </c>
      <c r="D87" s="45"/>
      <c r="E87" s="46" t="n">
        <v>1</v>
      </c>
      <c r="F87" s="46" t="n">
        <v>200</v>
      </c>
    </row>
    <row r="88" customFormat="false" ht="30.1" hidden="false" customHeight="false" outlineLevel="0" collapsed="false">
      <c r="A88" s="43" t="s">
        <v>344</v>
      </c>
      <c r="B88" s="44" t="s">
        <v>345</v>
      </c>
      <c r="C88" s="45" t="s">
        <v>346</v>
      </c>
      <c r="D88" s="45"/>
      <c r="E88" s="46" t="n">
        <v>1</v>
      </c>
      <c r="F88" s="46" t="n">
        <v>200</v>
      </c>
    </row>
    <row r="89" customFormat="false" ht="30.75" hidden="false" customHeight="true" outlineLevel="0" collapsed="false">
      <c r="A89" s="47" t="s">
        <v>347</v>
      </c>
      <c r="B89" s="48" t="s">
        <v>348</v>
      </c>
      <c r="C89" s="49" t="s">
        <v>349</v>
      </c>
      <c r="D89" s="45"/>
      <c r="E89" s="46"/>
      <c r="F89" s="46"/>
    </row>
    <row r="90" customFormat="false" ht="26.25" hidden="false" customHeight="true" outlineLevel="0" collapsed="false">
      <c r="A90" s="43" t="s">
        <v>350</v>
      </c>
      <c r="B90" s="44" t="s">
        <v>351</v>
      </c>
      <c r="C90" s="45" t="s">
        <v>352</v>
      </c>
      <c r="D90" s="45" t="s">
        <v>90</v>
      </c>
      <c r="E90" s="46" t="n">
        <v>1</v>
      </c>
      <c r="F90" s="46" t="n">
        <v>10</v>
      </c>
    </row>
    <row r="91" customFormat="false" ht="26.25" hidden="false" customHeight="true" outlineLevel="0" collapsed="false">
      <c r="A91" s="43" t="s">
        <v>353</v>
      </c>
      <c r="B91" s="44" t="s">
        <v>354</v>
      </c>
      <c r="C91" s="45" t="s">
        <v>355</v>
      </c>
      <c r="D91" s="45" t="s">
        <v>90</v>
      </c>
      <c r="E91" s="46" t="n">
        <v>1</v>
      </c>
      <c r="F91" s="46" t="n">
        <v>70</v>
      </c>
    </row>
    <row r="92" customFormat="false" ht="15.65" hidden="false" customHeight="false" outlineLevel="0" collapsed="false">
      <c r="A92" s="43" t="s">
        <v>356</v>
      </c>
      <c r="B92" s="44" t="s">
        <v>357</v>
      </c>
      <c r="C92" s="45" t="s">
        <v>358</v>
      </c>
      <c r="D92" s="45" t="s">
        <v>90</v>
      </c>
      <c r="E92" s="46" t="n">
        <v>1</v>
      </c>
      <c r="F92" s="46" t="n">
        <v>30</v>
      </c>
    </row>
    <row r="93" customFormat="false" ht="15.65" hidden="false" customHeight="false" outlineLevel="0" collapsed="false">
      <c r="A93" s="43" t="s">
        <v>359</v>
      </c>
      <c r="B93" s="44" t="s">
        <v>360</v>
      </c>
      <c r="C93" s="45" t="s">
        <v>361</v>
      </c>
      <c r="D93" s="45" t="s">
        <v>90</v>
      </c>
      <c r="E93" s="46" t="n">
        <v>1</v>
      </c>
      <c r="F93" s="46" t="n">
        <v>40</v>
      </c>
    </row>
    <row r="94" customFormat="false" ht="15.65" hidden="false" customHeight="false" outlineLevel="0" collapsed="false">
      <c r="A94" s="43" t="s">
        <v>362</v>
      </c>
      <c r="B94" s="44" t="s">
        <v>363</v>
      </c>
      <c r="C94" s="45" t="s">
        <v>364</v>
      </c>
      <c r="D94" s="45" t="s">
        <v>90</v>
      </c>
      <c r="E94" s="46" t="n">
        <v>1</v>
      </c>
      <c r="F94" s="46" t="n">
        <v>70</v>
      </c>
    </row>
    <row r="95" customFormat="false" ht="15.65" hidden="false" customHeight="false" outlineLevel="0" collapsed="false">
      <c r="A95" s="43" t="s">
        <v>365</v>
      </c>
      <c r="B95" s="44" t="s">
        <v>366</v>
      </c>
      <c r="C95" s="45" t="s">
        <v>367</v>
      </c>
      <c r="D95" s="45" t="s">
        <v>90</v>
      </c>
      <c r="E95" s="46" t="n">
        <v>1</v>
      </c>
      <c r="F95" s="46" t="n">
        <v>80</v>
      </c>
    </row>
    <row r="96" customFormat="false" ht="15.65" hidden="false" customHeight="false" outlineLevel="0" collapsed="false">
      <c r="A96" s="43" t="s">
        <v>368</v>
      </c>
      <c r="B96" s="44" t="s">
        <v>369</v>
      </c>
      <c r="C96" s="45" t="s">
        <v>370</v>
      </c>
      <c r="D96" s="45" t="s">
        <v>90</v>
      </c>
      <c r="E96" s="46" t="n">
        <v>1</v>
      </c>
      <c r="F96" s="46" t="n">
        <v>100</v>
      </c>
    </row>
    <row r="97" customFormat="false" ht="15.65" hidden="false" customHeight="false" outlineLevel="0" collapsed="false">
      <c r="A97" s="43" t="s">
        <v>371</v>
      </c>
      <c r="B97" s="44" t="s">
        <v>372</v>
      </c>
      <c r="C97" s="45" t="s">
        <v>373</v>
      </c>
      <c r="D97" s="45" t="s">
        <v>90</v>
      </c>
      <c r="E97" s="46" t="n">
        <v>1</v>
      </c>
      <c r="F97" s="46" t="n">
        <v>120</v>
      </c>
    </row>
    <row r="98" customFormat="false" ht="15.65" hidden="false" customHeight="false" outlineLevel="0" collapsed="false">
      <c r="A98" s="43" t="s">
        <v>374</v>
      </c>
      <c r="B98" s="44" t="s">
        <v>375</v>
      </c>
      <c r="C98" s="45" t="s">
        <v>376</v>
      </c>
      <c r="D98" s="45" t="s">
        <v>90</v>
      </c>
      <c r="E98" s="46" t="n">
        <v>1</v>
      </c>
      <c r="F98" s="46" t="n">
        <v>60</v>
      </c>
    </row>
    <row r="99" customFormat="false" ht="15.65" hidden="false" customHeight="false" outlineLevel="0" collapsed="false">
      <c r="A99" s="43" t="s">
        <v>377</v>
      </c>
      <c r="B99" s="44" t="s">
        <v>378</v>
      </c>
      <c r="C99" s="45" t="s">
        <v>379</v>
      </c>
      <c r="D99" s="45" t="s">
        <v>90</v>
      </c>
      <c r="E99" s="46" t="n">
        <v>1</v>
      </c>
      <c r="F99" s="46" t="n">
        <v>10</v>
      </c>
    </row>
    <row r="100" customFormat="false" ht="15.65" hidden="false" customHeight="false" outlineLevel="0" collapsed="false">
      <c r="A100" s="43" t="s">
        <v>380</v>
      </c>
      <c r="B100" s="44" t="s">
        <v>381</v>
      </c>
      <c r="C100" s="45" t="s">
        <v>382</v>
      </c>
      <c r="D100" s="45" t="s">
        <v>90</v>
      </c>
      <c r="E100" s="46" t="n">
        <v>1</v>
      </c>
      <c r="F100" s="46" t="n">
        <v>500</v>
      </c>
    </row>
    <row r="101" customFormat="false" ht="15.65" hidden="false" customHeight="false" outlineLevel="0" collapsed="false">
      <c r="A101" s="43" t="s">
        <v>383</v>
      </c>
      <c r="B101" s="44" t="s">
        <v>384</v>
      </c>
      <c r="C101" s="45" t="s">
        <v>385</v>
      </c>
      <c r="D101" s="45" t="s">
        <v>90</v>
      </c>
      <c r="E101" s="46" t="n">
        <v>1</v>
      </c>
      <c r="F101" s="46" t="n">
        <v>300</v>
      </c>
    </row>
    <row r="102" customFormat="false" ht="15.65" hidden="false" customHeight="false" outlineLevel="0" collapsed="false">
      <c r="A102" s="43" t="s">
        <v>386</v>
      </c>
      <c r="B102" s="44" t="s">
        <v>387</v>
      </c>
      <c r="C102" s="45" t="s">
        <v>388</v>
      </c>
      <c r="D102" s="45" t="s">
        <v>389</v>
      </c>
      <c r="E102" s="46" t="n">
        <v>1</v>
      </c>
      <c r="F102" s="46" t="n">
        <v>100</v>
      </c>
    </row>
    <row r="103" customFormat="false" ht="15.65" hidden="false" customHeight="false" outlineLevel="0" collapsed="false">
      <c r="A103" s="47" t="s">
        <v>390</v>
      </c>
      <c r="B103" s="48" t="s">
        <v>391</v>
      </c>
      <c r="C103" s="49" t="s">
        <v>392</v>
      </c>
      <c r="D103" s="45"/>
      <c r="E103" s="46"/>
      <c r="F103" s="46"/>
    </row>
    <row r="104" customFormat="false" ht="15.65" hidden="false" customHeight="false" outlineLevel="0" collapsed="false">
      <c r="A104" s="43" t="s">
        <v>393</v>
      </c>
      <c r="B104" s="44" t="s">
        <v>394</v>
      </c>
      <c r="C104" s="45" t="s">
        <v>395</v>
      </c>
      <c r="D104" s="45" t="s">
        <v>396</v>
      </c>
      <c r="E104" s="46" t="n">
        <v>1</v>
      </c>
      <c r="F104" s="46" t="n">
        <v>5</v>
      </c>
    </row>
    <row r="105" customFormat="false" ht="15.65" hidden="false" customHeight="false" outlineLevel="0" collapsed="false">
      <c r="A105" s="43" t="s">
        <v>397</v>
      </c>
      <c r="B105" s="44" t="s">
        <v>398</v>
      </c>
      <c r="C105" s="45" t="s">
        <v>399</v>
      </c>
      <c r="D105" s="45" t="s">
        <v>400</v>
      </c>
      <c r="E105" s="46" t="n">
        <v>1</v>
      </c>
      <c r="F105" s="46" t="n">
        <v>5</v>
      </c>
    </row>
    <row r="106" customFormat="false" ht="15.65" hidden="false" customHeight="false" outlineLevel="0" collapsed="false">
      <c r="A106" s="43" t="s">
        <v>401</v>
      </c>
      <c r="B106" s="44" t="s">
        <v>402</v>
      </c>
      <c r="C106" s="45" t="s">
        <v>403</v>
      </c>
      <c r="D106" s="45" t="s">
        <v>400</v>
      </c>
      <c r="E106" s="46" t="n">
        <v>1</v>
      </c>
      <c r="F106" s="46" t="n">
        <v>5</v>
      </c>
    </row>
    <row r="107" customFormat="false" ht="15.65" hidden="false" customHeight="false" outlineLevel="0" collapsed="false">
      <c r="A107" s="43" t="s">
        <v>404</v>
      </c>
      <c r="B107" s="44" t="s">
        <v>405</v>
      </c>
      <c r="C107" s="45" t="s">
        <v>406</v>
      </c>
      <c r="D107" s="45" t="s">
        <v>400</v>
      </c>
      <c r="E107" s="46" t="n">
        <v>1</v>
      </c>
      <c r="F107" s="46" t="n">
        <v>5</v>
      </c>
    </row>
    <row r="108" customFormat="false" ht="15.65" hidden="false" customHeight="false" outlineLevel="0" collapsed="false">
      <c r="A108" s="43" t="s">
        <v>407</v>
      </c>
      <c r="B108" s="44" t="s">
        <v>408</v>
      </c>
      <c r="C108" s="45" t="s">
        <v>409</v>
      </c>
      <c r="D108" s="45" t="s">
        <v>400</v>
      </c>
      <c r="E108" s="46" t="n">
        <v>1</v>
      </c>
      <c r="F108" s="46" t="n">
        <v>5</v>
      </c>
    </row>
    <row r="109" customFormat="false" ht="30.7" hidden="false" customHeight="false" outlineLevel="0" collapsed="false">
      <c r="A109" s="43" t="s">
        <v>410</v>
      </c>
      <c r="B109" s="44" t="s">
        <v>411</v>
      </c>
      <c r="C109" s="45" t="s">
        <v>412</v>
      </c>
      <c r="D109" s="45" t="s">
        <v>413</v>
      </c>
      <c r="E109" s="46" t="n">
        <v>1</v>
      </c>
      <c r="F109" s="46" t="n">
        <v>5</v>
      </c>
    </row>
    <row r="110" customFormat="false" ht="15.65" hidden="false" customHeight="false" outlineLevel="0" collapsed="false">
      <c r="A110" s="47" t="s">
        <v>414</v>
      </c>
      <c r="B110" s="48" t="s">
        <v>415</v>
      </c>
      <c r="C110" s="49" t="s">
        <v>416</v>
      </c>
      <c r="D110" s="45"/>
      <c r="E110" s="46"/>
      <c r="F110" s="46"/>
    </row>
    <row r="111" customFormat="false" ht="31.3" hidden="false" customHeight="false" outlineLevel="0" collapsed="false">
      <c r="A111" s="43" t="s">
        <v>417</v>
      </c>
      <c r="B111" s="44" t="s">
        <v>418</v>
      </c>
      <c r="C111" s="45" t="s">
        <v>419</v>
      </c>
      <c r="D111" s="45" t="s">
        <v>420</v>
      </c>
      <c r="E111" s="46" t="n">
        <v>1</v>
      </c>
      <c r="F111" s="46" t="n">
        <v>50</v>
      </c>
    </row>
    <row r="112" customFormat="false" ht="31.3" hidden="false" customHeight="false" outlineLevel="0" collapsed="false">
      <c r="A112" s="43" t="s">
        <v>421</v>
      </c>
      <c r="B112" s="44" t="s">
        <v>422</v>
      </c>
      <c r="C112" s="45" t="s">
        <v>423</v>
      </c>
      <c r="D112" s="45" t="s">
        <v>420</v>
      </c>
      <c r="E112" s="46" t="n">
        <v>1</v>
      </c>
      <c r="F112" s="46" t="n">
        <v>50</v>
      </c>
    </row>
    <row r="113" customFormat="false" ht="31.3" hidden="false" customHeight="false" outlineLevel="0" collapsed="false">
      <c r="A113" s="43" t="s">
        <v>424</v>
      </c>
      <c r="B113" s="44" t="s">
        <v>425</v>
      </c>
      <c r="C113" s="45" t="s">
        <v>426</v>
      </c>
      <c r="D113" s="45" t="s">
        <v>420</v>
      </c>
      <c r="E113" s="46" t="n">
        <v>1</v>
      </c>
      <c r="F113" s="46" t="n">
        <v>50</v>
      </c>
    </row>
    <row r="114" customFormat="false" ht="15.65" hidden="false" customHeight="false" outlineLevel="0" collapsed="false">
      <c r="A114" s="47" t="s">
        <v>427</v>
      </c>
      <c r="B114" s="48" t="s">
        <v>428</v>
      </c>
      <c r="C114" s="49" t="s">
        <v>429</v>
      </c>
      <c r="D114" s="45"/>
      <c r="E114" s="46"/>
      <c r="F114" s="46"/>
    </row>
    <row r="115" customFormat="false" ht="30.1" hidden="false" customHeight="false" outlineLevel="0" collapsed="false">
      <c r="A115" s="43" t="s">
        <v>430</v>
      </c>
      <c r="B115" s="44" t="s">
        <v>431</v>
      </c>
      <c r="C115" s="45" t="s">
        <v>432</v>
      </c>
      <c r="D115" s="45" t="s">
        <v>90</v>
      </c>
      <c r="E115" s="46" t="n">
        <v>1</v>
      </c>
      <c r="F115" s="46" t="n">
        <v>1000</v>
      </c>
    </row>
    <row r="116" customFormat="false" ht="29.25" hidden="false" customHeight="true" outlineLevel="0" collapsed="false">
      <c r="A116" s="43" t="s">
        <v>433</v>
      </c>
      <c r="B116" s="44" t="s">
        <v>434</v>
      </c>
      <c r="C116" s="45" t="s">
        <v>435</v>
      </c>
      <c r="D116" s="45" t="s">
        <v>90</v>
      </c>
      <c r="E116" s="46" t="n">
        <v>1</v>
      </c>
      <c r="F116" s="46" t="n">
        <v>500</v>
      </c>
    </row>
    <row r="117" customFormat="false" ht="15.65" hidden="false" customHeight="false" outlineLevel="0" collapsed="false">
      <c r="A117" s="43" t="s">
        <v>436</v>
      </c>
      <c r="B117" s="44" t="s">
        <v>437</v>
      </c>
      <c r="C117" s="45" t="s">
        <v>438</v>
      </c>
      <c r="D117" s="45" t="s">
        <v>90</v>
      </c>
      <c r="E117" s="46" t="n">
        <v>1</v>
      </c>
      <c r="F117" s="46" t="n">
        <v>1000</v>
      </c>
    </row>
    <row r="118" customFormat="false" ht="15.65" hidden="false" customHeight="false" outlineLevel="0" collapsed="false">
      <c r="A118" s="43" t="s">
        <v>439</v>
      </c>
      <c r="B118" s="44" t="s">
        <v>440</v>
      </c>
      <c r="C118" s="45" t="s">
        <v>441</v>
      </c>
      <c r="D118" s="45" t="s">
        <v>90</v>
      </c>
      <c r="E118" s="46" t="n">
        <v>1</v>
      </c>
      <c r="F118" s="46" t="n">
        <v>500</v>
      </c>
    </row>
    <row r="119" customFormat="false" ht="15.65" hidden="false" customHeight="false" outlineLevel="0" collapsed="false">
      <c r="A119" s="43" t="s">
        <v>442</v>
      </c>
      <c r="B119" s="44" t="s">
        <v>443</v>
      </c>
      <c r="C119" s="45" t="s">
        <v>444</v>
      </c>
      <c r="D119" s="45" t="s">
        <v>90</v>
      </c>
      <c r="E119" s="46" t="n">
        <v>1</v>
      </c>
      <c r="F119" s="46" t="n">
        <v>500</v>
      </c>
    </row>
    <row r="120" customFormat="false" ht="15.65" hidden="false" customHeight="false" outlineLevel="0" collapsed="false">
      <c r="A120" s="43" t="s">
        <v>445</v>
      </c>
      <c r="B120" s="44" t="s">
        <v>446</v>
      </c>
      <c r="C120" s="45" t="s">
        <v>447</v>
      </c>
      <c r="D120" s="45" t="s">
        <v>90</v>
      </c>
      <c r="E120" s="46" t="n">
        <v>1</v>
      </c>
      <c r="F120" s="46" t="n">
        <v>300</v>
      </c>
    </row>
    <row r="121" customFormat="false" ht="15.65" hidden="false" customHeight="false" outlineLevel="0" collapsed="false">
      <c r="A121" s="43" t="s">
        <v>448</v>
      </c>
      <c r="B121" s="44" t="s">
        <v>449</v>
      </c>
      <c r="C121" s="45" t="s">
        <v>450</v>
      </c>
      <c r="D121" s="45" t="s">
        <v>90</v>
      </c>
      <c r="E121" s="46" t="n">
        <v>1</v>
      </c>
      <c r="F121" s="46" t="n">
        <v>2000</v>
      </c>
    </row>
    <row r="122" customFormat="false" ht="15.65" hidden="false" customHeight="false" outlineLevel="0" collapsed="false">
      <c r="A122" s="43" t="s">
        <v>451</v>
      </c>
      <c r="B122" s="44" t="s">
        <v>452</v>
      </c>
      <c r="C122" s="45" t="s">
        <v>453</v>
      </c>
      <c r="D122" s="45" t="s">
        <v>90</v>
      </c>
      <c r="E122" s="46" t="n">
        <v>1</v>
      </c>
      <c r="F122" s="46" t="n">
        <v>1000</v>
      </c>
    </row>
    <row r="123" customFormat="false" ht="28.5" hidden="false" customHeight="false" outlineLevel="0" collapsed="false">
      <c r="A123" s="43" t="s">
        <v>454</v>
      </c>
      <c r="B123" s="44" t="s">
        <v>455</v>
      </c>
      <c r="C123" s="45" t="s">
        <v>456</v>
      </c>
      <c r="D123" s="45" t="s">
        <v>90</v>
      </c>
      <c r="E123" s="46" t="n">
        <v>1</v>
      </c>
      <c r="F123" s="46" t="n">
        <v>1000</v>
      </c>
    </row>
    <row r="124" customFormat="false" ht="30.1" hidden="false" customHeight="false" outlineLevel="0" collapsed="false">
      <c r="A124" s="43" t="s">
        <v>457</v>
      </c>
      <c r="B124" s="44" t="s">
        <v>458</v>
      </c>
      <c r="C124" s="45" t="s">
        <v>459</v>
      </c>
      <c r="D124" s="45" t="s">
        <v>90</v>
      </c>
      <c r="E124" s="46" t="n">
        <v>1</v>
      </c>
      <c r="F124" s="46" t="n">
        <v>1000</v>
      </c>
    </row>
    <row r="125" customFormat="false" ht="15.65" hidden="false" customHeight="false" outlineLevel="0" collapsed="false">
      <c r="A125" s="43" t="s">
        <v>460</v>
      </c>
      <c r="B125" s="44" t="s">
        <v>461</v>
      </c>
      <c r="C125" s="45" t="s">
        <v>462</v>
      </c>
      <c r="D125" s="45" t="s">
        <v>90</v>
      </c>
      <c r="E125" s="46" t="n">
        <v>1</v>
      </c>
      <c r="F125" s="46" t="n">
        <v>500</v>
      </c>
      <c r="J125" s="50"/>
    </row>
    <row r="126" customFormat="false" ht="15.65" hidden="false" customHeight="false" outlineLevel="0" collapsed="false">
      <c r="A126" s="43" t="s">
        <v>463</v>
      </c>
      <c r="B126" s="44" t="s">
        <v>464</v>
      </c>
      <c r="C126" s="45" t="s">
        <v>465</v>
      </c>
      <c r="D126" s="45" t="s">
        <v>90</v>
      </c>
      <c r="E126" s="46" t="n">
        <v>1</v>
      </c>
      <c r="F126" s="46" t="n">
        <v>500</v>
      </c>
    </row>
    <row r="127" customFormat="false" ht="16.85" hidden="false" customHeight="false" outlineLevel="0" collapsed="false">
      <c r="A127" s="43" t="s">
        <v>466</v>
      </c>
      <c r="B127" s="44" t="s">
        <v>467</v>
      </c>
      <c r="C127" s="45" t="s">
        <v>468</v>
      </c>
      <c r="D127" s="45" t="s">
        <v>90</v>
      </c>
      <c r="E127" s="46" t="n">
        <v>1</v>
      </c>
      <c r="F127" s="46" t="n">
        <v>500</v>
      </c>
    </row>
    <row r="128" customFormat="false" ht="15.65" hidden="false" customHeight="false" outlineLevel="0" collapsed="false">
      <c r="A128" s="43" t="s">
        <v>469</v>
      </c>
      <c r="B128" s="44" t="s">
        <v>470</v>
      </c>
      <c r="C128" s="45" t="s">
        <v>471</v>
      </c>
      <c r="D128" s="45" t="s">
        <v>90</v>
      </c>
      <c r="E128" s="46" t="n">
        <v>1</v>
      </c>
      <c r="F128" s="46" t="n">
        <v>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false"/>
  </sheetPr>
  <dimension ref="A1:L117"/>
  <sheetViews>
    <sheetView showFormulas="false" showGridLines="true" showRowColHeaders="true" showZeros="true" rightToLeft="true" tabSelected="true" showOutlineSymbols="true" defaultGridColor="true" view="normal" topLeftCell="E1" colorId="64" zoomScale="115" zoomScaleNormal="115" zoomScalePageLayoutView="100" workbookViewId="0">
      <pane xSplit="0" ySplit="1" topLeftCell="A103" activePane="bottomLeft" state="frozen"/>
      <selection pane="topLeft" activeCell="E1" activeCellId="0" sqref="E1"/>
      <selection pane="bottomLeft" activeCell="H114" activeCellId="0" sqref="H114"/>
    </sheetView>
  </sheetViews>
  <sheetFormatPr defaultColWidth="8.890625" defaultRowHeight="14.25" zeroHeight="false" outlineLevelRow="0" outlineLevelCol="0"/>
  <cols>
    <col collapsed="false" customWidth="true" hidden="false" outlineLevel="0" max="1" min="1" style="51" width="17.03"/>
    <col collapsed="false" customWidth="true" hidden="false" outlineLevel="0" max="2" min="2" style="52" width="20.78"/>
    <col collapsed="false" customWidth="true" hidden="false" outlineLevel="0" max="3" min="3" style="53" width="24.45"/>
    <col collapsed="false" customWidth="true" hidden="false" outlineLevel="0" max="4" min="4" style="51" width="41.11"/>
    <col collapsed="false" customWidth="true" hidden="false" outlineLevel="0" max="5" min="5" style="53" width="56.78"/>
    <col collapsed="false" customWidth="true" hidden="false" outlineLevel="0" max="6" min="6" style="52" width="9"/>
    <col collapsed="false" customWidth="true" hidden="false" outlineLevel="0" max="7" min="7" style="52" width="7.45"/>
    <col collapsed="false" customWidth="true" hidden="false" outlineLevel="0" max="8" min="8" style="52" width="15.53"/>
    <col collapsed="false" customWidth="false" hidden="false" outlineLevel="0" max="16384" min="9" style="52" width="8.89"/>
  </cols>
  <sheetData>
    <row r="1" s="57" customFormat="true" ht="30.1" hidden="false" customHeight="false" outlineLevel="0" collapsed="false">
      <c r="A1" s="54" t="s">
        <v>472</v>
      </c>
      <c r="B1" s="55" t="s">
        <v>473</v>
      </c>
      <c r="C1" s="56" t="s">
        <v>474</v>
      </c>
      <c r="D1" s="55" t="s">
        <v>475</v>
      </c>
      <c r="E1" s="56" t="s">
        <v>476</v>
      </c>
      <c r="F1" s="56" t="s">
        <v>477</v>
      </c>
      <c r="G1" s="56" t="s">
        <v>478</v>
      </c>
      <c r="H1" s="56" t="s">
        <v>479</v>
      </c>
    </row>
    <row r="2" customFormat="false" ht="15.75" hidden="false" customHeight="true" outlineLevel="0" collapsed="false">
      <c r="A2" s="58" t="s">
        <v>87</v>
      </c>
      <c r="B2" s="59" t="s">
        <v>85</v>
      </c>
      <c r="C2" s="60" t="s">
        <v>86</v>
      </c>
      <c r="D2" s="59" t="s">
        <v>88</v>
      </c>
      <c r="E2" s="60" t="s">
        <v>89</v>
      </c>
      <c r="F2" s="61" t="s">
        <v>90</v>
      </c>
      <c r="G2" s="62" t="n">
        <v>1</v>
      </c>
      <c r="H2" s="62" t="n">
        <v>100</v>
      </c>
    </row>
    <row r="3" customFormat="false" ht="15.75" hidden="false" customHeight="true" outlineLevel="0" collapsed="false">
      <c r="A3" s="58" t="s">
        <v>91</v>
      </c>
      <c r="B3" s="59" t="s">
        <v>85</v>
      </c>
      <c r="C3" s="60" t="s">
        <v>86</v>
      </c>
      <c r="D3" s="59" t="s">
        <v>92</v>
      </c>
      <c r="E3" s="60" t="s">
        <v>93</v>
      </c>
      <c r="F3" s="61" t="s">
        <v>90</v>
      </c>
      <c r="G3" s="62" t="n">
        <v>1</v>
      </c>
      <c r="H3" s="62" t="n">
        <v>100</v>
      </c>
    </row>
    <row r="4" customFormat="false" ht="15.75" hidden="false" customHeight="true" outlineLevel="0" collapsed="false">
      <c r="A4" s="58" t="s">
        <v>94</v>
      </c>
      <c r="B4" s="59" t="s">
        <v>85</v>
      </c>
      <c r="C4" s="60" t="s">
        <v>86</v>
      </c>
      <c r="D4" s="59" t="s">
        <v>95</v>
      </c>
      <c r="E4" s="60" t="s">
        <v>96</v>
      </c>
      <c r="F4" s="61" t="s">
        <v>90</v>
      </c>
      <c r="G4" s="62" t="n">
        <v>1</v>
      </c>
      <c r="H4" s="62" t="n">
        <v>100</v>
      </c>
    </row>
    <row r="5" customFormat="false" ht="15.75" hidden="false" customHeight="true" outlineLevel="0" collapsed="false">
      <c r="A5" s="58" t="s">
        <v>97</v>
      </c>
      <c r="B5" s="59" t="s">
        <v>85</v>
      </c>
      <c r="C5" s="60" t="s">
        <v>86</v>
      </c>
      <c r="D5" s="59" t="s">
        <v>98</v>
      </c>
      <c r="E5" s="60" t="s">
        <v>99</v>
      </c>
      <c r="F5" s="61" t="s">
        <v>100</v>
      </c>
      <c r="G5" s="62" t="n">
        <v>1</v>
      </c>
      <c r="H5" s="62" t="n">
        <v>100</v>
      </c>
    </row>
    <row r="6" customFormat="false" ht="15.75" hidden="false" customHeight="true" outlineLevel="0" collapsed="false">
      <c r="A6" s="58" t="s">
        <v>101</v>
      </c>
      <c r="B6" s="59" t="s">
        <v>85</v>
      </c>
      <c r="C6" s="60" t="s">
        <v>86</v>
      </c>
      <c r="D6" s="59" t="s">
        <v>102</v>
      </c>
      <c r="E6" s="60" t="s">
        <v>103</v>
      </c>
      <c r="F6" s="61" t="s">
        <v>90</v>
      </c>
      <c r="G6" s="62" t="n">
        <v>1</v>
      </c>
      <c r="H6" s="62" t="n">
        <v>50</v>
      </c>
    </row>
    <row r="7" customFormat="false" ht="15.75" hidden="false" customHeight="true" outlineLevel="0" collapsed="false">
      <c r="A7" s="58" t="s">
        <v>104</v>
      </c>
      <c r="B7" s="59" t="s">
        <v>85</v>
      </c>
      <c r="C7" s="60" t="s">
        <v>86</v>
      </c>
      <c r="D7" s="59" t="s">
        <v>105</v>
      </c>
      <c r="E7" s="60" t="s">
        <v>106</v>
      </c>
      <c r="F7" s="61" t="s">
        <v>90</v>
      </c>
      <c r="G7" s="62" t="n">
        <v>1</v>
      </c>
      <c r="H7" s="62" t="n">
        <v>20</v>
      </c>
    </row>
    <row r="8" customFormat="false" ht="15.75" hidden="false" customHeight="true" outlineLevel="0" collapsed="false">
      <c r="A8" s="58" t="s">
        <v>107</v>
      </c>
      <c r="B8" s="59" t="s">
        <v>85</v>
      </c>
      <c r="C8" s="60" t="s">
        <v>86</v>
      </c>
      <c r="D8" s="59" t="s">
        <v>108</v>
      </c>
      <c r="E8" s="60" t="s">
        <v>109</v>
      </c>
      <c r="F8" s="61" t="s">
        <v>90</v>
      </c>
      <c r="G8" s="62" t="n">
        <v>1</v>
      </c>
      <c r="H8" s="62" t="n">
        <v>20</v>
      </c>
    </row>
    <row r="9" customFormat="false" ht="15.75" hidden="false" customHeight="true" outlineLevel="0" collapsed="false">
      <c r="A9" s="58" t="s">
        <v>110</v>
      </c>
      <c r="B9" s="59" t="s">
        <v>85</v>
      </c>
      <c r="C9" s="60" t="s">
        <v>86</v>
      </c>
      <c r="D9" s="59" t="s">
        <v>111</v>
      </c>
      <c r="E9" s="60" t="s">
        <v>112</v>
      </c>
      <c r="F9" s="61" t="s">
        <v>90</v>
      </c>
      <c r="G9" s="62" t="n">
        <v>1</v>
      </c>
      <c r="H9" s="62" t="n">
        <v>20</v>
      </c>
    </row>
    <row r="10" customFormat="false" ht="15.75" hidden="false" customHeight="true" outlineLevel="0" collapsed="false">
      <c r="A10" s="58" t="s">
        <v>113</v>
      </c>
      <c r="B10" s="59" t="s">
        <v>85</v>
      </c>
      <c r="C10" s="60" t="s">
        <v>86</v>
      </c>
      <c r="D10" s="59" t="s">
        <v>114</v>
      </c>
      <c r="E10" s="60" t="s">
        <v>115</v>
      </c>
      <c r="F10" s="61" t="s">
        <v>90</v>
      </c>
      <c r="G10" s="62" t="n">
        <v>1</v>
      </c>
      <c r="H10" s="62" t="n">
        <v>20</v>
      </c>
    </row>
    <row r="11" customFormat="false" ht="15.75" hidden="false" customHeight="true" outlineLevel="0" collapsed="false">
      <c r="A11" s="58" t="s">
        <v>116</v>
      </c>
      <c r="B11" s="59" t="s">
        <v>85</v>
      </c>
      <c r="C11" s="60" t="s">
        <v>86</v>
      </c>
      <c r="D11" s="59" t="s">
        <v>117</v>
      </c>
      <c r="E11" s="60" t="s">
        <v>118</v>
      </c>
      <c r="F11" s="61" t="s">
        <v>90</v>
      </c>
      <c r="G11" s="62" t="n">
        <v>1</v>
      </c>
      <c r="H11" s="62" t="n">
        <v>20</v>
      </c>
    </row>
    <row r="12" customFormat="false" ht="15.75" hidden="false" customHeight="true" outlineLevel="0" collapsed="false">
      <c r="A12" s="58" t="s">
        <v>119</v>
      </c>
      <c r="B12" s="59" t="s">
        <v>85</v>
      </c>
      <c r="C12" s="60" t="s">
        <v>86</v>
      </c>
      <c r="D12" s="59" t="s">
        <v>120</v>
      </c>
      <c r="E12" s="60" t="s">
        <v>121</v>
      </c>
      <c r="F12" s="61" t="s">
        <v>90</v>
      </c>
      <c r="G12" s="62" t="n">
        <v>1</v>
      </c>
      <c r="H12" s="62" t="n">
        <v>20</v>
      </c>
    </row>
    <row r="13" customFormat="false" ht="15.75" hidden="false" customHeight="true" outlineLevel="0" collapsed="false">
      <c r="A13" s="58" t="s">
        <v>122</v>
      </c>
      <c r="B13" s="59" t="s">
        <v>85</v>
      </c>
      <c r="C13" s="60" t="s">
        <v>86</v>
      </c>
      <c r="D13" s="59" t="s">
        <v>123</v>
      </c>
      <c r="E13" s="60" t="s">
        <v>124</v>
      </c>
      <c r="F13" s="61" t="s">
        <v>90</v>
      </c>
      <c r="G13" s="62" t="n">
        <v>1</v>
      </c>
      <c r="H13" s="62" t="n">
        <v>20</v>
      </c>
    </row>
    <row r="14" customFormat="false" ht="15.75" hidden="false" customHeight="true" outlineLevel="0" collapsed="false">
      <c r="A14" s="58" t="s">
        <v>125</v>
      </c>
      <c r="B14" s="59" t="s">
        <v>85</v>
      </c>
      <c r="C14" s="60" t="s">
        <v>86</v>
      </c>
      <c r="D14" s="59" t="s">
        <v>126</v>
      </c>
      <c r="E14" s="60" t="s">
        <v>127</v>
      </c>
      <c r="F14" s="61" t="s">
        <v>90</v>
      </c>
      <c r="G14" s="62" t="n">
        <v>1</v>
      </c>
      <c r="H14" s="62" t="n">
        <v>50</v>
      </c>
    </row>
    <row r="15" customFormat="false" ht="15.75" hidden="false" customHeight="true" outlineLevel="0" collapsed="false">
      <c r="A15" s="58" t="s">
        <v>128</v>
      </c>
      <c r="B15" s="59" t="s">
        <v>85</v>
      </c>
      <c r="C15" s="60" t="s">
        <v>86</v>
      </c>
      <c r="D15" s="59" t="s">
        <v>129</v>
      </c>
      <c r="E15" s="60" t="s">
        <v>130</v>
      </c>
      <c r="F15" s="61" t="s">
        <v>90</v>
      </c>
      <c r="G15" s="62" t="n">
        <v>1</v>
      </c>
      <c r="H15" s="62" t="n">
        <v>50</v>
      </c>
    </row>
    <row r="16" customFormat="false" ht="15.75" hidden="false" customHeight="true" outlineLevel="0" collapsed="false">
      <c r="A16" s="58" t="s">
        <v>131</v>
      </c>
      <c r="B16" s="59" t="s">
        <v>85</v>
      </c>
      <c r="C16" s="60" t="s">
        <v>86</v>
      </c>
      <c r="D16" s="59" t="s">
        <v>132</v>
      </c>
      <c r="E16" s="60" t="s">
        <v>133</v>
      </c>
      <c r="F16" s="61" t="s">
        <v>90</v>
      </c>
      <c r="G16" s="62" t="n">
        <v>1</v>
      </c>
      <c r="H16" s="62" t="n">
        <v>50</v>
      </c>
    </row>
    <row r="17" customFormat="false" ht="15.75" hidden="false" customHeight="true" outlineLevel="0" collapsed="false">
      <c r="A17" s="58" t="s">
        <v>134</v>
      </c>
      <c r="B17" s="59" t="s">
        <v>85</v>
      </c>
      <c r="C17" s="60" t="s">
        <v>86</v>
      </c>
      <c r="D17" s="59" t="s">
        <v>135</v>
      </c>
      <c r="E17" s="60" t="s">
        <v>136</v>
      </c>
      <c r="F17" s="61" t="s">
        <v>90</v>
      </c>
      <c r="G17" s="62" t="n">
        <v>1</v>
      </c>
      <c r="H17" s="62" t="n">
        <v>50</v>
      </c>
    </row>
    <row r="18" customFormat="false" ht="15.75" hidden="false" customHeight="true" outlineLevel="0" collapsed="false">
      <c r="A18" s="58" t="s">
        <v>137</v>
      </c>
      <c r="B18" s="59" t="s">
        <v>85</v>
      </c>
      <c r="C18" s="60" t="s">
        <v>86</v>
      </c>
      <c r="D18" s="59" t="s">
        <v>138</v>
      </c>
      <c r="E18" s="60" t="s">
        <v>139</v>
      </c>
      <c r="F18" s="61" t="s">
        <v>90</v>
      </c>
      <c r="G18" s="62" t="n">
        <v>1</v>
      </c>
      <c r="H18" s="62" t="n">
        <v>200</v>
      </c>
    </row>
    <row r="19" customFormat="false" ht="15.75" hidden="false" customHeight="true" outlineLevel="0" collapsed="false">
      <c r="A19" s="58" t="s">
        <v>140</v>
      </c>
      <c r="B19" s="59" t="s">
        <v>85</v>
      </c>
      <c r="C19" s="60" t="s">
        <v>86</v>
      </c>
      <c r="D19" s="59" t="s">
        <v>141</v>
      </c>
      <c r="E19" s="60" t="s">
        <v>142</v>
      </c>
      <c r="F19" s="61" t="s">
        <v>90</v>
      </c>
      <c r="G19" s="62" t="n">
        <v>1</v>
      </c>
      <c r="H19" s="62" t="n">
        <v>50</v>
      </c>
    </row>
    <row r="20" customFormat="false" ht="15.75" hidden="false" customHeight="true" outlineLevel="0" collapsed="false">
      <c r="A20" s="58" t="s">
        <v>143</v>
      </c>
      <c r="B20" s="59" t="s">
        <v>85</v>
      </c>
      <c r="C20" s="60" t="s">
        <v>86</v>
      </c>
      <c r="D20" s="59" t="s">
        <v>144</v>
      </c>
      <c r="E20" s="60" t="s">
        <v>145</v>
      </c>
      <c r="F20" s="61" t="s">
        <v>90</v>
      </c>
      <c r="G20" s="62" t="n">
        <v>1</v>
      </c>
      <c r="H20" s="62" t="n">
        <v>200</v>
      </c>
    </row>
    <row r="21" customFormat="false" ht="15.75" hidden="false" customHeight="true" outlineLevel="0" collapsed="false">
      <c r="A21" s="58" t="s">
        <v>149</v>
      </c>
      <c r="B21" s="63" t="s">
        <v>147</v>
      </c>
      <c r="C21" s="64" t="s">
        <v>148</v>
      </c>
      <c r="D21" s="59" t="s">
        <v>150</v>
      </c>
      <c r="E21" s="60" t="s">
        <v>151</v>
      </c>
      <c r="F21" s="61" t="s">
        <v>90</v>
      </c>
      <c r="G21" s="62" t="n">
        <v>1</v>
      </c>
      <c r="H21" s="62" t="n">
        <v>200</v>
      </c>
    </row>
    <row r="22" customFormat="false" ht="15.75" hidden="false" customHeight="true" outlineLevel="0" collapsed="false">
      <c r="A22" s="58" t="s">
        <v>152</v>
      </c>
      <c r="B22" s="63" t="s">
        <v>147</v>
      </c>
      <c r="C22" s="64" t="s">
        <v>148</v>
      </c>
      <c r="D22" s="59" t="s">
        <v>153</v>
      </c>
      <c r="E22" s="60" t="s">
        <v>154</v>
      </c>
      <c r="F22" s="61" t="s">
        <v>90</v>
      </c>
      <c r="G22" s="62" t="n">
        <v>1</v>
      </c>
      <c r="H22" s="62" t="n">
        <v>100</v>
      </c>
    </row>
    <row r="23" customFormat="false" ht="15.75" hidden="false" customHeight="true" outlineLevel="0" collapsed="false">
      <c r="A23" s="58" t="s">
        <v>155</v>
      </c>
      <c r="B23" s="63" t="s">
        <v>147</v>
      </c>
      <c r="C23" s="64" t="s">
        <v>148</v>
      </c>
      <c r="D23" s="59" t="s">
        <v>156</v>
      </c>
      <c r="E23" s="60" t="s">
        <v>157</v>
      </c>
      <c r="F23" s="61" t="s">
        <v>90</v>
      </c>
      <c r="G23" s="62" t="n">
        <v>1</v>
      </c>
      <c r="H23" s="62" t="n">
        <v>50</v>
      </c>
    </row>
    <row r="24" customFormat="false" ht="15.75" hidden="false" customHeight="true" outlineLevel="0" collapsed="false">
      <c r="A24" s="58" t="s">
        <v>158</v>
      </c>
      <c r="B24" s="63" t="s">
        <v>147</v>
      </c>
      <c r="C24" s="64" t="s">
        <v>148</v>
      </c>
      <c r="D24" s="59" t="s">
        <v>159</v>
      </c>
      <c r="E24" s="60" t="s">
        <v>160</v>
      </c>
      <c r="F24" s="61" t="s">
        <v>90</v>
      </c>
      <c r="G24" s="62" t="n">
        <v>1</v>
      </c>
      <c r="H24" s="62" t="n">
        <v>200</v>
      </c>
    </row>
    <row r="25" customFormat="false" ht="15.75" hidden="false" customHeight="true" outlineLevel="0" collapsed="false">
      <c r="A25" s="58" t="s">
        <v>161</v>
      </c>
      <c r="B25" s="63" t="s">
        <v>147</v>
      </c>
      <c r="C25" s="64" t="s">
        <v>148</v>
      </c>
      <c r="D25" s="59" t="s">
        <v>162</v>
      </c>
      <c r="E25" s="60" t="s">
        <v>163</v>
      </c>
      <c r="F25" s="61" t="s">
        <v>90</v>
      </c>
      <c r="G25" s="62" t="n">
        <v>1</v>
      </c>
      <c r="H25" s="62" t="n">
        <v>200</v>
      </c>
    </row>
    <row r="26" customFormat="false" ht="15.75" hidden="false" customHeight="true" outlineLevel="0" collapsed="false">
      <c r="A26" s="58" t="s">
        <v>164</v>
      </c>
      <c r="B26" s="63" t="s">
        <v>147</v>
      </c>
      <c r="C26" s="64" t="s">
        <v>148</v>
      </c>
      <c r="D26" s="59" t="s">
        <v>165</v>
      </c>
      <c r="E26" s="60" t="s">
        <v>166</v>
      </c>
      <c r="F26" s="61" t="s">
        <v>90</v>
      </c>
      <c r="G26" s="62" t="n">
        <v>1</v>
      </c>
      <c r="H26" s="62" t="n">
        <v>100</v>
      </c>
    </row>
    <row r="27" customFormat="false" ht="15.75" hidden="false" customHeight="true" outlineLevel="0" collapsed="false">
      <c r="A27" s="58" t="s">
        <v>170</v>
      </c>
      <c r="B27" s="63" t="s">
        <v>168</v>
      </c>
      <c r="C27" s="64" t="s">
        <v>169</v>
      </c>
      <c r="D27" s="59" t="s">
        <v>171</v>
      </c>
      <c r="E27" s="60" t="s">
        <v>172</v>
      </c>
      <c r="F27" s="61" t="s">
        <v>90</v>
      </c>
      <c r="G27" s="62" t="n">
        <v>1</v>
      </c>
      <c r="H27" s="62" t="n">
        <v>500</v>
      </c>
    </row>
    <row r="28" customFormat="false" ht="15.75" hidden="false" customHeight="true" outlineLevel="0" collapsed="false">
      <c r="A28" s="58" t="s">
        <v>173</v>
      </c>
      <c r="B28" s="63" t="s">
        <v>168</v>
      </c>
      <c r="C28" s="64" t="s">
        <v>169</v>
      </c>
      <c r="D28" s="59" t="s">
        <v>174</v>
      </c>
      <c r="E28" s="60" t="s">
        <v>175</v>
      </c>
      <c r="F28" s="61" t="s">
        <v>90</v>
      </c>
      <c r="G28" s="62" t="n">
        <v>1</v>
      </c>
      <c r="H28" s="62" t="n">
        <v>200</v>
      </c>
    </row>
    <row r="29" customFormat="false" ht="15.75" hidden="false" customHeight="true" outlineLevel="0" collapsed="false">
      <c r="A29" s="58" t="s">
        <v>176</v>
      </c>
      <c r="B29" s="63" t="s">
        <v>168</v>
      </c>
      <c r="C29" s="64" t="s">
        <v>169</v>
      </c>
      <c r="D29" s="59" t="s">
        <v>177</v>
      </c>
      <c r="E29" s="60" t="s">
        <v>178</v>
      </c>
      <c r="F29" s="61" t="s">
        <v>90</v>
      </c>
      <c r="G29" s="62" t="n">
        <v>1</v>
      </c>
      <c r="H29" s="62" t="n">
        <v>300</v>
      </c>
    </row>
    <row r="30" customFormat="false" ht="15.75" hidden="false" customHeight="true" outlineLevel="0" collapsed="false">
      <c r="A30" s="58" t="s">
        <v>179</v>
      </c>
      <c r="B30" s="63" t="s">
        <v>168</v>
      </c>
      <c r="C30" s="64" t="s">
        <v>169</v>
      </c>
      <c r="D30" s="59" t="s">
        <v>180</v>
      </c>
      <c r="E30" s="60" t="s">
        <v>181</v>
      </c>
      <c r="F30" s="61" t="s">
        <v>90</v>
      </c>
      <c r="G30" s="62" t="n">
        <v>1</v>
      </c>
      <c r="H30" s="62" t="n">
        <v>100</v>
      </c>
    </row>
    <row r="31" customFormat="false" ht="15.75" hidden="false" customHeight="true" outlineLevel="0" collapsed="false">
      <c r="A31" s="58" t="s">
        <v>182</v>
      </c>
      <c r="B31" s="63" t="s">
        <v>168</v>
      </c>
      <c r="C31" s="64" t="s">
        <v>169</v>
      </c>
      <c r="D31" s="59" t="s">
        <v>183</v>
      </c>
      <c r="E31" s="60" t="s">
        <v>184</v>
      </c>
      <c r="F31" s="61" t="s">
        <v>90</v>
      </c>
      <c r="G31" s="62" t="n">
        <v>1</v>
      </c>
      <c r="H31" s="62" t="n">
        <v>100</v>
      </c>
    </row>
    <row r="32" customFormat="false" ht="15.75" hidden="false" customHeight="true" outlineLevel="0" collapsed="false">
      <c r="A32" s="58" t="s">
        <v>480</v>
      </c>
      <c r="B32" s="63" t="s">
        <v>168</v>
      </c>
      <c r="C32" s="64" t="s">
        <v>169</v>
      </c>
      <c r="D32" s="59" t="s">
        <v>185</v>
      </c>
      <c r="E32" s="60" t="s">
        <v>186</v>
      </c>
      <c r="F32" s="61" t="s">
        <v>90</v>
      </c>
      <c r="G32" s="62" t="n">
        <v>1</v>
      </c>
      <c r="H32" s="62" t="n">
        <v>300</v>
      </c>
    </row>
    <row r="33" customFormat="false" ht="15.75" hidden="false" customHeight="true" outlineLevel="0" collapsed="false">
      <c r="A33" s="58" t="s">
        <v>481</v>
      </c>
      <c r="B33" s="63" t="s">
        <v>168</v>
      </c>
      <c r="C33" s="64" t="s">
        <v>169</v>
      </c>
      <c r="D33" s="59" t="s">
        <v>187</v>
      </c>
      <c r="E33" s="60" t="s">
        <v>188</v>
      </c>
      <c r="F33" s="61" t="s">
        <v>90</v>
      </c>
      <c r="G33" s="62" t="n">
        <v>1</v>
      </c>
      <c r="H33" s="62" t="n">
        <v>300</v>
      </c>
    </row>
    <row r="34" customFormat="false" ht="15.75" hidden="false" customHeight="true" outlineLevel="0" collapsed="false">
      <c r="A34" s="58" t="s">
        <v>189</v>
      </c>
      <c r="B34" s="63" t="s">
        <v>168</v>
      </c>
      <c r="C34" s="64" t="s">
        <v>169</v>
      </c>
      <c r="D34" s="59" t="s">
        <v>190</v>
      </c>
      <c r="E34" s="60" t="s">
        <v>191</v>
      </c>
      <c r="F34" s="61" t="s">
        <v>90</v>
      </c>
      <c r="G34" s="62" t="n">
        <v>1</v>
      </c>
      <c r="H34" s="62" t="n">
        <v>200</v>
      </c>
    </row>
    <row r="35" customFormat="false" ht="15.75" hidden="false" customHeight="true" outlineLevel="0" collapsed="false">
      <c r="A35" s="58" t="s">
        <v>192</v>
      </c>
      <c r="B35" s="63" t="s">
        <v>168</v>
      </c>
      <c r="C35" s="64" t="s">
        <v>169</v>
      </c>
      <c r="D35" s="59" t="s">
        <v>193</v>
      </c>
      <c r="E35" s="60" t="s">
        <v>194</v>
      </c>
      <c r="F35" s="61" t="s">
        <v>90</v>
      </c>
      <c r="G35" s="62" t="n">
        <v>1</v>
      </c>
      <c r="H35" s="62" t="n">
        <v>100</v>
      </c>
    </row>
    <row r="36" customFormat="false" ht="15.75" hidden="false" customHeight="true" outlineLevel="0" collapsed="false">
      <c r="A36" s="58" t="s">
        <v>195</v>
      </c>
      <c r="B36" s="63" t="s">
        <v>168</v>
      </c>
      <c r="C36" s="64" t="s">
        <v>169</v>
      </c>
      <c r="D36" s="59" t="s">
        <v>196</v>
      </c>
      <c r="E36" s="60" t="s">
        <v>197</v>
      </c>
      <c r="F36" s="61" t="s">
        <v>90</v>
      </c>
      <c r="G36" s="62" t="n">
        <v>1</v>
      </c>
      <c r="H36" s="62" t="n">
        <v>100</v>
      </c>
    </row>
    <row r="37" customFormat="false" ht="15.75" hidden="false" customHeight="true" outlineLevel="0" collapsed="false">
      <c r="A37" s="58" t="s">
        <v>198</v>
      </c>
      <c r="B37" s="63" t="s">
        <v>168</v>
      </c>
      <c r="C37" s="64" t="s">
        <v>169</v>
      </c>
      <c r="D37" s="59" t="s">
        <v>199</v>
      </c>
      <c r="E37" s="60" t="s">
        <v>200</v>
      </c>
      <c r="F37" s="61" t="s">
        <v>90</v>
      </c>
      <c r="G37" s="62" t="n">
        <v>1</v>
      </c>
      <c r="H37" s="62" t="n">
        <v>200</v>
      </c>
    </row>
    <row r="38" customFormat="false" ht="15.75" hidden="false" customHeight="true" outlineLevel="0" collapsed="false">
      <c r="A38" s="58" t="s">
        <v>204</v>
      </c>
      <c r="B38" s="63" t="s">
        <v>202</v>
      </c>
      <c r="C38" s="64" t="s">
        <v>203</v>
      </c>
      <c r="D38" s="59" t="s">
        <v>205</v>
      </c>
      <c r="E38" s="60" t="s">
        <v>206</v>
      </c>
      <c r="F38" s="61" t="s">
        <v>90</v>
      </c>
      <c r="G38" s="62" t="n">
        <v>1</v>
      </c>
      <c r="H38" s="62" t="n">
        <v>50</v>
      </c>
    </row>
    <row r="39" customFormat="false" ht="15.75" hidden="false" customHeight="true" outlineLevel="0" collapsed="false">
      <c r="A39" s="58" t="s">
        <v>207</v>
      </c>
      <c r="B39" s="63" t="s">
        <v>202</v>
      </c>
      <c r="C39" s="64" t="s">
        <v>203</v>
      </c>
      <c r="D39" s="59" t="s">
        <v>208</v>
      </c>
      <c r="E39" s="60" t="s">
        <v>209</v>
      </c>
      <c r="F39" s="61" t="s">
        <v>90</v>
      </c>
      <c r="G39" s="62" t="n">
        <v>1</v>
      </c>
      <c r="H39" s="62" t="n">
        <v>100</v>
      </c>
    </row>
    <row r="40" customFormat="false" ht="15.75" hidden="false" customHeight="true" outlineLevel="0" collapsed="false">
      <c r="A40" s="58" t="s">
        <v>210</v>
      </c>
      <c r="B40" s="63" t="s">
        <v>202</v>
      </c>
      <c r="C40" s="64" t="s">
        <v>203</v>
      </c>
      <c r="D40" s="59" t="s">
        <v>211</v>
      </c>
      <c r="E40" s="60" t="s">
        <v>212</v>
      </c>
      <c r="F40" s="61" t="s">
        <v>90</v>
      </c>
      <c r="G40" s="62" t="n">
        <v>1</v>
      </c>
      <c r="H40" s="62" t="n">
        <v>100</v>
      </c>
    </row>
    <row r="41" customFormat="false" ht="15.75" hidden="false" customHeight="true" outlineLevel="0" collapsed="false">
      <c r="A41" s="58" t="s">
        <v>213</v>
      </c>
      <c r="B41" s="63" t="s">
        <v>202</v>
      </c>
      <c r="C41" s="64" t="s">
        <v>203</v>
      </c>
      <c r="D41" s="59" t="s">
        <v>214</v>
      </c>
      <c r="E41" s="60" t="s">
        <v>215</v>
      </c>
      <c r="F41" s="61" t="s">
        <v>90</v>
      </c>
      <c r="G41" s="62" t="n">
        <v>1</v>
      </c>
      <c r="H41" s="62" t="n">
        <v>50</v>
      </c>
    </row>
    <row r="42" customFormat="false" ht="15.75" hidden="false" customHeight="true" outlineLevel="0" collapsed="false">
      <c r="A42" s="58" t="s">
        <v>216</v>
      </c>
      <c r="B42" s="63" t="s">
        <v>202</v>
      </c>
      <c r="C42" s="64" t="s">
        <v>203</v>
      </c>
      <c r="D42" s="59" t="s">
        <v>217</v>
      </c>
      <c r="E42" s="60" t="s">
        <v>218</v>
      </c>
      <c r="F42" s="61" t="s">
        <v>90</v>
      </c>
      <c r="G42" s="62" t="n">
        <v>1</v>
      </c>
      <c r="H42" s="62" t="n">
        <v>50</v>
      </c>
    </row>
    <row r="43" customFormat="false" ht="15.75" hidden="false" customHeight="true" outlineLevel="0" collapsed="false">
      <c r="A43" s="58" t="s">
        <v>222</v>
      </c>
      <c r="B43" s="63" t="s">
        <v>220</v>
      </c>
      <c r="C43" s="64" t="s">
        <v>221</v>
      </c>
      <c r="D43" s="59" t="s">
        <v>223</v>
      </c>
      <c r="E43" s="60" t="s">
        <v>224</v>
      </c>
      <c r="F43" s="61" t="s">
        <v>90</v>
      </c>
      <c r="G43" s="62" t="n">
        <v>1</v>
      </c>
      <c r="H43" s="62" t="n">
        <v>100</v>
      </c>
    </row>
    <row r="44" customFormat="false" ht="15.75" hidden="false" customHeight="true" outlineLevel="0" collapsed="false">
      <c r="A44" s="58" t="s">
        <v>225</v>
      </c>
      <c r="B44" s="63" t="s">
        <v>220</v>
      </c>
      <c r="C44" s="64" t="s">
        <v>221</v>
      </c>
      <c r="D44" s="59" t="s">
        <v>226</v>
      </c>
      <c r="E44" s="60" t="s">
        <v>227</v>
      </c>
      <c r="F44" s="61" t="s">
        <v>90</v>
      </c>
      <c r="G44" s="62" t="n">
        <v>1</v>
      </c>
      <c r="H44" s="62" t="n">
        <v>100</v>
      </c>
    </row>
    <row r="45" customFormat="false" ht="15.75" hidden="false" customHeight="true" outlineLevel="0" collapsed="false">
      <c r="A45" s="58" t="s">
        <v>228</v>
      </c>
      <c r="B45" s="63" t="s">
        <v>220</v>
      </c>
      <c r="C45" s="64" t="s">
        <v>221</v>
      </c>
      <c r="D45" s="59" t="s">
        <v>229</v>
      </c>
      <c r="E45" s="60" t="s">
        <v>230</v>
      </c>
      <c r="F45" s="61" t="s">
        <v>90</v>
      </c>
      <c r="G45" s="62" t="n">
        <v>1</v>
      </c>
      <c r="H45" s="62" t="n">
        <v>50</v>
      </c>
    </row>
    <row r="46" customFormat="false" ht="15.75" hidden="false" customHeight="true" outlineLevel="0" collapsed="false">
      <c r="A46" s="58" t="s">
        <v>231</v>
      </c>
      <c r="B46" s="63" t="s">
        <v>220</v>
      </c>
      <c r="C46" s="64" t="s">
        <v>221</v>
      </c>
      <c r="D46" s="59" t="s">
        <v>232</v>
      </c>
      <c r="E46" s="60" t="s">
        <v>233</v>
      </c>
      <c r="F46" s="61" t="s">
        <v>90</v>
      </c>
      <c r="G46" s="62" t="n">
        <v>1</v>
      </c>
      <c r="H46" s="62" t="n">
        <v>100</v>
      </c>
    </row>
    <row r="47" customFormat="false" ht="15.75" hidden="false" customHeight="true" outlineLevel="0" collapsed="false">
      <c r="A47" s="58" t="s">
        <v>234</v>
      </c>
      <c r="B47" s="63" t="s">
        <v>220</v>
      </c>
      <c r="C47" s="64" t="s">
        <v>221</v>
      </c>
      <c r="D47" s="59" t="s">
        <v>235</v>
      </c>
      <c r="E47" s="60" t="s">
        <v>236</v>
      </c>
      <c r="F47" s="61" t="s">
        <v>90</v>
      </c>
      <c r="G47" s="62" t="n">
        <v>1</v>
      </c>
      <c r="H47" s="62" t="n">
        <v>300</v>
      </c>
    </row>
    <row r="48" customFormat="false" ht="15.75" hidden="false" customHeight="true" outlineLevel="0" collapsed="false">
      <c r="A48" s="58" t="s">
        <v>237</v>
      </c>
      <c r="B48" s="63" t="s">
        <v>220</v>
      </c>
      <c r="C48" s="64" t="s">
        <v>221</v>
      </c>
      <c r="D48" s="59" t="s">
        <v>238</v>
      </c>
      <c r="E48" s="60" t="s">
        <v>239</v>
      </c>
      <c r="F48" s="61" t="s">
        <v>90</v>
      </c>
      <c r="G48" s="62" t="n">
        <v>1</v>
      </c>
      <c r="H48" s="62" t="n">
        <v>300</v>
      </c>
    </row>
    <row r="49" customFormat="false" ht="15.75" hidden="false" customHeight="true" outlineLevel="0" collapsed="false">
      <c r="A49" s="58" t="s">
        <v>240</v>
      </c>
      <c r="B49" s="63" t="s">
        <v>220</v>
      </c>
      <c r="C49" s="64" t="s">
        <v>221</v>
      </c>
      <c r="D49" s="59" t="s">
        <v>241</v>
      </c>
      <c r="E49" s="60" t="s">
        <v>242</v>
      </c>
      <c r="F49" s="61" t="s">
        <v>90</v>
      </c>
      <c r="G49" s="62" t="n">
        <v>1</v>
      </c>
      <c r="H49" s="62" t="n">
        <v>100</v>
      </c>
    </row>
    <row r="50" customFormat="false" ht="15.75" hidden="false" customHeight="true" outlineLevel="0" collapsed="false">
      <c r="A50" s="58" t="s">
        <v>246</v>
      </c>
      <c r="B50" s="63" t="s">
        <v>244</v>
      </c>
      <c r="C50" s="64" t="s">
        <v>245</v>
      </c>
      <c r="D50" s="59" t="s">
        <v>247</v>
      </c>
      <c r="E50" s="60" t="s">
        <v>248</v>
      </c>
      <c r="F50" s="61" t="s">
        <v>90</v>
      </c>
      <c r="G50" s="62" t="n">
        <v>1</v>
      </c>
      <c r="H50" s="62" t="n">
        <v>300</v>
      </c>
    </row>
    <row r="51" customFormat="false" ht="15.75" hidden="false" customHeight="true" outlineLevel="0" collapsed="false">
      <c r="A51" s="58" t="s">
        <v>249</v>
      </c>
      <c r="B51" s="63" t="s">
        <v>244</v>
      </c>
      <c r="C51" s="64" t="s">
        <v>245</v>
      </c>
      <c r="D51" s="59" t="s">
        <v>250</v>
      </c>
      <c r="E51" s="60" t="s">
        <v>251</v>
      </c>
      <c r="F51" s="61" t="s">
        <v>90</v>
      </c>
      <c r="G51" s="62" t="n">
        <v>1</v>
      </c>
      <c r="H51" s="62" t="n">
        <v>100</v>
      </c>
    </row>
    <row r="52" customFormat="false" ht="15.75" hidden="false" customHeight="true" outlineLevel="0" collapsed="false">
      <c r="A52" s="58" t="s">
        <v>252</v>
      </c>
      <c r="B52" s="63" t="s">
        <v>244</v>
      </c>
      <c r="C52" s="64" t="s">
        <v>245</v>
      </c>
      <c r="D52" s="59" t="s">
        <v>253</v>
      </c>
      <c r="E52" s="60" t="s">
        <v>254</v>
      </c>
      <c r="F52" s="61" t="s">
        <v>90</v>
      </c>
      <c r="G52" s="62" t="n">
        <v>1</v>
      </c>
      <c r="H52" s="62" t="n">
        <v>300</v>
      </c>
    </row>
    <row r="53" customFormat="false" ht="15.75" hidden="false" customHeight="true" outlineLevel="0" collapsed="false">
      <c r="A53" s="58" t="s">
        <v>255</v>
      </c>
      <c r="B53" s="63" t="s">
        <v>244</v>
      </c>
      <c r="C53" s="64" t="s">
        <v>245</v>
      </c>
      <c r="D53" s="59" t="s">
        <v>256</v>
      </c>
      <c r="E53" s="60" t="s">
        <v>257</v>
      </c>
      <c r="F53" s="61" t="s">
        <v>90</v>
      </c>
      <c r="G53" s="62" t="n">
        <v>1</v>
      </c>
      <c r="H53" s="62" t="n">
        <v>100</v>
      </c>
    </row>
    <row r="54" customFormat="false" ht="15.75" hidden="false" customHeight="true" outlineLevel="0" collapsed="false">
      <c r="A54" s="58" t="s">
        <v>258</v>
      </c>
      <c r="B54" s="63" t="s">
        <v>244</v>
      </c>
      <c r="C54" s="64" t="s">
        <v>245</v>
      </c>
      <c r="D54" s="59" t="s">
        <v>259</v>
      </c>
      <c r="E54" s="60" t="s">
        <v>260</v>
      </c>
      <c r="F54" s="61" t="s">
        <v>90</v>
      </c>
      <c r="G54" s="62" t="n">
        <v>1</v>
      </c>
      <c r="H54" s="62" t="n">
        <v>300</v>
      </c>
    </row>
    <row r="55" customFormat="false" ht="15.75" hidden="false" customHeight="true" outlineLevel="0" collapsed="false">
      <c r="A55" s="58" t="s">
        <v>261</v>
      </c>
      <c r="B55" s="63" t="s">
        <v>244</v>
      </c>
      <c r="C55" s="64" t="s">
        <v>245</v>
      </c>
      <c r="D55" s="59" t="s">
        <v>262</v>
      </c>
      <c r="E55" s="60" t="s">
        <v>263</v>
      </c>
      <c r="F55" s="61" t="s">
        <v>90</v>
      </c>
      <c r="G55" s="62" t="n">
        <v>1</v>
      </c>
      <c r="H55" s="62" t="n">
        <v>300</v>
      </c>
    </row>
    <row r="56" customFormat="false" ht="15.75" hidden="false" customHeight="true" outlineLevel="0" collapsed="false">
      <c r="A56" s="58" t="s">
        <v>264</v>
      </c>
      <c r="B56" s="63" t="s">
        <v>244</v>
      </c>
      <c r="C56" s="64" t="s">
        <v>245</v>
      </c>
      <c r="D56" s="59" t="s">
        <v>265</v>
      </c>
      <c r="E56" s="60" t="s">
        <v>266</v>
      </c>
      <c r="F56" s="61" t="s">
        <v>90</v>
      </c>
      <c r="G56" s="62" t="n">
        <v>1</v>
      </c>
      <c r="H56" s="62" t="n">
        <v>300</v>
      </c>
    </row>
    <row r="57" customFormat="false" ht="15.75" hidden="false" customHeight="true" outlineLevel="0" collapsed="false">
      <c r="A57" s="58" t="s">
        <v>267</v>
      </c>
      <c r="B57" s="63" t="s">
        <v>244</v>
      </c>
      <c r="C57" s="64" t="s">
        <v>245</v>
      </c>
      <c r="D57" s="59" t="s">
        <v>268</v>
      </c>
      <c r="E57" s="60" t="s">
        <v>269</v>
      </c>
      <c r="F57" s="61" t="s">
        <v>90</v>
      </c>
      <c r="G57" s="62" t="n">
        <v>1</v>
      </c>
      <c r="H57" s="62" t="n">
        <v>100</v>
      </c>
    </row>
    <row r="58" customFormat="false" ht="15.75" hidden="false" customHeight="true" outlineLevel="0" collapsed="false">
      <c r="A58" s="58" t="s">
        <v>270</v>
      </c>
      <c r="B58" s="63" t="s">
        <v>244</v>
      </c>
      <c r="C58" s="64" t="s">
        <v>245</v>
      </c>
      <c r="D58" s="59" t="s">
        <v>271</v>
      </c>
      <c r="E58" s="60" t="s">
        <v>272</v>
      </c>
      <c r="F58" s="61" t="s">
        <v>90</v>
      </c>
      <c r="G58" s="62" t="n">
        <v>1</v>
      </c>
      <c r="H58" s="62" t="n">
        <v>300</v>
      </c>
    </row>
    <row r="59" customFormat="false" ht="15.75" hidden="false" customHeight="true" outlineLevel="0" collapsed="false">
      <c r="A59" s="58" t="s">
        <v>273</v>
      </c>
      <c r="B59" s="63" t="s">
        <v>244</v>
      </c>
      <c r="C59" s="64" t="s">
        <v>245</v>
      </c>
      <c r="D59" s="59" t="s">
        <v>274</v>
      </c>
      <c r="E59" s="60" t="s">
        <v>275</v>
      </c>
      <c r="F59" s="61" t="s">
        <v>90</v>
      </c>
      <c r="G59" s="62" t="n">
        <v>1</v>
      </c>
      <c r="H59" s="62" t="n">
        <v>100</v>
      </c>
    </row>
    <row r="60" customFormat="false" ht="15.75" hidden="false" customHeight="true" outlineLevel="0" collapsed="false">
      <c r="A60" s="58" t="s">
        <v>276</v>
      </c>
      <c r="B60" s="63" t="s">
        <v>244</v>
      </c>
      <c r="C60" s="64" t="s">
        <v>245</v>
      </c>
      <c r="D60" s="59" t="s">
        <v>277</v>
      </c>
      <c r="E60" s="60" t="s">
        <v>278</v>
      </c>
      <c r="F60" s="61" t="s">
        <v>90</v>
      </c>
      <c r="G60" s="62" t="n">
        <v>1</v>
      </c>
      <c r="H60" s="62" t="n">
        <v>500</v>
      </c>
    </row>
    <row r="61" customFormat="false" ht="15.75" hidden="false" customHeight="true" outlineLevel="0" collapsed="false">
      <c r="A61" s="58" t="s">
        <v>282</v>
      </c>
      <c r="B61" s="63" t="s">
        <v>280</v>
      </c>
      <c r="C61" s="64" t="s">
        <v>281</v>
      </c>
      <c r="D61" s="59" t="s">
        <v>283</v>
      </c>
      <c r="E61" s="60" t="s">
        <v>284</v>
      </c>
      <c r="F61" s="61" t="s">
        <v>285</v>
      </c>
      <c r="G61" s="62" t="n">
        <v>1</v>
      </c>
      <c r="H61" s="62" t="n">
        <v>50</v>
      </c>
    </row>
    <row r="62" customFormat="false" ht="15.75" hidden="false" customHeight="true" outlineLevel="0" collapsed="false">
      <c r="A62" s="58" t="s">
        <v>286</v>
      </c>
      <c r="B62" s="63" t="s">
        <v>280</v>
      </c>
      <c r="C62" s="64" t="s">
        <v>281</v>
      </c>
      <c r="D62" s="59" t="s">
        <v>287</v>
      </c>
      <c r="E62" s="60" t="s">
        <v>288</v>
      </c>
      <c r="F62" s="61" t="s">
        <v>285</v>
      </c>
      <c r="G62" s="62" t="n">
        <v>1</v>
      </c>
      <c r="H62" s="62" t="n">
        <v>50</v>
      </c>
    </row>
    <row r="63" customFormat="false" ht="15.75" hidden="false" customHeight="true" outlineLevel="0" collapsed="false">
      <c r="A63" s="58" t="s">
        <v>289</v>
      </c>
      <c r="B63" s="63" t="s">
        <v>280</v>
      </c>
      <c r="C63" s="64" t="s">
        <v>281</v>
      </c>
      <c r="D63" s="59" t="s">
        <v>290</v>
      </c>
      <c r="E63" s="60" t="s">
        <v>291</v>
      </c>
      <c r="F63" s="61" t="s">
        <v>285</v>
      </c>
      <c r="G63" s="62" t="n">
        <v>1</v>
      </c>
      <c r="H63" s="62" t="n">
        <v>50</v>
      </c>
    </row>
    <row r="64" customFormat="false" ht="15.75" hidden="false" customHeight="true" outlineLevel="0" collapsed="false">
      <c r="A64" s="58" t="s">
        <v>292</v>
      </c>
      <c r="B64" s="63" t="s">
        <v>280</v>
      </c>
      <c r="C64" s="64" t="s">
        <v>281</v>
      </c>
      <c r="D64" s="59" t="s">
        <v>293</v>
      </c>
      <c r="E64" s="60" t="s">
        <v>294</v>
      </c>
      <c r="F64" s="61" t="s">
        <v>295</v>
      </c>
      <c r="G64" s="62" t="n">
        <v>1</v>
      </c>
      <c r="H64" s="62" t="n">
        <v>20</v>
      </c>
    </row>
    <row r="65" customFormat="false" ht="15.75" hidden="false" customHeight="true" outlineLevel="0" collapsed="false">
      <c r="A65" s="58" t="s">
        <v>296</v>
      </c>
      <c r="B65" s="63" t="s">
        <v>280</v>
      </c>
      <c r="C65" s="64" t="s">
        <v>281</v>
      </c>
      <c r="D65" s="59" t="s">
        <v>297</v>
      </c>
      <c r="E65" s="60" t="s">
        <v>298</v>
      </c>
      <c r="F65" s="61" t="s">
        <v>295</v>
      </c>
      <c r="G65" s="62" t="n">
        <v>1</v>
      </c>
      <c r="H65" s="62" t="n">
        <v>30</v>
      </c>
    </row>
    <row r="66" customFormat="false" ht="15.75" hidden="false" customHeight="true" outlineLevel="0" collapsed="false">
      <c r="A66" s="58" t="s">
        <v>299</v>
      </c>
      <c r="B66" s="63" t="s">
        <v>280</v>
      </c>
      <c r="C66" s="64" t="s">
        <v>281</v>
      </c>
      <c r="D66" s="59" t="s">
        <v>300</v>
      </c>
      <c r="E66" s="60" t="s">
        <v>301</v>
      </c>
      <c r="F66" s="61" t="s">
        <v>295</v>
      </c>
      <c r="G66" s="62" t="n">
        <v>1</v>
      </c>
      <c r="H66" s="62" t="n">
        <v>20</v>
      </c>
    </row>
    <row r="67" customFormat="false" ht="15.75" hidden="false" customHeight="true" outlineLevel="0" collapsed="false">
      <c r="A67" s="58" t="s">
        <v>302</v>
      </c>
      <c r="B67" s="63" t="s">
        <v>280</v>
      </c>
      <c r="C67" s="64" t="s">
        <v>281</v>
      </c>
      <c r="D67" s="59" t="s">
        <v>303</v>
      </c>
      <c r="E67" s="60" t="s">
        <v>304</v>
      </c>
      <c r="F67" s="61" t="s">
        <v>295</v>
      </c>
      <c r="G67" s="62" t="n">
        <v>1</v>
      </c>
      <c r="H67" s="62" t="n">
        <v>10</v>
      </c>
    </row>
    <row r="68" customFormat="false" ht="15.75" hidden="false" customHeight="true" outlineLevel="0" collapsed="false">
      <c r="A68" s="58" t="s">
        <v>305</v>
      </c>
      <c r="B68" s="63" t="s">
        <v>280</v>
      </c>
      <c r="C68" s="64" t="s">
        <v>281</v>
      </c>
      <c r="D68" s="59" t="s">
        <v>306</v>
      </c>
      <c r="E68" s="60" t="s">
        <v>307</v>
      </c>
      <c r="F68" s="61" t="s">
        <v>295</v>
      </c>
      <c r="G68" s="62" t="n">
        <v>1</v>
      </c>
      <c r="H68" s="62" t="n">
        <v>10</v>
      </c>
    </row>
    <row r="69" customFormat="false" ht="15.75" hidden="false" customHeight="true" outlineLevel="0" collapsed="false">
      <c r="A69" s="58" t="s">
        <v>308</v>
      </c>
      <c r="B69" s="63" t="s">
        <v>280</v>
      </c>
      <c r="C69" s="64" t="s">
        <v>281</v>
      </c>
      <c r="D69" s="59" t="s">
        <v>309</v>
      </c>
      <c r="E69" s="60" t="s">
        <v>310</v>
      </c>
      <c r="F69" s="61" t="s">
        <v>295</v>
      </c>
      <c r="G69" s="62" t="n">
        <v>1</v>
      </c>
      <c r="H69" s="62" t="n">
        <v>10</v>
      </c>
    </row>
    <row r="70" customFormat="false" ht="15.75" hidden="false" customHeight="true" outlineLevel="0" collapsed="false">
      <c r="A70" s="58" t="s">
        <v>311</v>
      </c>
      <c r="B70" s="63" t="s">
        <v>280</v>
      </c>
      <c r="C70" s="64" t="s">
        <v>281</v>
      </c>
      <c r="D70" s="59" t="s">
        <v>312</v>
      </c>
      <c r="E70" s="60" t="s">
        <v>313</v>
      </c>
      <c r="F70" s="61" t="s">
        <v>295</v>
      </c>
      <c r="G70" s="62" t="n">
        <v>1</v>
      </c>
      <c r="H70" s="62" t="n">
        <v>10</v>
      </c>
    </row>
    <row r="71" customFormat="false" ht="15.75" hidden="false" customHeight="true" outlineLevel="0" collapsed="false">
      <c r="A71" s="58" t="s">
        <v>314</v>
      </c>
      <c r="B71" s="63" t="s">
        <v>280</v>
      </c>
      <c r="C71" s="64" t="s">
        <v>281</v>
      </c>
      <c r="D71" s="59" t="s">
        <v>315</v>
      </c>
      <c r="E71" s="60" t="s">
        <v>316</v>
      </c>
      <c r="F71" s="61" t="s">
        <v>295</v>
      </c>
      <c r="G71" s="62" t="n">
        <v>1</v>
      </c>
      <c r="H71" s="62" t="n">
        <v>10</v>
      </c>
    </row>
    <row r="72" customFormat="false" ht="15.75" hidden="false" customHeight="true" outlineLevel="0" collapsed="false">
      <c r="A72" s="58" t="s">
        <v>317</v>
      </c>
      <c r="B72" s="63" t="s">
        <v>280</v>
      </c>
      <c r="C72" s="64" t="s">
        <v>281</v>
      </c>
      <c r="D72" s="59" t="s">
        <v>318</v>
      </c>
      <c r="E72" s="60" t="s">
        <v>319</v>
      </c>
      <c r="F72" s="61" t="s">
        <v>295</v>
      </c>
      <c r="G72" s="62" t="n">
        <v>1</v>
      </c>
      <c r="H72" s="62" t="n">
        <v>10</v>
      </c>
    </row>
    <row r="73" customFormat="false" ht="15.75" hidden="false" customHeight="true" outlineLevel="0" collapsed="false">
      <c r="A73" s="58" t="s">
        <v>320</v>
      </c>
      <c r="B73" s="63" t="s">
        <v>280</v>
      </c>
      <c r="C73" s="64" t="s">
        <v>281</v>
      </c>
      <c r="D73" s="59" t="s">
        <v>321</v>
      </c>
      <c r="E73" s="60" t="s">
        <v>322</v>
      </c>
      <c r="F73" s="61" t="s">
        <v>295</v>
      </c>
      <c r="G73" s="62" t="n">
        <v>1</v>
      </c>
      <c r="H73" s="62" t="n">
        <v>10</v>
      </c>
    </row>
    <row r="74" customFormat="false" ht="15.75" hidden="false" customHeight="true" outlineLevel="0" collapsed="false">
      <c r="A74" s="58" t="s">
        <v>323</v>
      </c>
      <c r="B74" s="63" t="s">
        <v>280</v>
      </c>
      <c r="C74" s="64" t="s">
        <v>281</v>
      </c>
      <c r="D74" s="59" t="s">
        <v>324</v>
      </c>
      <c r="E74" s="60" t="s">
        <v>325</v>
      </c>
      <c r="F74" s="61" t="s">
        <v>295</v>
      </c>
      <c r="G74" s="62" t="n">
        <v>1</v>
      </c>
      <c r="H74" s="62" t="n">
        <v>10</v>
      </c>
    </row>
    <row r="75" customFormat="false" ht="15.75" hidden="false" customHeight="true" outlineLevel="0" collapsed="false">
      <c r="A75" s="58" t="s">
        <v>326</v>
      </c>
      <c r="B75" s="63" t="s">
        <v>280</v>
      </c>
      <c r="C75" s="64" t="s">
        <v>281</v>
      </c>
      <c r="D75" s="59" t="s">
        <v>327</v>
      </c>
      <c r="E75" s="60" t="s">
        <v>328</v>
      </c>
      <c r="F75" s="61" t="s">
        <v>295</v>
      </c>
      <c r="G75" s="62" t="n">
        <v>1</v>
      </c>
      <c r="H75" s="62" t="n">
        <v>10</v>
      </c>
    </row>
    <row r="76" customFormat="false" ht="15.75" hidden="false" customHeight="true" outlineLevel="0" collapsed="false">
      <c r="A76" s="58" t="s">
        <v>329</v>
      </c>
      <c r="B76" s="63" t="s">
        <v>280</v>
      </c>
      <c r="C76" s="64" t="s">
        <v>281</v>
      </c>
      <c r="D76" s="59" t="s">
        <v>330</v>
      </c>
      <c r="E76" s="60" t="s">
        <v>331</v>
      </c>
      <c r="F76" s="61" t="s">
        <v>285</v>
      </c>
      <c r="G76" s="62" t="n">
        <v>1</v>
      </c>
      <c r="H76" s="62" t="n">
        <v>20</v>
      </c>
    </row>
    <row r="77" customFormat="false" ht="15.75" hidden="false" customHeight="true" outlineLevel="0" collapsed="false">
      <c r="A77" s="58" t="s">
        <v>332</v>
      </c>
      <c r="B77" s="63" t="s">
        <v>280</v>
      </c>
      <c r="C77" s="64" t="s">
        <v>281</v>
      </c>
      <c r="D77" s="59" t="s">
        <v>333</v>
      </c>
      <c r="E77" s="60" t="s">
        <v>334</v>
      </c>
      <c r="F77" s="61" t="s">
        <v>295</v>
      </c>
      <c r="G77" s="62" t="n">
        <v>1</v>
      </c>
      <c r="H77" s="62" t="n">
        <v>10</v>
      </c>
    </row>
    <row r="78" customFormat="false" ht="15.75" hidden="false" customHeight="true" outlineLevel="0" collapsed="false">
      <c r="A78" s="58" t="s">
        <v>335</v>
      </c>
      <c r="B78" s="63" t="s">
        <v>280</v>
      </c>
      <c r="C78" s="64" t="s">
        <v>281</v>
      </c>
      <c r="D78" s="59" t="s">
        <v>336</v>
      </c>
      <c r="E78" s="60" t="s">
        <v>337</v>
      </c>
      <c r="F78" s="61" t="s">
        <v>295</v>
      </c>
      <c r="G78" s="62" t="n">
        <v>1</v>
      </c>
      <c r="H78" s="62" t="n">
        <v>10</v>
      </c>
    </row>
    <row r="79" customFormat="false" ht="15.75" hidden="false" customHeight="true" outlineLevel="0" collapsed="false">
      <c r="A79" s="58" t="s">
        <v>338</v>
      </c>
      <c r="B79" s="63" t="s">
        <v>280</v>
      </c>
      <c r="C79" s="64" t="s">
        <v>281</v>
      </c>
      <c r="D79" s="59" t="s">
        <v>339</v>
      </c>
      <c r="E79" s="60" t="s">
        <v>340</v>
      </c>
      <c r="F79" s="61" t="s">
        <v>295</v>
      </c>
      <c r="G79" s="62" t="n">
        <v>1</v>
      </c>
      <c r="H79" s="62" t="n">
        <v>30</v>
      </c>
    </row>
    <row r="80" customFormat="false" ht="15.75" hidden="false" customHeight="true" outlineLevel="0" collapsed="false">
      <c r="A80" s="58" t="s">
        <v>341</v>
      </c>
      <c r="B80" s="63" t="s">
        <v>280</v>
      </c>
      <c r="C80" s="64" t="s">
        <v>281</v>
      </c>
      <c r="D80" s="59" t="s">
        <v>342</v>
      </c>
      <c r="E80" s="60" t="s">
        <v>343</v>
      </c>
      <c r="F80" s="61" t="s">
        <v>482</v>
      </c>
      <c r="G80" s="62" t="n">
        <v>1</v>
      </c>
      <c r="H80" s="62" t="n">
        <v>200</v>
      </c>
    </row>
    <row r="81" customFormat="false" ht="15.75" hidden="false" customHeight="true" outlineLevel="0" collapsed="false">
      <c r="A81" s="58" t="s">
        <v>344</v>
      </c>
      <c r="B81" s="63" t="s">
        <v>280</v>
      </c>
      <c r="C81" s="64" t="s">
        <v>281</v>
      </c>
      <c r="D81" s="59" t="s">
        <v>345</v>
      </c>
      <c r="E81" s="60" t="s">
        <v>346</v>
      </c>
      <c r="F81" s="61" t="s">
        <v>482</v>
      </c>
      <c r="G81" s="62" t="n">
        <v>1</v>
      </c>
      <c r="H81" s="62" t="n">
        <v>200</v>
      </c>
    </row>
    <row r="82" customFormat="false" ht="15.75" hidden="false" customHeight="true" outlineLevel="0" collapsed="false">
      <c r="A82" s="58" t="s">
        <v>350</v>
      </c>
      <c r="B82" s="63" t="s">
        <v>348</v>
      </c>
      <c r="C82" s="64" t="s">
        <v>349</v>
      </c>
      <c r="D82" s="59" t="s">
        <v>351</v>
      </c>
      <c r="E82" s="60" t="s">
        <v>352</v>
      </c>
      <c r="F82" s="61" t="s">
        <v>90</v>
      </c>
      <c r="G82" s="62" t="n">
        <v>1</v>
      </c>
      <c r="H82" s="62" t="n">
        <v>10</v>
      </c>
    </row>
    <row r="83" customFormat="false" ht="15.75" hidden="false" customHeight="true" outlineLevel="0" collapsed="false">
      <c r="A83" s="58" t="s">
        <v>353</v>
      </c>
      <c r="B83" s="63" t="s">
        <v>348</v>
      </c>
      <c r="C83" s="64" t="s">
        <v>349</v>
      </c>
      <c r="D83" s="59" t="s">
        <v>354</v>
      </c>
      <c r="E83" s="60" t="s">
        <v>355</v>
      </c>
      <c r="F83" s="61" t="s">
        <v>90</v>
      </c>
      <c r="G83" s="62" t="n">
        <v>1</v>
      </c>
      <c r="H83" s="62" t="n">
        <v>70</v>
      </c>
    </row>
    <row r="84" customFormat="false" ht="15.75" hidden="false" customHeight="true" outlineLevel="0" collapsed="false">
      <c r="A84" s="58" t="s">
        <v>356</v>
      </c>
      <c r="B84" s="63" t="s">
        <v>348</v>
      </c>
      <c r="C84" s="64" t="s">
        <v>349</v>
      </c>
      <c r="D84" s="59" t="s">
        <v>357</v>
      </c>
      <c r="E84" s="60" t="s">
        <v>358</v>
      </c>
      <c r="F84" s="61" t="s">
        <v>90</v>
      </c>
      <c r="G84" s="62" t="n">
        <v>1</v>
      </c>
      <c r="H84" s="62" t="n">
        <v>30</v>
      </c>
    </row>
    <row r="85" customFormat="false" ht="15.75" hidden="false" customHeight="true" outlineLevel="0" collapsed="false">
      <c r="A85" s="58" t="s">
        <v>359</v>
      </c>
      <c r="B85" s="63" t="s">
        <v>348</v>
      </c>
      <c r="C85" s="64" t="s">
        <v>349</v>
      </c>
      <c r="D85" s="59" t="s">
        <v>360</v>
      </c>
      <c r="E85" s="60" t="s">
        <v>361</v>
      </c>
      <c r="F85" s="61" t="s">
        <v>90</v>
      </c>
      <c r="G85" s="62" t="n">
        <v>1</v>
      </c>
      <c r="H85" s="62" t="n">
        <v>40</v>
      </c>
    </row>
    <row r="86" customFormat="false" ht="15.75" hidden="false" customHeight="true" outlineLevel="0" collapsed="false">
      <c r="A86" s="58" t="s">
        <v>362</v>
      </c>
      <c r="B86" s="63" t="s">
        <v>348</v>
      </c>
      <c r="C86" s="64" t="s">
        <v>349</v>
      </c>
      <c r="D86" s="59" t="s">
        <v>363</v>
      </c>
      <c r="E86" s="60" t="s">
        <v>364</v>
      </c>
      <c r="F86" s="61" t="s">
        <v>90</v>
      </c>
      <c r="G86" s="62" t="n">
        <v>1</v>
      </c>
      <c r="H86" s="62" t="n">
        <v>70</v>
      </c>
    </row>
    <row r="87" customFormat="false" ht="15.75" hidden="false" customHeight="true" outlineLevel="0" collapsed="false">
      <c r="A87" s="58" t="s">
        <v>365</v>
      </c>
      <c r="B87" s="63" t="s">
        <v>348</v>
      </c>
      <c r="C87" s="64" t="s">
        <v>349</v>
      </c>
      <c r="D87" s="59" t="s">
        <v>366</v>
      </c>
      <c r="E87" s="60" t="s">
        <v>367</v>
      </c>
      <c r="F87" s="61" t="s">
        <v>90</v>
      </c>
      <c r="G87" s="62" t="n">
        <v>1</v>
      </c>
      <c r="H87" s="62" t="n">
        <v>80</v>
      </c>
    </row>
    <row r="88" customFormat="false" ht="15.75" hidden="false" customHeight="true" outlineLevel="0" collapsed="false">
      <c r="A88" s="58" t="s">
        <v>368</v>
      </c>
      <c r="B88" s="63" t="s">
        <v>348</v>
      </c>
      <c r="C88" s="64" t="s">
        <v>349</v>
      </c>
      <c r="D88" s="59" t="s">
        <v>369</v>
      </c>
      <c r="E88" s="60" t="s">
        <v>370</v>
      </c>
      <c r="F88" s="61" t="s">
        <v>90</v>
      </c>
      <c r="G88" s="62" t="n">
        <v>1</v>
      </c>
      <c r="H88" s="62" t="n">
        <v>100</v>
      </c>
    </row>
    <row r="89" customFormat="false" ht="15.75" hidden="false" customHeight="true" outlineLevel="0" collapsed="false">
      <c r="A89" s="58" t="s">
        <v>371</v>
      </c>
      <c r="B89" s="63" t="s">
        <v>348</v>
      </c>
      <c r="C89" s="64" t="s">
        <v>349</v>
      </c>
      <c r="D89" s="59" t="s">
        <v>372</v>
      </c>
      <c r="E89" s="60" t="s">
        <v>373</v>
      </c>
      <c r="F89" s="61" t="s">
        <v>90</v>
      </c>
      <c r="G89" s="62" t="n">
        <v>1</v>
      </c>
      <c r="H89" s="62" t="n">
        <v>120</v>
      </c>
    </row>
    <row r="90" customFormat="false" ht="15.75" hidden="false" customHeight="true" outlineLevel="0" collapsed="false">
      <c r="A90" s="58" t="s">
        <v>374</v>
      </c>
      <c r="B90" s="63" t="s">
        <v>348</v>
      </c>
      <c r="C90" s="64" t="s">
        <v>349</v>
      </c>
      <c r="D90" s="59" t="s">
        <v>375</v>
      </c>
      <c r="E90" s="60" t="s">
        <v>376</v>
      </c>
      <c r="F90" s="61" t="s">
        <v>90</v>
      </c>
      <c r="G90" s="62" t="n">
        <v>1</v>
      </c>
      <c r="H90" s="62" t="n">
        <v>60</v>
      </c>
    </row>
    <row r="91" customFormat="false" ht="15.75" hidden="false" customHeight="true" outlineLevel="0" collapsed="false">
      <c r="A91" s="58" t="s">
        <v>377</v>
      </c>
      <c r="B91" s="63" t="s">
        <v>348</v>
      </c>
      <c r="C91" s="64" t="s">
        <v>349</v>
      </c>
      <c r="D91" s="59" t="s">
        <v>378</v>
      </c>
      <c r="E91" s="60" t="s">
        <v>379</v>
      </c>
      <c r="F91" s="61" t="s">
        <v>90</v>
      </c>
      <c r="G91" s="62" t="n">
        <v>1</v>
      </c>
      <c r="H91" s="62" t="n">
        <v>10</v>
      </c>
    </row>
    <row r="92" customFormat="false" ht="15.75" hidden="false" customHeight="true" outlineLevel="0" collapsed="false">
      <c r="A92" s="58" t="s">
        <v>380</v>
      </c>
      <c r="B92" s="63" t="s">
        <v>348</v>
      </c>
      <c r="C92" s="64" t="s">
        <v>349</v>
      </c>
      <c r="D92" s="59" t="s">
        <v>381</v>
      </c>
      <c r="E92" s="60" t="s">
        <v>382</v>
      </c>
      <c r="F92" s="61" t="s">
        <v>90</v>
      </c>
      <c r="G92" s="62" t="n">
        <v>1</v>
      </c>
      <c r="H92" s="62" t="n">
        <v>500</v>
      </c>
    </row>
    <row r="93" customFormat="false" ht="15.75" hidden="false" customHeight="true" outlineLevel="0" collapsed="false">
      <c r="A93" s="58" t="s">
        <v>383</v>
      </c>
      <c r="B93" s="63" t="s">
        <v>348</v>
      </c>
      <c r="C93" s="64" t="s">
        <v>349</v>
      </c>
      <c r="D93" s="59" t="s">
        <v>384</v>
      </c>
      <c r="E93" s="60" t="s">
        <v>385</v>
      </c>
      <c r="F93" s="61" t="s">
        <v>90</v>
      </c>
      <c r="G93" s="62" t="n">
        <v>1</v>
      </c>
      <c r="H93" s="62" t="n">
        <v>300</v>
      </c>
    </row>
    <row r="94" customFormat="false" ht="15.75" hidden="false" customHeight="true" outlineLevel="0" collapsed="false">
      <c r="A94" s="58" t="s">
        <v>386</v>
      </c>
      <c r="B94" s="63" t="s">
        <v>348</v>
      </c>
      <c r="C94" s="64" t="s">
        <v>349</v>
      </c>
      <c r="D94" s="59" t="s">
        <v>387</v>
      </c>
      <c r="E94" s="60" t="s">
        <v>388</v>
      </c>
      <c r="F94" s="61" t="s">
        <v>389</v>
      </c>
      <c r="G94" s="62" t="n">
        <v>1</v>
      </c>
      <c r="H94" s="62" t="n">
        <v>100</v>
      </c>
    </row>
    <row r="95" customFormat="false" ht="15.75" hidden="false" customHeight="true" outlineLevel="0" collapsed="false">
      <c r="A95" s="58" t="s">
        <v>393</v>
      </c>
      <c r="B95" s="63" t="s">
        <v>391</v>
      </c>
      <c r="C95" s="64" t="s">
        <v>392</v>
      </c>
      <c r="D95" s="59" t="s">
        <v>394</v>
      </c>
      <c r="E95" s="60" t="s">
        <v>395</v>
      </c>
      <c r="F95" s="61" t="s">
        <v>396</v>
      </c>
      <c r="G95" s="62" t="n">
        <v>1</v>
      </c>
      <c r="H95" s="62" t="n">
        <v>5</v>
      </c>
    </row>
    <row r="96" customFormat="false" ht="15.75" hidden="false" customHeight="true" outlineLevel="0" collapsed="false">
      <c r="A96" s="58" t="s">
        <v>397</v>
      </c>
      <c r="B96" s="63" t="s">
        <v>391</v>
      </c>
      <c r="C96" s="64" t="s">
        <v>392</v>
      </c>
      <c r="D96" s="59" t="s">
        <v>398</v>
      </c>
      <c r="E96" s="60" t="s">
        <v>399</v>
      </c>
      <c r="F96" s="61" t="s">
        <v>400</v>
      </c>
      <c r="G96" s="62" t="n">
        <v>1</v>
      </c>
      <c r="H96" s="62" t="n">
        <v>5</v>
      </c>
    </row>
    <row r="97" customFormat="false" ht="15.75" hidden="false" customHeight="true" outlineLevel="0" collapsed="false">
      <c r="A97" s="58" t="s">
        <v>401</v>
      </c>
      <c r="B97" s="63" t="s">
        <v>391</v>
      </c>
      <c r="C97" s="64" t="s">
        <v>392</v>
      </c>
      <c r="D97" s="59" t="s">
        <v>402</v>
      </c>
      <c r="E97" s="60" t="s">
        <v>403</v>
      </c>
      <c r="F97" s="61" t="s">
        <v>400</v>
      </c>
      <c r="G97" s="62" t="n">
        <v>1</v>
      </c>
      <c r="H97" s="62" t="n">
        <v>5</v>
      </c>
    </row>
    <row r="98" customFormat="false" ht="15.75" hidden="false" customHeight="true" outlineLevel="0" collapsed="false">
      <c r="A98" s="58" t="s">
        <v>404</v>
      </c>
      <c r="B98" s="63" t="s">
        <v>391</v>
      </c>
      <c r="C98" s="64" t="s">
        <v>392</v>
      </c>
      <c r="D98" s="59" t="s">
        <v>405</v>
      </c>
      <c r="E98" s="60" t="s">
        <v>406</v>
      </c>
      <c r="F98" s="61" t="s">
        <v>400</v>
      </c>
      <c r="G98" s="62" t="n">
        <v>1</v>
      </c>
      <c r="H98" s="62" t="n">
        <v>5</v>
      </c>
    </row>
    <row r="99" customFormat="false" ht="15.75" hidden="false" customHeight="true" outlineLevel="0" collapsed="false">
      <c r="A99" s="58" t="s">
        <v>407</v>
      </c>
      <c r="B99" s="63" t="s">
        <v>391</v>
      </c>
      <c r="C99" s="64" t="s">
        <v>392</v>
      </c>
      <c r="D99" s="59" t="s">
        <v>408</v>
      </c>
      <c r="E99" s="60" t="s">
        <v>409</v>
      </c>
      <c r="F99" s="61" t="s">
        <v>400</v>
      </c>
      <c r="G99" s="62" t="n">
        <v>1</v>
      </c>
      <c r="H99" s="62" t="n">
        <v>5</v>
      </c>
    </row>
    <row r="100" customFormat="false" ht="15.75" hidden="false" customHeight="true" outlineLevel="0" collapsed="false">
      <c r="A100" s="58" t="s">
        <v>410</v>
      </c>
      <c r="B100" s="63" t="s">
        <v>391</v>
      </c>
      <c r="C100" s="64" t="s">
        <v>392</v>
      </c>
      <c r="D100" s="59" t="s">
        <v>411</v>
      </c>
      <c r="E100" s="60" t="s">
        <v>412</v>
      </c>
      <c r="F100" s="61" t="s">
        <v>413</v>
      </c>
      <c r="G100" s="62" t="n">
        <v>1</v>
      </c>
      <c r="H100" s="62" t="n">
        <v>5</v>
      </c>
    </row>
    <row r="101" customFormat="false" ht="15.75" hidden="false" customHeight="true" outlineLevel="0" collapsed="false">
      <c r="A101" s="58" t="s">
        <v>417</v>
      </c>
      <c r="B101" s="63" t="s">
        <v>415</v>
      </c>
      <c r="C101" s="64" t="s">
        <v>416</v>
      </c>
      <c r="D101" s="59" t="s">
        <v>418</v>
      </c>
      <c r="E101" s="60" t="s">
        <v>419</v>
      </c>
      <c r="F101" s="61" t="s">
        <v>420</v>
      </c>
      <c r="G101" s="62" t="n">
        <v>1</v>
      </c>
      <c r="H101" s="62" t="n">
        <v>50</v>
      </c>
    </row>
    <row r="102" customFormat="false" ht="15.75" hidden="false" customHeight="true" outlineLevel="0" collapsed="false">
      <c r="A102" s="58" t="s">
        <v>421</v>
      </c>
      <c r="B102" s="63" t="s">
        <v>415</v>
      </c>
      <c r="C102" s="64" t="s">
        <v>416</v>
      </c>
      <c r="D102" s="59" t="s">
        <v>422</v>
      </c>
      <c r="E102" s="60" t="s">
        <v>423</v>
      </c>
      <c r="F102" s="61" t="s">
        <v>420</v>
      </c>
      <c r="G102" s="62" t="n">
        <v>1</v>
      </c>
      <c r="H102" s="62" t="n">
        <v>50</v>
      </c>
    </row>
    <row r="103" customFormat="false" ht="15.75" hidden="false" customHeight="true" outlineLevel="0" collapsed="false">
      <c r="A103" s="58" t="s">
        <v>424</v>
      </c>
      <c r="B103" s="63" t="s">
        <v>415</v>
      </c>
      <c r="C103" s="64" t="s">
        <v>416</v>
      </c>
      <c r="D103" s="59" t="s">
        <v>425</v>
      </c>
      <c r="E103" s="60" t="s">
        <v>426</v>
      </c>
      <c r="F103" s="61" t="s">
        <v>420</v>
      </c>
      <c r="G103" s="62" t="n">
        <v>1</v>
      </c>
      <c r="H103" s="62" t="n">
        <v>50</v>
      </c>
    </row>
    <row r="104" customFormat="false" ht="15.75" hidden="false" customHeight="true" outlineLevel="0" collapsed="false">
      <c r="A104" s="58" t="s">
        <v>430</v>
      </c>
      <c r="B104" s="63" t="s">
        <v>428</v>
      </c>
      <c r="C104" s="64" t="s">
        <v>429</v>
      </c>
      <c r="D104" s="59" t="s">
        <v>431</v>
      </c>
      <c r="E104" s="60" t="s">
        <v>432</v>
      </c>
      <c r="F104" s="61" t="s">
        <v>90</v>
      </c>
      <c r="G104" s="62" t="n">
        <v>1</v>
      </c>
      <c r="H104" s="62" t="n">
        <v>1000</v>
      </c>
    </row>
    <row r="105" customFormat="false" ht="15.75" hidden="false" customHeight="true" outlineLevel="0" collapsed="false">
      <c r="A105" s="58" t="s">
        <v>433</v>
      </c>
      <c r="B105" s="63" t="s">
        <v>428</v>
      </c>
      <c r="C105" s="64" t="s">
        <v>429</v>
      </c>
      <c r="D105" s="59" t="s">
        <v>434</v>
      </c>
      <c r="E105" s="60" t="s">
        <v>435</v>
      </c>
      <c r="F105" s="61" t="s">
        <v>90</v>
      </c>
      <c r="G105" s="62" t="n">
        <v>1</v>
      </c>
      <c r="H105" s="62" t="n">
        <v>500</v>
      </c>
    </row>
    <row r="106" customFormat="false" ht="15.75" hidden="false" customHeight="true" outlineLevel="0" collapsed="false">
      <c r="A106" s="58" t="s">
        <v>436</v>
      </c>
      <c r="B106" s="63" t="s">
        <v>428</v>
      </c>
      <c r="C106" s="64" t="s">
        <v>429</v>
      </c>
      <c r="D106" s="59" t="s">
        <v>437</v>
      </c>
      <c r="E106" s="60" t="s">
        <v>438</v>
      </c>
      <c r="F106" s="61" t="s">
        <v>90</v>
      </c>
      <c r="G106" s="62" t="n">
        <v>1</v>
      </c>
      <c r="H106" s="62" t="n">
        <v>1000</v>
      </c>
    </row>
    <row r="107" customFormat="false" ht="15.75" hidden="false" customHeight="true" outlineLevel="0" collapsed="false">
      <c r="A107" s="58" t="s">
        <v>439</v>
      </c>
      <c r="B107" s="63" t="s">
        <v>428</v>
      </c>
      <c r="C107" s="64" t="s">
        <v>429</v>
      </c>
      <c r="D107" s="59" t="s">
        <v>440</v>
      </c>
      <c r="E107" s="60" t="s">
        <v>441</v>
      </c>
      <c r="F107" s="61" t="s">
        <v>90</v>
      </c>
      <c r="G107" s="62" t="n">
        <v>1</v>
      </c>
      <c r="H107" s="62" t="n">
        <v>500</v>
      </c>
    </row>
    <row r="108" customFormat="false" ht="15.75" hidden="false" customHeight="true" outlineLevel="0" collapsed="false">
      <c r="A108" s="58" t="s">
        <v>442</v>
      </c>
      <c r="B108" s="63" t="s">
        <v>428</v>
      </c>
      <c r="C108" s="64" t="s">
        <v>429</v>
      </c>
      <c r="D108" s="59" t="s">
        <v>443</v>
      </c>
      <c r="E108" s="60" t="s">
        <v>444</v>
      </c>
      <c r="F108" s="61" t="s">
        <v>90</v>
      </c>
      <c r="G108" s="62" t="n">
        <v>1</v>
      </c>
      <c r="H108" s="62" t="n">
        <v>500</v>
      </c>
    </row>
    <row r="109" customFormat="false" ht="15.75" hidden="false" customHeight="true" outlineLevel="0" collapsed="false">
      <c r="A109" s="58" t="s">
        <v>445</v>
      </c>
      <c r="B109" s="63" t="s">
        <v>428</v>
      </c>
      <c r="C109" s="64" t="s">
        <v>429</v>
      </c>
      <c r="D109" s="59" t="s">
        <v>446</v>
      </c>
      <c r="E109" s="60" t="s">
        <v>447</v>
      </c>
      <c r="F109" s="61" t="s">
        <v>90</v>
      </c>
      <c r="G109" s="62" t="n">
        <v>1</v>
      </c>
      <c r="H109" s="62" t="n">
        <v>300</v>
      </c>
    </row>
    <row r="110" customFormat="false" ht="15.75" hidden="false" customHeight="true" outlineLevel="0" collapsed="false">
      <c r="A110" s="58" t="s">
        <v>448</v>
      </c>
      <c r="B110" s="63" t="s">
        <v>428</v>
      </c>
      <c r="C110" s="64" t="s">
        <v>429</v>
      </c>
      <c r="D110" s="59" t="s">
        <v>449</v>
      </c>
      <c r="E110" s="60" t="s">
        <v>450</v>
      </c>
      <c r="F110" s="61" t="s">
        <v>90</v>
      </c>
      <c r="G110" s="62" t="n">
        <v>1</v>
      </c>
      <c r="H110" s="62" t="n">
        <v>2000</v>
      </c>
    </row>
    <row r="111" customFormat="false" ht="15.75" hidden="false" customHeight="true" outlineLevel="0" collapsed="false">
      <c r="A111" s="58" t="s">
        <v>451</v>
      </c>
      <c r="B111" s="63" t="s">
        <v>428</v>
      </c>
      <c r="C111" s="64" t="s">
        <v>429</v>
      </c>
      <c r="D111" s="59" t="s">
        <v>452</v>
      </c>
      <c r="E111" s="60" t="s">
        <v>453</v>
      </c>
      <c r="F111" s="61" t="s">
        <v>90</v>
      </c>
      <c r="G111" s="62" t="n">
        <v>1</v>
      </c>
      <c r="H111" s="62" t="n">
        <v>1000</v>
      </c>
    </row>
    <row r="112" customFormat="false" ht="15.75" hidden="false" customHeight="true" outlineLevel="0" collapsed="false">
      <c r="A112" s="58" t="s">
        <v>454</v>
      </c>
      <c r="B112" s="63" t="s">
        <v>428</v>
      </c>
      <c r="C112" s="64" t="s">
        <v>429</v>
      </c>
      <c r="D112" s="59" t="s">
        <v>455</v>
      </c>
      <c r="E112" s="60" t="s">
        <v>456</v>
      </c>
      <c r="F112" s="61" t="s">
        <v>90</v>
      </c>
      <c r="G112" s="62" t="n">
        <v>1</v>
      </c>
      <c r="H112" s="62" t="n">
        <v>1000</v>
      </c>
    </row>
    <row r="113" customFormat="false" ht="15.75" hidden="false" customHeight="true" outlineLevel="0" collapsed="false">
      <c r="A113" s="58" t="s">
        <v>457</v>
      </c>
      <c r="B113" s="63" t="s">
        <v>428</v>
      </c>
      <c r="C113" s="64" t="s">
        <v>429</v>
      </c>
      <c r="D113" s="59" t="s">
        <v>458</v>
      </c>
      <c r="E113" s="60" t="s">
        <v>459</v>
      </c>
      <c r="F113" s="61" t="s">
        <v>90</v>
      </c>
      <c r="G113" s="62" t="n">
        <v>1</v>
      </c>
      <c r="H113" s="62" t="n">
        <v>1000</v>
      </c>
    </row>
    <row r="114" customFormat="false" ht="15.75" hidden="false" customHeight="true" outlineLevel="0" collapsed="false">
      <c r="A114" s="58" t="s">
        <v>460</v>
      </c>
      <c r="B114" s="63" t="s">
        <v>428</v>
      </c>
      <c r="C114" s="64" t="s">
        <v>429</v>
      </c>
      <c r="D114" s="59" t="s">
        <v>461</v>
      </c>
      <c r="E114" s="60" t="s">
        <v>462</v>
      </c>
      <c r="F114" s="61" t="s">
        <v>90</v>
      </c>
      <c r="G114" s="62" t="n">
        <v>1</v>
      </c>
      <c r="H114" s="62" t="n">
        <v>500</v>
      </c>
      <c r="L114" s="65"/>
    </row>
    <row r="115" customFormat="false" ht="15.75" hidden="false" customHeight="true" outlineLevel="0" collapsed="false">
      <c r="A115" s="58" t="s">
        <v>463</v>
      </c>
      <c r="B115" s="63" t="s">
        <v>428</v>
      </c>
      <c r="C115" s="64" t="s">
        <v>429</v>
      </c>
      <c r="D115" s="59" t="s">
        <v>464</v>
      </c>
      <c r="E115" s="60" t="s">
        <v>465</v>
      </c>
      <c r="F115" s="61" t="s">
        <v>90</v>
      </c>
      <c r="G115" s="62" t="n">
        <v>1</v>
      </c>
      <c r="H115" s="62" t="n">
        <v>500</v>
      </c>
    </row>
    <row r="116" customFormat="false" ht="15.75" hidden="false" customHeight="true" outlineLevel="0" collapsed="false">
      <c r="A116" s="58" t="s">
        <v>466</v>
      </c>
      <c r="B116" s="63" t="s">
        <v>428</v>
      </c>
      <c r="C116" s="64" t="s">
        <v>429</v>
      </c>
      <c r="D116" s="59" t="s">
        <v>467</v>
      </c>
      <c r="E116" s="60" t="s">
        <v>468</v>
      </c>
      <c r="F116" s="61" t="s">
        <v>90</v>
      </c>
      <c r="G116" s="62" t="n">
        <v>1</v>
      </c>
      <c r="H116" s="62" t="n">
        <v>500</v>
      </c>
    </row>
    <row r="117" customFormat="false" ht="15.75" hidden="false" customHeight="true" outlineLevel="0" collapsed="false">
      <c r="A117" s="58" t="s">
        <v>469</v>
      </c>
      <c r="B117" s="63" t="s">
        <v>428</v>
      </c>
      <c r="C117" s="64" t="s">
        <v>429</v>
      </c>
      <c r="D117" s="59" t="s">
        <v>470</v>
      </c>
      <c r="E117" s="60" t="s">
        <v>471</v>
      </c>
      <c r="F117" s="61" t="s">
        <v>90</v>
      </c>
      <c r="G117" s="62" t="n">
        <v>1</v>
      </c>
      <c r="H117" s="62" t="n">
        <v>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P20" activeCellId="0" sqref="P20"/>
    </sheetView>
  </sheetViews>
  <sheetFormatPr defaultColWidth="8.890625" defaultRowHeight="14.25" zeroHeight="false" outlineLevelRow="0" outlineLevelCol="0"/>
  <cols>
    <col collapsed="false" customWidth="true" hidden="false" outlineLevel="0" max="1" min="1" style="33" width="12.78"/>
    <col collapsed="false" customWidth="true" hidden="false" outlineLevel="0" max="2" min="2" style="66" width="13.56"/>
    <col collapsed="false" customWidth="true" hidden="false" outlineLevel="0" max="3" min="3" style="67" width="10.34"/>
    <col collapsed="false" customWidth="true" hidden="false" outlineLevel="0" max="4" min="4" style="67" width="18.11"/>
    <col collapsed="false" customWidth="true" hidden="false" outlineLevel="0" max="5" min="5" style="33" width="12.33"/>
    <col collapsed="false" customWidth="true" hidden="false" outlineLevel="0" max="6" min="6" style="33" width="19.78"/>
    <col collapsed="false" customWidth="true" hidden="false" outlineLevel="0" max="7" min="7" style="33" width="14.44"/>
    <col collapsed="false" customWidth="true" hidden="false" outlineLevel="0" max="8" min="8" style="68" width="33.11"/>
    <col collapsed="false" customWidth="true" hidden="false" outlineLevel="0" max="9" min="9" style="69" width="33.11"/>
    <col collapsed="false" customWidth="true" hidden="false" outlineLevel="0" max="10" min="10" style="68" width="42.89"/>
    <col collapsed="false" customWidth="true" hidden="false" outlineLevel="0" max="11" min="11" style="33" width="10.67"/>
    <col collapsed="false" customWidth="true" hidden="false" outlineLevel="0" max="12" min="12" style="33" width="9.66"/>
    <col collapsed="false" customWidth="true" hidden="false" outlineLevel="0" max="13" min="13" style="33" width="14.8"/>
    <col collapsed="false" customWidth="true" hidden="true" outlineLevel="0" max="14" min="14" style="33" width="9.22"/>
    <col collapsed="false" customWidth="true" hidden="false" outlineLevel="0" max="15" min="15" style="33" width="13.08"/>
    <col collapsed="false" customWidth="true" hidden="false" outlineLevel="0" max="16" min="16" style="33" width="9.22"/>
    <col collapsed="false" customWidth="true" hidden="false" outlineLevel="0" max="17" min="17" style="33" width="28.45"/>
    <col collapsed="false" customWidth="true" hidden="false" outlineLevel="0" max="18" min="18" style="33" width="10.44"/>
    <col collapsed="false" customWidth="true" hidden="false" outlineLevel="0" max="19" min="19" style="33" width="14.67"/>
    <col collapsed="false" customWidth="false" hidden="false" outlineLevel="0" max="16384" min="20" style="33" width="8.89"/>
  </cols>
  <sheetData>
    <row r="1" s="76" customFormat="true" ht="31.5" hidden="false" customHeight="true" outlineLevel="0" collapsed="false">
      <c r="A1" s="70" t="s">
        <v>483</v>
      </c>
      <c r="B1" s="70" t="s">
        <v>484</v>
      </c>
      <c r="C1" s="71" t="s">
        <v>0</v>
      </c>
      <c r="D1" s="71" t="s">
        <v>3</v>
      </c>
      <c r="E1" s="71" t="s">
        <v>1</v>
      </c>
      <c r="F1" s="71" t="s">
        <v>4</v>
      </c>
      <c r="G1" s="72" t="s">
        <v>472</v>
      </c>
      <c r="H1" s="71" t="s">
        <v>475</v>
      </c>
      <c r="I1" s="73" t="s">
        <v>476</v>
      </c>
      <c r="J1" s="71" t="s">
        <v>485</v>
      </c>
      <c r="K1" s="71" t="s">
        <v>420</v>
      </c>
      <c r="L1" s="71" t="s">
        <v>478</v>
      </c>
      <c r="M1" s="71" t="s">
        <v>486</v>
      </c>
      <c r="N1" s="74" t="s">
        <v>487</v>
      </c>
      <c r="O1" s="71" t="s">
        <v>488</v>
      </c>
      <c r="P1" s="71" t="s">
        <v>489</v>
      </c>
      <c r="Q1" s="75" t="s">
        <v>490</v>
      </c>
    </row>
    <row r="2" customFormat="false" ht="16.85" hidden="false" customHeight="false" outlineLevel="0" collapsed="false">
      <c r="A2" s="77" t="n">
        <v>46000</v>
      </c>
      <c r="B2" s="78" t="s">
        <v>491</v>
      </c>
      <c r="C2" s="79" t="n">
        <v>35</v>
      </c>
      <c r="D2" s="80" t="str">
        <f aca="false">_xlfn.IFNA(VLOOKUP(C2,'بيانات الآليات '!A:G,4,FALSE()),"")</f>
        <v>ضاغطة نفايات</v>
      </c>
      <c r="E2" s="81" t="n">
        <f aca="false">_xlfn.IFNA(VLOOKUP(C2,'بيانات الآليات '!A:G,2,FALSE()),"")</f>
        <v>3114655</v>
      </c>
      <c r="F2" s="81" t="str">
        <f aca="false">_xlfn.IFNA(VLOOKUP(C2,'بيانات الآليات '!A:G,5,FALSE()),"")</f>
        <v>Volvo-FM64R, 2016</v>
      </c>
      <c r="G2" s="82" t="s">
        <v>397</v>
      </c>
      <c r="H2" s="83" t="str">
        <f aca="false">_xlfn.IFNA(VLOOKUP(G2,Table14543[],2,FALSE()),"")</f>
        <v>زيت هيدروليك</v>
      </c>
      <c r="I2" s="84" t="str">
        <f aca="false">_xlfn.IFNA(VLOOKUP(G2,Table14543[],3,FALSE()),"")</f>
        <v>ISO 68</v>
      </c>
      <c r="J2" s="83" t="str">
        <f aca="false">CONCATENATE("",G2,""," ",H2," ",I2)</f>
        <v>9.2 زيت هيدروليك ISO 68</v>
      </c>
      <c r="K2" s="85" t="s">
        <v>492</v>
      </c>
      <c r="L2" s="86" t="n">
        <v>100</v>
      </c>
      <c r="M2" s="86" t="n">
        <v>15</v>
      </c>
      <c r="N2" s="86" t="n">
        <f aca="false">L2*M2</f>
        <v>1500</v>
      </c>
      <c r="O2" s="81" t="n">
        <v>500</v>
      </c>
      <c r="P2" s="87" t="n">
        <f aca="false">(M2*L2)+O2</f>
        <v>2000</v>
      </c>
      <c r="Q2" s="88"/>
      <c r="R2" s="89"/>
      <c r="S2" s="90"/>
    </row>
    <row r="3" customFormat="false" ht="16.85" hidden="false" customHeight="false" outlineLevel="0" collapsed="false">
      <c r="A3" s="77" t="n">
        <v>46000</v>
      </c>
      <c r="B3" s="78" t="s">
        <v>491</v>
      </c>
      <c r="C3" s="79" t="n">
        <v>35</v>
      </c>
      <c r="D3" s="80" t="str">
        <f aca="false">_xlfn.IFNA(VLOOKUP(C3,'بيانات الآليات '!A:G,4,FALSE()),"")</f>
        <v>ضاغطة نفايات</v>
      </c>
      <c r="E3" s="81" t="n">
        <f aca="false">_xlfn.IFNA(VLOOKUP(C3,'بيانات الآليات '!A:G,2,FALSE()),"")</f>
        <v>3114655</v>
      </c>
      <c r="F3" s="81" t="str">
        <f aca="false">_xlfn.IFNA(VLOOKUP(C3,'بيانات الآليات '!A:G,5,FALSE()),"")</f>
        <v>Volvo-FM64R, 2016</v>
      </c>
      <c r="G3" s="82" t="s">
        <v>264</v>
      </c>
      <c r="H3" s="83" t="str">
        <f aca="false">_xlfn.IFNA(VLOOKUP(G3,Table14543[],2,FALSE()),"")</f>
        <v>استبدال أنظمة الإضاءة</v>
      </c>
      <c r="I3" s="84" t="str">
        <f aca="false">_xlfn.IFNA(VLOOKUP(G3,Table14543[],3,FALSE()),"")</f>
        <v>replacement of lighting systems</v>
      </c>
      <c r="J3" s="83" t="str">
        <f aca="false">CONCATENATE("",G3,""," ",H3," ",I3)</f>
        <v>6.7 استبدال أنظمة الإضاءة replacement of lighting systems</v>
      </c>
      <c r="K3" s="85" t="s">
        <v>493</v>
      </c>
      <c r="L3" s="86" t="n">
        <v>1</v>
      </c>
      <c r="M3" s="86"/>
      <c r="N3" s="86" t="n">
        <f aca="false">L3*M3</f>
        <v>0</v>
      </c>
      <c r="O3" s="86" t="n">
        <v>300</v>
      </c>
      <c r="P3" s="87" t="n">
        <f aca="false">(M3*L3)+O3</f>
        <v>300</v>
      </c>
      <c r="Q3" s="91"/>
    </row>
    <row r="4" customFormat="false" ht="16.85" hidden="false" customHeight="false" outlineLevel="0" collapsed="false">
      <c r="A4" s="77" t="n">
        <v>46000</v>
      </c>
      <c r="B4" s="78" t="s">
        <v>491</v>
      </c>
      <c r="C4" s="79" t="n">
        <v>35</v>
      </c>
      <c r="D4" s="80" t="str">
        <f aca="false">_xlfn.IFNA(VLOOKUP(C4,'بيانات الآليات '!A:G,4,FALSE()),"")</f>
        <v>ضاغطة نفايات</v>
      </c>
      <c r="E4" s="81" t="n">
        <f aca="false">_xlfn.IFNA(VLOOKUP(C4,'بيانات الآليات '!A:G,2,FALSE()),"")</f>
        <v>3114655</v>
      </c>
      <c r="F4" s="81" t="str">
        <f aca="false">_xlfn.IFNA(VLOOKUP(C4,'بيانات الآليات '!A:G,5,FALSE()),"")</f>
        <v>Volvo-FM64R, 2016</v>
      </c>
      <c r="G4" s="82" t="s">
        <v>270</v>
      </c>
      <c r="H4" s="83" t="str">
        <f aca="false">_xlfn.IFNA(VLOOKUP(G4,Table14543[],2,FALSE()),"")</f>
        <v>اصلاح لوحة كهربائية</v>
      </c>
      <c r="I4" s="84" t="str">
        <f aca="false">_xlfn.IFNA(VLOOKUP(G4,Table14543[],3,FALSE()),"")</f>
        <v>control modules repair</v>
      </c>
      <c r="J4" s="83" t="str">
        <f aca="false">CONCATENATE("",G4,""," ",H4," ",I4)</f>
        <v>6.9 اصلاح لوحة كهربائية control modules repair</v>
      </c>
      <c r="K4" s="85" t="s">
        <v>493</v>
      </c>
      <c r="L4" s="86" t="n">
        <v>1</v>
      </c>
      <c r="M4" s="86"/>
      <c r="N4" s="86" t="n">
        <f aca="false">L4*M4</f>
        <v>0</v>
      </c>
      <c r="O4" s="86" t="n">
        <v>100</v>
      </c>
      <c r="P4" s="87" t="n">
        <f aca="false">(M4*L4)+O4</f>
        <v>100</v>
      </c>
      <c r="Q4" s="91"/>
    </row>
    <row r="5" customFormat="false" ht="16.85" hidden="false" customHeight="false" outlineLevel="0" collapsed="false">
      <c r="A5" s="77" t="n">
        <v>46000</v>
      </c>
      <c r="B5" s="78" t="s">
        <v>491</v>
      </c>
      <c r="C5" s="79" t="n">
        <v>35</v>
      </c>
      <c r="D5" s="80" t="str">
        <f aca="false">_xlfn.IFNA(VLOOKUP(C5,'بيانات الآليات '!A:G,4,FALSE()),"")</f>
        <v>ضاغطة نفايات</v>
      </c>
      <c r="E5" s="81" t="n">
        <f aca="false">_xlfn.IFNA(VLOOKUP(C5,'بيانات الآليات '!A:G,2,FALSE()),"")</f>
        <v>3114655</v>
      </c>
      <c r="F5" s="81" t="str">
        <f aca="false">_xlfn.IFNA(VLOOKUP(C5,'بيانات الآليات '!A:G,5,FALSE()),"")</f>
        <v>Volvo-FM64R, 2016</v>
      </c>
      <c r="G5" s="82" t="s">
        <v>393</v>
      </c>
      <c r="H5" s="83" t="str">
        <f aca="false">_xlfn.IFNA(VLOOKUP(G5,Table14543[],2,FALSE()),"")</f>
        <v>زيت محرك بكر</v>
      </c>
      <c r="I5" s="84" t="str">
        <f aca="false">_xlfn.IFNA(VLOOKUP(G5,Table14543[],3,FALSE()),"")</f>
        <v>SAE 15W 40 API-Ci4-85102464</v>
      </c>
      <c r="J5" s="83" t="str">
        <f aca="false">CONCATENATE("",G5,""," ",H5," ",I5)</f>
        <v>9.1 زيت محرك بكر SAE 15W 40 API-Ci4-85102464</v>
      </c>
      <c r="K5" s="85" t="s">
        <v>492</v>
      </c>
      <c r="L5" s="86" t="n">
        <v>30</v>
      </c>
      <c r="M5" s="86" t="n">
        <v>15</v>
      </c>
      <c r="N5" s="86" t="e">
        <f aca="false">#REF!*M5</f>
        <v>#REF!</v>
      </c>
      <c r="O5" s="86" t="n">
        <v>150</v>
      </c>
      <c r="P5" s="87" t="n">
        <f aca="false">(M5*L5)+O5</f>
        <v>600</v>
      </c>
      <c r="Q5" s="91"/>
    </row>
    <row r="6" customFormat="false" ht="16.85" hidden="false" customHeight="false" outlineLevel="0" collapsed="false">
      <c r="A6" s="77" t="n">
        <v>46000</v>
      </c>
      <c r="B6" s="78" t="s">
        <v>491</v>
      </c>
      <c r="C6" s="79" t="n">
        <v>35</v>
      </c>
      <c r="D6" s="80" t="str">
        <f aca="false">_xlfn.IFNA(VLOOKUP(C6,'بيانات الآليات '!A:G,4,FALSE()),"")</f>
        <v>ضاغطة نفايات</v>
      </c>
      <c r="E6" s="81" t="n">
        <f aca="false">_xlfn.IFNA(VLOOKUP(C6,'بيانات الآليات '!A:G,2,FALSE()),"")</f>
        <v>3114655</v>
      </c>
      <c r="F6" s="81" t="str">
        <f aca="false">_xlfn.IFNA(VLOOKUP(C6,'بيانات الآليات '!A:G,5,FALSE()),"")</f>
        <v>Volvo-FM64R, 2016</v>
      </c>
      <c r="G6" s="82" t="s">
        <v>107</v>
      </c>
      <c r="H6" s="83" t="str">
        <f aca="false">_xlfn.IFNA(VLOOKUP(G6,Table14543[],2,FALSE()),"")</f>
        <v>فلتر ميابيش</v>
      </c>
      <c r="I6" s="84" t="str">
        <f aca="false">_xlfn.IFNA(VLOOKUP(G6,Table14543[],3,FALSE()),"")</f>
        <v>Air Dryer Filter</v>
      </c>
      <c r="J6" s="83" t="str">
        <f aca="false">CONCATENATE("",G6,""," ",H6," ",I6)</f>
        <v>1.7 فلتر ميابيش Air Dryer Filter</v>
      </c>
      <c r="K6" s="85" t="s">
        <v>493</v>
      </c>
      <c r="L6" s="86" t="n">
        <v>1</v>
      </c>
      <c r="M6" s="86" t="n">
        <v>400</v>
      </c>
      <c r="N6" s="86" t="n">
        <f aca="false">L6*M6</f>
        <v>400</v>
      </c>
      <c r="O6" s="86" t="n">
        <v>20</v>
      </c>
      <c r="P6" s="87" t="n">
        <f aca="false">(M6*L6)+O6</f>
        <v>420</v>
      </c>
      <c r="Q6" s="91"/>
    </row>
    <row r="7" customFormat="false" ht="16.85" hidden="false" customHeight="false" outlineLevel="0" collapsed="false">
      <c r="A7" s="77" t="n">
        <v>46000</v>
      </c>
      <c r="B7" s="78" t="s">
        <v>491</v>
      </c>
      <c r="C7" s="79" t="n">
        <v>35</v>
      </c>
      <c r="D7" s="80" t="str">
        <f aca="false">_xlfn.IFNA(VLOOKUP(C7,'بيانات الآليات '!A:G,4,FALSE()),"")</f>
        <v>ضاغطة نفايات</v>
      </c>
      <c r="E7" s="81" t="n">
        <f aca="false">_xlfn.IFNA(VLOOKUP(C7,'بيانات الآليات '!A:G,2,FALSE()),"")</f>
        <v>3114655</v>
      </c>
      <c r="F7" s="81" t="str">
        <f aca="false">_xlfn.IFNA(VLOOKUP(C7,'بيانات الآليات '!A:G,5,FALSE()),"")</f>
        <v>Volvo-FM64R, 2016</v>
      </c>
      <c r="G7" s="82" t="s">
        <v>110</v>
      </c>
      <c r="H7" s="83" t="str">
        <f aca="false">_xlfn.IFNA(VLOOKUP(G7,Table14543[],2,FALSE()),"")</f>
        <v>فلتر هواء</v>
      </c>
      <c r="I7" s="84" t="str">
        <f aca="false">_xlfn.IFNA(VLOOKUP(G7,Table14543[],3,FALSE()),"")</f>
        <v>AIR Filter</v>
      </c>
      <c r="J7" s="83" t="str">
        <f aca="false">CONCATENATE("",G7,""," ",H7," ",I7)</f>
        <v>1.8 فلتر هواء AIR Filter</v>
      </c>
      <c r="K7" s="85" t="s">
        <v>493</v>
      </c>
      <c r="L7" s="86" t="n">
        <v>1</v>
      </c>
      <c r="M7" s="86" t="n">
        <v>600</v>
      </c>
      <c r="N7" s="86" t="n">
        <f aca="false">L7*M7</f>
        <v>600</v>
      </c>
      <c r="O7" s="86" t="n">
        <v>20</v>
      </c>
      <c r="P7" s="87" t="n">
        <f aca="false">(M7*L7)+O7</f>
        <v>620</v>
      </c>
      <c r="Q7" s="91"/>
    </row>
    <row r="8" customFormat="false" ht="16.85" hidden="false" customHeight="false" outlineLevel="0" collapsed="false">
      <c r="A8" s="77" t="n">
        <v>46000</v>
      </c>
      <c r="B8" s="78" t="s">
        <v>491</v>
      </c>
      <c r="C8" s="79" t="n">
        <v>56</v>
      </c>
      <c r="D8" s="80" t="str">
        <f aca="false">_xlfn.IFNA(VLOOKUP(C8,'بيانات الآليات '!A:G,4,FALSE()),"")</f>
        <v>ضاغطة نفايات</v>
      </c>
      <c r="E8" s="81" t="n">
        <f aca="false">_xlfn.IFNA(VLOOKUP(C8,'بيانات الآليات '!A:G,2,FALSE()),"")</f>
        <v>3129055</v>
      </c>
      <c r="F8" s="81" t="str">
        <f aca="false">_xlfn.IFNA(VLOOKUP(C8,'بيانات الآليات '!A:G,5,FALSE()),"")</f>
        <v>Iveco ML180E28, 2022</v>
      </c>
      <c r="G8" s="82" t="s">
        <v>397</v>
      </c>
      <c r="H8" s="83" t="str">
        <f aca="false">_xlfn.IFNA(VLOOKUP(G8,Table14543[],2,FALSE()),"")</f>
        <v>زيت هيدروليك</v>
      </c>
      <c r="I8" s="84" t="str">
        <f aca="false">_xlfn.IFNA(VLOOKUP(G8,Table14543[],3,FALSE()),"")</f>
        <v>ISO 68</v>
      </c>
      <c r="J8" s="83" t="str">
        <f aca="false">CONCATENATE("",G8,""," ",H8," ",I8)</f>
        <v>9.2 زيت هيدروليك ISO 68</v>
      </c>
      <c r="K8" s="85" t="s">
        <v>492</v>
      </c>
      <c r="L8" s="86" t="n">
        <v>80</v>
      </c>
      <c r="M8" s="86" t="n">
        <v>15</v>
      </c>
      <c r="N8" s="86" t="n">
        <f aca="false">L8*M8</f>
        <v>1200</v>
      </c>
      <c r="O8" s="86" t="n">
        <v>400</v>
      </c>
      <c r="P8" s="87" t="n">
        <f aca="false">(M8*L8)+O8</f>
        <v>1600</v>
      </c>
      <c r="Q8" s="91"/>
    </row>
    <row r="9" customFormat="false" ht="16.85" hidden="false" customHeight="false" outlineLevel="0" collapsed="false">
      <c r="A9" s="77" t="n">
        <v>46000</v>
      </c>
      <c r="B9" s="78" t="s">
        <v>491</v>
      </c>
      <c r="C9" s="79" t="n">
        <v>56</v>
      </c>
      <c r="D9" s="80" t="str">
        <f aca="false">_xlfn.IFNA(VLOOKUP(C9,'بيانات الآليات '!A:G,4,FALSE()),"")</f>
        <v>ضاغطة نفايات</v>
      </c>
      <c r="E9" s="81" t="n">
        <f aca="false">_xlfn.IFNA(VLOOKUP(C9,'بيانات الآليات '!A:G,2,FALSE()),"")</f>
        <v>3129055</v>
      </c>
      <c r="F9" s="81" t="str">
        <f aca="false">_xlfn.IFNA(VLOOKUP(C9,'بيانات الآليات '!A:G,5,FALSE()),"")</f>
        <v>Iveco ML180E28, 2022</v>
      </c>
      <c r="G9" s="82" t="s">
        <v>264</v>
      </c>
      <c r="H9" s="83" t="str">
        <f aca="false">_xlfn.IFNA(VLOOKUP(G9,Table14543[],2,FALSE()),"")</f>
        <v>استبدال أنظمة الإضاءة</v>
      </c>
      <c r="I9" s="84" t="str">
        <f aca="false">_xlfn.IFNA(VLOOKUP(G9,Table14543[],3,FALSE()),"")</f>
        <v>replacement of lighting systems</v>
      </c>
      <c r="J9" s="83" t="str">
        <f aca="false">CONCATENATE("",G9,""," ",H9," ",I9)</f>
        <v>6.7 استبدال أنظمة الإضاءة replacement of lighting systems</v>
      </c>
      <c r="K9" s="85" t="s">
        <v>493</v>
      </c>
      <c r="L9" s="86" t="n">
        <v>1</v>
      </c>
      <c r="M9" s="86"/>
      <c r="N9" s="86" t="n">
        <f aca="false">L9*M9</f>
        <v>0</v>
      </c>
      <c r="O9" s="86" t="n">
        <v>300</v>
      </c>
      <c r="P9" s="87" t="n">
        <f aca="false">(M9*L9)+O9</f>
        <v>300</v>
      </c>
      <c r="Q9" s="91"/>
    </row>
    <row r="10" customFormat="false" ht="16.85" hidden="false" customHeight="false" outlineLevel="0" collapsed="false">
      <c r="A10" s="77" t="n">
        <v>46000</v>
      </c>
      <c r="B10" s="78" t="s">
        <v>491</v>
      </c>
      <c r="C10" s="79" t="n">
        <v>56</v>
      </c>
      <c r="D10" s="80" t="str">
        <f aca="false">_xlfn.IFNA(VLOOKUP(C10,'بيانات الآليات '!A:G,4,FALSE()),"")</f>
        <v>ضاغطة نفايات</v>
      </c>
      <c r="E10" s="81" t="n">
        <f aca="false">_xlfn.IFNA(VLOOKUP(C10,'بيانات الآليات '!A:G,2,FALSE()),"")</f>
        <v>3129055</v>
      </c>
      <c r="F10" s="81" t="str">
        <f aca="false">_xlfn.IFNA(VLOOKUP(C10,'بيانات الآليات '!A:G,5,FALSE()),"")</f>
        <v>Iveco ML180E28, 2022</v>
      </c>
      <c r="G10" s="82" t="s">
        <v>454</v>
      </c>
      <c r="H10" s="83" t="str">
        <f aca="false">_xlfn.IFNA(VLOOKUP(G10,Table14543[],2,FALSE()),"")</f>
        <v>إعادة لحام دعامات الأبواب الخلفية أو الجانبية</v>
      </c>
      <c r="I10" s="84" t="str">
        <f aca="false">_xlfn.IFNA(VLOOKUP(G10,Table14543[],3,FALSE()),"")</f>
        <v>Re-welding tailgate or side door supports</v>
      </c>
      <c r="J10" s="83" t="str">
        <f aca="false">CONCATENATE("",G10,""," ",H10," ",I10)</f>
        <v>11.9 إعادة لحام دعامات الأبواب الخلفية أو الجانبية Re-welding tailgate or side door supports</v>
      </c>
      <c r="K10" s="85" t="s">
        <v>493</v>
      </c>
      <c r="L10" s="86" t="n">
        <v>1</v>
      </c>
      <c r="M10" s="86"/>
      <c r="N10" s="86" t="n">
        <f aca="false">L10*M10</f>
        <v>0</v>
      </c>
      <c r="O10" s="86" t="n">
        <v>100</v>
      </c>
      <c r="P10" s="87" t="n">
        <f aca="false">(M10*L10)+O10</f>
        <v>100</v>
      </c>
      <c r="Q10" s="91"/>
    </row>
    <row r="11" customFormat="false" ht="16.85" hidden="false" customHeight="false" outlineLevel="0" collapsed="false">
      <c r="A11" s="77" t="n">
        <v>46000</v>
      </c>
      <c r="B11" s="78" t="s">
        <v>491</v>
      </c>
      <c r="C11" s="79" t="n">
        <v>56</v>
      </c>
      <c r="D11" s="80" t="str">
        <f aca="false">_xlfn.IFNA(VLOOKUP(C11,'بيانات الآليات '!A:G,4,FALSE()),"")</f>
        <v>ضاغطة نفايات</v>
      </c>
      <c r="E11" s="81" t="n">
        <f aca="false">_xlfn.IFNA(VLOOKUP(C11,'بيانات الآليات '!A:G,2,FALSE()),"")</f>
        <v>3129055</v>
      </c>
      <c r="F11" s="81" t="str">
        <f aca="false">_xlfn.IFNA(VLOOKUP(C11,'بيانات الآليات '!A:G,5,FALSE()),"")</f>
        <v>Iveco ML180E28, 2022</v>
      </c>
      <c r="G11" s="82" t="s">
        <v>393</v>
      </c>
      <c r="H11" s="83" t="str">
        <f aca="false">_xlfn.IFNA(VLOOKUP(G11,Table14543[],2,FALSE()),"")</f>
        <v>زيت محرك بكر</v>
      </c>
      <c r="I11" s="84" t="str">
        <f aca="false">_xlfn.IFNA(VLOOKUP(G11,Table14543[],3,FALSE()),"")</f>
        <v>SAE 15W 40 API-Ci4-85102464</v>
      </c>
      <c r="J11" s="83" t="str">
        <f aca="false">CONCATENATE("",G11,""," ",H11," ",I11)</f>
        <v>9.1 زيت محرك بكر SAE 15W 40 API-Ci4-85102464</v>
      </c>
      <c r="K11" s="85" t="s">
        <v>492</v>
      </c>
      <c r="L11" s="86" t="n">
        <v>15</v>
      </c>
      <c r="M11" s="86" t="n">
        <v>15</v>
      </c>
      <c r="N11" s="86" t="n">
        <f aca="false">L11*M11</f>
        <v>225</v>
      </c>
      <c r="O11" s="86" t="n">
        <v>75</v>
      </c>
      <c r="P11" s="87" t="n">
        <f aca="false">(M11*L11)+O11</f>
        <v>300</v>
      </c>
      <c r="Q11" s="91"/>
    </row>
    <row r="12" customFormat="false" ht="16.85" hidden="false" customHeight="false" outlineLevel="0" collapsed="false">
      <c r="A12" s="77" t="n">
        <v>46000</v>
      </c>
      <c r="B12" s="78" t="s">
        <v>491</v>
      </c>
      <c r="C12" s="79" t="n">
        <v>56</v>
      </c>
      <c r="D12" s="80" t="str">
        <f aca="false">_xlfn.IFNA(VLOOKUP(C12,'بيانات الآليات '!A:G,4,FALSE()),"")</f>
        <v>ضاغطة نفايات</v>
      </c>
      <c r="E12" s="81" t="n">
        <f aca="false">_xlfn.IFNA(VLOOKUP(C12,'بيانات الآليات '!A:G,2,FALSE()),"")</f>
        <v>3129055</v>
      </c>
      <c r="F12" s="81" t="str">
        <f aca="false">_xlfn.IFNA(VLOOKUP(C12,'بيانات الآليات '!A:G,5,FALSE()),"")</f>
        <v>Iveco ML180E28, 2022</v>
      </c>
      <c r="G12" s="82" t="s">
        <v>110</v>
      </c>
      <c r="H12" s="83" t="str">
        <f aca="false">_xlfn.IFNA(VLOOKUP(G12,Table14543[],2,FALSE()),"")</f>
        <v>فلتر هواء</v>
      </c>
      <c r="I12" s="84" t="str">
        <f aca="false">_xlfn.IFNA(VLOOKUP(G12,Table14543[],3,FALSE()),"")</f>
        <v>AIR Filter</v>
      </c>
      <c r="J12" s="83" t="str">
        <f aca="false">CONCATENATE("",G12,""," ",H12," ",I12)</f>
        <v>1.8 فلتر هواء AIR Filter</v>
      </c>
      <c r="K12" s="85" t="s">
        <v>493</v>
      </c>
      <c r="L12" s="86" t="n">
        <v>1</v>
      </c>
      <c r="M12" s="86" t="n">
        <v>450</v>
      </c>
      <c r="N12" s="86" t="n">
        <f aca="false">L12*M12</f>
        <v>450</v>
      </c>
      <c r="O12" s="86" t="n">
        <v>20</v>
      </c>
      <c r="P12" s="87" t="n">
        <f aca="false">(M12*L12)+O12</f>
        <v>470</v>
      </c>
      <c r="Q12" s="91"/>
    </row>
    <row r="13" customFormat="false" ht="16.85" hidden="false" customHeight="false" outlineLevel="0" collapsed="false">
      <c r="A13" s="77" t="n">
        <v>46000</v>
      </c>
      <c r="B13" s="78" t="s">
        <v>491</v>
      </c>
      <c r="C13" s="79" t="n">
        <v>400</v>
      </c>
      <c r="D13" s="80" t="str">
        <f aca="false">_xlfn.IFNA(VLOOKUP(C13,'بيانات الآليات '!A:G,4,FALSE()),"")</f>
        <v>رمثة - شاحنة كبيرة</v>
      </c>
      <c r="E13" s="81" t="n">
        <f aca="false">_xlfn.IFNA(VLOOKUP(C13,'بيانات الآليات '!A:G,2,FALSE()),"")</f>
        <v>3113855</v>
      </c>
      <c r="F13" s="81" t="str">
        <f aca="false">_xlfn.IFNA(VLOOKUP(C13,'بيانات الآليات '!A:G,5,FALSE()),"")</f>
        <v>Volvo-FM84FR, 2016</v>
      </c>
      <c r="G13" s="82" t="s">
        <v>397</v>
      </c>
      <c r="H13" s="83" t="str">
        <f aca="false">_xlfn.IFNA(VLOOKUP(G13,Table14543[],2,FALSE()),"")</f>
        <v>زيت هيدروليك</v>
      </c>
      <c r="I13" s="84" t="str">
        <f aca="false">_xlfn.IFNA(VLOOKUP(G13,Table14543[],3,FALSE()),"")</f>
        <v>ISO 68</v>
      </c>
      <c r="J13" s="83" t="str">
        <f aca="false">CONCATENATE("",G13,""," ",H13," ",I13)</f>
        <v>9.2 زيت هيدروليك ISO 68</v>
      </c>
      <c r="K13" s="85" t="s">
        <v>492</v>
      </c>
      <c r="L13" s="86" t="n">
        <v>50</v>
      </c>
      <c r="M13" s="86" t="n">
        <v>15</v>
      </c>
      <c r="N13" s="86" t="n">
        <f aca="false">L13*M13</f>
        <v>750</v>
      </c>
      <c r="O13" s="86" t="n">
        <v>250</v>
      </c>
      <c r="P13" s="87" t="n">
        <f aca="false">(M13*L13)+O13</f>
        <v>1000</v>
      </c>
      <c r="Q13" s="91"/>
    </row>
    <row r="14" customFormat="false" ht="16.85" hidden="false" customHeight="false" outlineLevel="0" collapsed="false">
      <c r="A14" s="77" t="n">
        <v>46000</v>
      </c>
      <c r="B14" s="78" t="s">
        <v>491</v>
      </c>
      <c r="C14" s="79" t="n">
        <v>400</v>
      </c>
      <c r="D14" s="80" t="str">
        <f aca="false">_xlfn.IFNA(VLOOKUP(C14,'بيانات الآليات '!A:G,4,FALSE()),"")</f>
        <v>رمثة - شاحنة كبيرة</v>
      </c>
      <c r="E14" s="81" t="n">
        <f aca="false">_xlfn.IFNA(VLOOKUP(C14,'بيانات الآليات '!A:G,2,FALSE()),"")</f>
        <v>3113855</v>
      </c>
      <c r="F14" s="81" t="str">
        <f aca="false">_xlfn.IFNA(VLOOKUP(C14,'بيانات الآليات '!A:G,5,FALSE()),"")</f>
        <v>Volvo-FM84FR, 2016</v>
      </c>
      <c r="G14" s="82" t="s">
        <v>264</v>
      </c>
      <c r="H14" s="83" t="str">
        <f aca="false">_xlfn.IFNA(VLOOKUP(G14,Table14543[],2,FALSE()),"")</f>
        <v>استبدال أنظمة الإضاءة</v>
      </c>
      <c r="I14" s="84" t="str">
        <f aca="false">_xlfn.IFNA(VLOOKUP(G14,Table14543[],3,FALSE()),"")</f>
        <v>replacement of lighting systems</v>
      </c>
      <c r="J14" s="83" t="str">
        <f aca="false">CONCATENATE("",G14,""," ",H14," ",I14)</f>
        <v>6.7 استبدال أنظمة الإضاءة replacement of lighting systems</v>
      </c>
      <c r="K14" s="85" t="s">
        <v>493</v>
      </c>
      <c r="L14" s="86" t="n">
        <v>1</v>
      </c>
      <c r="M14" s="86"/>
      <c r="N14" s="86" t="n">
        <f aca="false">L14*M14</f>
        <v>0</v>
      </c>
      <c r="O14" s="86" t="n">
        <v>300</v>
      </c>
      <c r="P14" s="87" t="n">
        <f aca="false">(M14*L14)+O14</f>
        <v>300</v>
      </c>
      <c r="Q14" s="91"/>
    </row>
    <row r="15" customFormat="false" ht="16.85" hidden="false" customHeight="false" outlineLevel="0" collapsed="false">
      <c r="A15" s="77" t="n">
        <v>46000</v>
      </c>
      <c r="B15" s="78" t="s">
        <v>491</v>
      </c>
      <c r="C15" s="79" t="n">
        <v>400</v>
      </c>
      <c r="D15" s="80" t="str">
        <f aca="false">_xlfn.IFNA(VLOOKUP(C15,'بيانات الآليات '!A:G,4,FALSE()),"")</f>
        <v>رمثة - شاحنة كبيرة</v>
      </c>
      <c r="E15" s="81" t="n">
        <f aca="false">_xlfn.IFNA(VLOOKUP(C15,'بيانات الآليات '!A:G,2,FALSE()),"")</f>
        <v>3113855</v>
      </c>
      <c r="F15" s="81" t="str">
        <f aca="false">_xlfn.IFNA(VLOOKUP(C15,'بيانات الآليات '!A:G,5,FALSE()),"")</f>
        <v>Volvo-FM84FR, 2016</v>
      </c>
      <c r="G15" s="82" t="s">
        <v>107</v>
      </c>
      <c r="H15" s="83" t="str">
        <f aca="false">_xlfn.IFNA(VLOOKUP(G15,Table14543[],2,FALSE()),"")</f>
        <v>فلتر ميابيش</v>
      </c>
      <c r="I15" s="84" t="str">
        <f aca="false">_xlfn.IFNA(VLOOKUP(G15,Table14543[],3,FALSE()),"")</f>
        <v>Air Dryer Filter</v>
      </c>
      <c r="J15" s="83" t="str">
        <f aca="false">CONCATENATE("",G15,""," ",H15," ",I15)</f>
        <v>1.7 فلتر ميابيش Air Dryer Filter</v>
      </c>
      <c r="K15" s="85" t="s">
        <v>493</v>
      </c>
      <c r="L15" s="86" t="n">
        <v>1</v>
      </c>
      <c r="M15" s="86" t="n">
        <v>400</v>
      </c>
      <c r="N15" s="86" t="n">
        <f aca="false">L15*M15</f>
        <v>400</v>
      </c>
      <c r="O15" s="86" t="n">
        <v>20</v>
      </c>
      <c r="P15" s="87" t="n">
        <f aca="false">(M15*L15)+O15</f>
        <v>420</v>
      </c>
      <c r="Q15" s="91"/>
    </row>
    <row r="16" customFormat="false" ht="16.85" hidden="false" customHeight="false" outlineLevel="0" collapsed="false">
      <c r="A16" s="77" t="n">
        <v>46000</v>
      </c>
      <c r="B16" s="78" t="s">
        <v>491</v>
      </c>
      <c r="C16" s="79" t="n">
        <v>400</v>
      </c>
      <c r="D16" s="80" t="str">
        <f aca="false">_xlfn.IFNA(VLOOKUP(C16,'بيانات الآليات '!A:G,4,FALSE()),"")</f>
        <v>رمثة - شاحنة كبيرة</v>
      </c>
      <c r="E16" s="81" t="n">
        <f aca="false">_xlfn.IFNA(VLOOKUP(C16,'بيانات الآليات '!A:G,2,FALSE()),"")</f>
        <v>3113855</v>
      </c>
      <c r="F16" s="81" t="str">
        <f aca="false">_xlfn.IFNA(VLOOKUP(C16,'بيانات الآليات '!A:G,5,FALSE()),"")</f>
        <v>Volvo-FM84FR, 2016</v>
      </c>
      <c r="G16" s="82" t="s">
        <v>393</v>
      </c>
      <c r="H16" s="83" t="str">
        <f aca="false">_xlfn.IFNA(VLOOKUP(G16,Table14543[],2,FALSE()),"")</f>
        <v>زيت محرك بكر</v>
      </c>
      <c r="I16" s="84" t="str">
        <f aca="false">_xlfn.IFNA(VLOOKUP(G16,Table14543[],3,FALSE()),"")</f>
        <v>SAE 15W 40 API-Ci4-85102464</v>
      </c>
      <c r="J16" s="83" t="str">
        <f aca="false">CONCATENATE("",G16,""," ",H16," ",I16)</f>
        <v>9.1 زيت محرك بكر SAE 15W 40 API-Ci4-85102464</v>
      </c>
      <c r="K16" s="85" t="s">
        <v>492</v>
      </c>
      <c r="L16" s="86" t="n">
        <v>30</v>
      </c>
      <c r="M16" s="86" t="n">
        <v>15</v>
      </c>
      <c r="N16" s="86" t="n">
        <f aca="false">L16*M16</f>
        <v>450</v>
      </c>
      <c r="O16" s="86" t="n">
        <v>150</v>
      </c>
      <c r="P16" s="87" t="n">
        <f aca="false">(M16*L16)+O16</f>
        <v>600</v>
      </c>
      <c r="Q16" s="91"/>
    </row>
    <row r="17" customFormat="false" ht="16.85" hidden="false" customHeight="false" outlineLevel="0" collapsed="false">
      <c r="A17" s="77" t="n">
        <v>46000</v>
      </c>
      <c r="B17" s="78" t="s">
        <v>491</v>
      </c>
      <c r="C17" s="79" t="n">
        <v>400</v>
      </c>
      <c r="D17" s="80" t="str">
        <f aca="false">_xlfn.IFNA(VLOOKUP(C17,'بيانات الآليات '!A:G,4,FALSE()),"")</f>
        <v>رمثة - شاحنة كبيرة</v>
      </c>
      <c r="E17" s="81" t="n">
        <f aca="false">_xlfn.IFNA(VLOOKUP(C17,'بيانات الآليات '!A:G,2,FALSE()),"")</f>
        <v>3113855</v>
      </c>
      <c r="F17" s="81" t="str">
        <f aca="false">_xlfn.IFNA(VLOOKUP(C17,'بيانات الآليات '!A:G,5,FALSE()),"")</f>
        <v>Volvo-FM84FR, 2016</v>
      </c>
      <c r="G17" s="82" t="s">
        <v>110</v>
      </c>
      <c r="H17" s="83" t="str">
        <f aca="false">_xlfn.IFNA(VLOOKUP(G17,Table14543[],2,FALSE()),"")</f>
        <v>فلتر هواء</v>
      </c>
      <c r="I17" s="84" t="str">
        <f aca="false">_xlfn.IFNA(VLOOKUP(G17,Table14543[],3,FALSE()),"")</f>
        <v>AIR Filter</v>
      </c>
      <c r="J17" s="83" t="str">
        <f aca="false">CONCATENATE("",G17,""," ",H17," ",I17)</f>
        <v>1.8 فلتر هواء AIR Filter</v>
      </c>
      <c r="K17" s="85" t="s">
        <v>493</v>
      </c>
      <c r="L17" s="86" t="n">
        <v>1</v>
      </c>
      <c r="M17" s="86" t="n">
        <v>600</v>
      </c>
      <c r="N17" s="86" t="n">
        <f aca="false">L17*M17</f>
        <v>600</v>
      </c>
      <c r="O17" s="86" t="n">
        <v>20</v>
      </c>
      <c r="P17" s="87" t="n">
        <f aca="false">(M17*L17)+O17</f>
        <v>620</v>
      </c>
      <c r="Q17" s="91"/>
    </row>
    <row r="18" customFormat="false" ht="16.85" hidden="false" customHeight="false" outlineLevel="0" collapsed="false">
      <c r="A18" s="77" t="n">
        <v>46002</v>
      </c>
      <c r="B18" s="78" t="s">
        <v>494</v>
      </c>
      <c r="C18" s="79" t="n">
        <v>16</v>
      </c>
      <c r="D18" s="80" t="str">
        <f aca="false">_xlfn.IFNA(VLOOKUP(C18,'بيانات الآليات '!A:G,4,FALSE()),"")</f>
        <v>رافعة قلاب</v>
      </c>
      <c r="E18" s="81" t="n">
        <f aca="false">_xlfn.IFNA(VLOOKUP(C18,'بيانات الآليات '!A:G,2,FALSE()),"")</f>
        <v>3065055</v>
      </c>
      <c r="F18" s="81" t="str">
        <f aca="false">_xlfn.IFNA(VLOOKUP(C18,'بيانات الآليات '!A:G,5,FALSE()),"")</f>
        <v>Volvo FL 619, 1995</v>
      </c>
      <c r="G18" s="92" t="s">
        <v>393</v>
      </c>
      <c r="H18" s="83" t="str">
        <f aca="false">_xlfn.IFNA(VLOOKUP(G18,Table14543[],2,FALSE()),"")</f>
        <v>زيت محرك بكر</v>
      </c>
      <c r="I18" s="84" t="str">
        <f aca="false">_xlfn.IFNA(VLOOKUP(G18,Table14543[],3,FALSE()),"")</f>
        <v>SAE 15W 40 API-Ci4-85102464</v>
      </c>
      <c r="J18" s="83" t="str">
        <f aca="false">CONCATENATE("",G18,""," ",H18," ",I18)</f>
        <v>9.1 زيت محرك بكر SAE 15W 40 API-Ci4-85102464</v>
      </c>
      <c r="K18" s="85" t="s">
        <v>493</v>
      </c>
      <c r="L18" s="86"/>
      <c r="M18" s="86"/>
      <c r="N18" s="86" t="n">
        <f aca="false">L18*M18</f>
        <v>0</v>
      </c>
      <c r="O18" s="86"/>
      <c r="P18" s="87" t="n">
        <f aca="false">(M18*L18)+O18</f>
        <v>0</v>
      </c>
      <c r="Q18" s="91"/>
    </row>
    <row r="19" customFormat="false" ht="14.25" hidden="false" customHeight="false" outlineLevel="0" collapsed="false">
      <c r="A19" s="77"/>
      <c r="B19" s="78"/>
      <c r="C19" s="79"/>
      <c r="D19" s="80" t="str">
        <f aca="false">_xlfn.IFNA(VLOOKUP(C19,'بيانات الآليات '!A:G,4,FALSE()),"")</f>
        <v/>
      </c>
      <c r="E19" s="81" t="str">
        <f aca="false">_xlfn.IFNA(VLOOKUP(C19,'بيانات الآليات '!A:G,2,FALSE()),"")</f>
        <v/>
      </c>
      <c r="F19" s="81" t="str">
        <f aca="false">_xlfn.IFNA(VLOOKUP(C19,'بيانات الآليات '!A:G,5,FALSE()),"")</f>
        <v/>
      </c>
      <c r="G19" s="82"/>
      <c r="H19" s="83" t="str">
        <f aca="false">_xlfn.IFNA(VLOOKUP(G19,Table14543[],2,FALSE()),"")</f>
        <v/>
      </c>
      <c r="I19" s="84" t="str">
        <f aca="false">_xlfn.IFNA(VLOOKUP(G19,Table14543[],3,FALSE()),"")</f>
        <v/>
      </c>
      <c r="J19" s="83" t="str">
        <f aca="false">CONCATENATE("",G19,""," ",H19," ",I19)</f>
        <v>  </v>
      </c>
      <c r="K19" s="85"/>
      <c r="L19" s="86"/>
      <c r="M19" s="86"/>
      <c r="N19" s="86" t="n">
        <f aca="false">L19*M19</f>
        <v>0</v>
      </c>
      <c r="O19" s="86"/>
      <c r="P19" s="87" t="n">
        <f aca="false">(M19*L19)+O19</f>
        <v>0</v>
      </c>
      <c r="Q19" s="91"/>
    </row>
    <row r="20" customFormat="false" ht="14.25" hidden="false" customHeight="false" outlineLevel="0" collapsed="false">
      <c r="A20" s="77"/>
      <c r="B20" s="78"/>
      <c r="C20" s="79"/>
      <c r="D20" s="80" t="str">
        <f aca="false">_xlfn.IFNA(VLOOKUP(C20,'بيانات الآليات '!A:G,4,FALSE()),"")</f>
        <v/>
      </c>
      <c r="E20" s="81" t="str">
        <f aca="false">_xlfn.IFNA(VLOOKUP(C20,'بيانات الآليات '!A:G,2,FALSE()),"")</f>
        <v/>
      </c>
      <c r="F20" s="81" t="str">
        <f aca="false">_xlfn.IFNA(VLOOKUP(C20,'بيانات الآليات '!A:G,5,FALSE()),"")</f>
        <v/>
      </c>
      <c r="G20" s="82"/>
      <c r="H20" s="83" t="str">
        <f aca="false">_xlfn.IFNA(VLOOKUP(G20,Table14543[],2,FALSE()),"")</f>
        <v/>
      </c>
      <c r="I20" s="84" t="str">
        <f aca="false">_xlfn.IFNA(VLOOKUP(G20,Table14543[],3,FALSE()),"")</f>
        <v/>
      </c>
      <c r="J20" s="83" t="str">
        <f aca="false">CONCATENATE("",G20,""," ",H20," ",I20)</f>
        <v>  </v>
      </c>
      <c r="K20" s="85"/>
      <c r="L20" s="86"/>
      <c r="M20" s="86"/>
      <c r="N20" s="86" t="n">
        <f aca="false">L20*M20</f>
        <v>0</v>
      </c>
      <c r="O20" s="86"/>
      <c r="P20" s="87" t="n">
        <f aca="false">(M20*L20)+O20</f>
        <v>0</v>
      </c>
      <c r="Q20" s="91"/>
    </row>
    <row r="21" customFormat="false" ht="14.25" hidden="false" customHeight="false" outlineLevel="0" collapsed="false">
      <c r="A21" s="77"/>
      <c r="B21" s="78"/>
      <c r="C21" s="79"/>
      <c r="D21" s="80" t="str">
        <f aca="false">_xlfn.IFNA(VLOOKUP(C21,'بيانات الآليات '!A:G,4,FALSE()),"")</f>
        <v/>
      </c>
      <c r="E21" s="81" t="str">
        <f aca="false">_xlfn.IFNA(VLOOKUP(C21,'بيانات الآليات '!A:G,2,FALSE()),"")</f>
        <v/>
      </c>
      <c r="F21" s="81" t="str">
        <f aca="false">_xlfn.IFNA(VLOOKUP(C21,'بيانات الآليات '!A:G,5,FALSE()),"")</f>
        <v/>
      </c>
      <c r="G21" s="82"/>
      <c r="H21" s="83" t="str">
        <f aca="false">_xlfn.IFNA(VLOOKUP(G21,Table14543[],2,FALSE()),"")</f>
        <v/>
      </c>
      <c r="I21" s="84" t="str">
        <f aca="false">_xlfn.IFNA(VLOOKUP(G21,Table14543[],3,FALSE()),"")</f>
        <v/>
      </c>
      <c r="J21" s="83" t="str">
        <f aca="false">CONCATENATE("",G21,""," ",H21," ",I21)</f>
        <v>  </v>
      </c>
      <c r="K21" s="85"/>
      <c r="L21" s="86"/>
      <c r="M21" s="86"/>
      <c r="N21" s="86" t="n">
        <f aca="false">L21*M21</f>
        <v>0</v>
      </c>
      <c r="O21" s="86"/>
      <c r="P21" s="87" t="n">
        <f aca="false">(M21*L21)+O21</f>
        <v>0</v>
      </c>
      <c r="Q21" s="91"/>
    </row>
    <row r="22" customFormat="false" ht="14.25" hidden="false" customHeight="false" outlineLevel="0" collapsed="false">
      <c r="A22" s="77"/>
      <c r="B22" s="78"/>
      <c r="C22" s="79"/>
      <c r="D22" s="80" t="str">
        <f aca="false">_xlfn.IFNA(VLOOKUP(C22,'بيانات الآليات '!A:G,4,FALSE()),"")</f>
        <v/>
      </c>
      <c r="E22" s="81" t="str">
        <f aca="false">_xlfn.IFNA(VLOOKUP(C22,'بيانات الآليات '!A:G,2,FALSE()),"")</f>
        <v/>
      </c>
      <c r="F22" s="81" t="str">
        <f aca="false">_xlfn.IFNA(VLOOKUP(C22,'بيانات الآليات '!A:G,5,FALSE()),"")</f>
        <v/>
      </c>
      <c r="G22" s="82"/>
      <c r="H22" s="83" t="str">
        <f aca="false">_xlfn.IFNA(VLOOKUP(G22,Table14543[],2,FALSE()),"")</f>
        <v/>
      </c>
      <c r="I22" s="84" t="str">
        <f aca="false">_xlfn.IFNA(VLOOKUP(G22,Table14543[],3,FALSE()),"")</f>
        <v/>
      </c>
      <c r="J22" s="83" t="str">
        <f aca="false">CONCATENATE("",G22,""," ",H22," ",I22)</f>
        <v>  </v>
      </c>
      <c r="K22" s="85"/>
      <c r="L22" s="86"/>
      <c r="M22" s="86"/>
      <c r="N22" s="86" t="n">
        <f aca="false">L22*M22</f>
        <v>0</v>
      </c>
      <c r="O22" s="86"/>
      <c r="P22" s="87" t="n">
        <f aca="false">(M22*L22)+O22</f>
        <v>0</v>
      </c>
      <c r="Q22" s="91"/>
    </row>
    <row r="23" customFormat="false" ht="14.25" hidden="false" customHeight="false" outlineLevel="0" collapsed="false">
      <c r="A23" s="77"/>
      <c r="B23" s="78"/>
      <c r="C23" s="79"/>
      <c r="D23" s="80" t="str">
        <f aca="false">_xlfn.IFNA(VLOOKUP(C23,'بيانات الآليات '!A:G,4,FALSE()),"")</f>
        <v/>
      </c>
      <c r="E23" s="81" t="str">
        <f aca="false">_xlfn.IFNA(VLOOKUP(C23,'بيانات الآليات '!A:G,2,FALSE()),"")</f>
        <v/>
      </c>
      <c r="F23" s="81" t="str">
        <f aca="false">_xlfn.IFNA(VLOOKUP(C23,'بيانات الآليات '!A:G,5,FALSE()),"")</f>
        <v/>
      </c>
      <c r="G23" s="82"/>
      <c r="H23" s="83" t="str">
        <f aca="false">_xlfn.IFNA(VLOOKUP(G23,Table14543[],2,FALSE()),"")</f>
        <v/>
      </c>
      <c r="I23" s="84" t="str">
        <f aca="false">_xlfn.IFNA(VLOOKUP(G23,Table14543[],3,FALSE()),"")</f>
        <v/>
      </c>
      <c r="J23" s="83" t="str">
        <f aca="false">CONCATENATE("",G23,""," ",H23," ",I23)</f>
        <v>  </v>
      </c>
      <c r="K23" s="85"/>
      <c r="L23" s="86"/>
      <c r="M23" s="86"/>
      <c r="N23" s="86" t="n">
        <f aca="false">L23*M23</f>
        <v>0</v>
      </c>
      <c r="O23" s="86"/>
      <c r="P23" s="87" t="n">
        <f aca="false">(M23*L23)+O23</f>
        <v>0</v>
      </c>
      <c r="Q23" s="91"/>
    </row>
    <row r="24" customFormat="false" ht="14.25" hidden="false" customHeight="false" outlineLevel="0" collapsed="false">
      <c r="A24" s="77"/>
      <c r="B24" s="78"/>
      <c r="C24" s="79"/>
      <c r="D24" s="80" t="str">
        <f aca="false">_xlfn.IFNA(VLOOKUP(C24,'بيانات الآليات '!A:G,4,FALSE()),"")</f>
        <v/>
      </c>
      <c r="E24" s="81" t="str">
        <f aca="false">_xlfn.IFNA(VLOOKUP(C24,'بيانات الآليات '!A:G,2,FALSE()),"")</f>
        <v/>
      </c>
      <c r="F24" s="81" t="str">
        <f aca="false">_xlfn.IFNA(VLOOKUP(C24,'بيانات الآليات '!A:G,5,FALSE()),"")</f>
        <v/>
      </c>
      <c r="G24" s="82"/>
      <c r="H24" s="83" t="str">
        <f aca="false">_xlfn.IFNA(VLOOKUP(G24,Table14543[],2,FALSE()),"")</f>
        <v/>
      </c>
      <c r="I24" s="84" t="str">
        <f aca="false">_xlfn.IFNA(VLOOKUP(G24,Table14543[],3,FALSE()),"")</f>
        <v/>
      </c>
      <c r="J24" s="83" t="str">
        <f aca="false">CONCATENATE("",G24,""," ",H24," ",I24)</f>
        <v>  </v>
      </c>
      <c r="K24" s="85"/>
      <c r="L24" s="86"/>
      <c r="M24" s="86"/>
      <c r="N24" s="86" t="n">
        <f aca="false">L24*M24</f>
        <v>0</v>
      </c>
      <c r="O24" s="86"/>
      <c r="P24" s="87" t="n">
        <f aca="false">(M24*L24)+O24</f>
        <v>0</v>
      </c>
      <c r="Q24" s="91"/>
    </row>
    <row r="25" customFormat="false" ht="14.25" hidden="false" customHeight="false" outlineLevel="0" collapsed="false">
      <c r="A25" s="77"/>
      <c r="B25" s="78"/>
      <c r="C25" s="79"/>
      <c r="D25" s="80" t="str">
        <f aca="false">_xlfn.IFNA(VLOOKUP(C25,'بيانات الآليات '!A:G,4,FALSE()),"")</f>
        <v/>
      </c>
      <c r="E25" s="81" t="str">
        <f aca="false">_xlfn.IFNA(VLOOKUP(C25,'بيانات الآليات '!A:G,2,FALSE()),"")</f>
        <v/>
      </c>
      <c r="F25" s="81" t="str">
        <f aca="false">_xlfn.IFNA(VLOOKUP(C25,'بيانات الآليات '!A:G,5,FALSE()),"")</f>
        <v/>
      </c>
      <c r="G25" s="82"/>
      <c r="H25" s="83" t="str">
        <f aca="false">_xlfn.IFNA(VLOOKUP(G25,Table14543[],2,FALSE()),"")</f>
        <v/>
      </c>
      <c r="I25" s="84" t="str">
        <f aca="false">_xlfn.IFNA(VLOOKUP(G25,Table14543[],3,FALSE()),"")</f>
        <v/>
      </c>
      <c r="J25" s="83" t="str">
        <f aca="false">CONCATENATE("",G25,""," ",H25," ",I25)</f>
        <v>  </v>
      </c>
      <c r="K25" s="85"/>
      <c r="L25" s="86"/>
      <c r="M25" s="86"/>
      <c r="N25" s="86" t="n">
        <f aca="false">L25*M25</f>
        <v>0</v>
      </c>
      <c r="O25" s="86"/>
      <c r="P25" s="87" t="n">
        <f aca="false">(M25*L25)+O25</f>
        <v>0</v>
      </c>
      <c r="Q25" s="91"/>
    </row>
    <row r="26" customFormat="false" ht="14.25" hidden="false" customHeight="false" outlineLevel="0" collapsed="false">
      <c r="A26" s="77"/>
      <c r="B26" s="78"/>
      <c r="C26" s="79"/>
      <c r="D26" s="80" t="str">
        <f aca="false">_xlfn.IFNA(VLOOKUP(C26,'بيانات الآليات '!A:G,4,FALSE()),"")</f>
        <v/>
      </c>
      <c r="E26" s="81" t="str">
        <f aca="false">_xlfn.IFNA(VLOOKUP(C26,'بيانات الآليات '!A:G,2,FALSE()),"")</f>
        <v/>
      </c>
      <c r="F26" s="81" t="str">
        <f aca="false">_xlfn.IFNA(VLOOKUP(C26,'بيانات الآليات '!A:G,5,FALSE()),"")</f>
        <v/>
      </c>
      <c r="G26" s="82"/>
      <c r="H26" s="83" t="str">
        <f aca="false">_xlfn.IFNA(VLOOKUP(G26,Table14543[],2,FALSE()),"")</f>
        <v/>
      </c>
      <c r="I26" s="84" t="str">
        <f aca="false">_xlfn.IFNA(VLOOKUP(G26,Table14543[],3,FALSE()),"")</f>
        <v/>
      </c>
      <c r="J26" s="83" t="str">
        <f aca="false">CONCATENATE("",G26,""," ",H26," ",I26)</f>
        <v>  </v>
      </c>
      <c r="K26" s="85"/>
      <c r="L26" s="86"/>
      <c r="M26" s="86"/>
      <c r="N26" s="86" t="n">
        <f aca="false">L26*M26</f>
        <v>0</v>
      </c>
      <c r="O26" s="86"/>
      <c r="P26" s="87" t="n">
        <f aca="false">(M26*L26)+O26</f>
        <v>0</v>
      </c>
      <c r="Q26" s="91"/>
    </row>
    <row r="27" customFormat="false" ht="14.25" hidden="false" customHeight="false" outlineLevel="0" collapsed="false">
      <c r="A27" s="77"/>
      <c r="B27" s="78"/>
      <c r="C27" s="79"/>
      <c r="D27" s="80" t="str">
        <f aca="false">_xlfn.IFNA(VLOOKUP(C27,'بيانات الآليات '!A:G,4,FALSE()),"")</f>
        <v/>
      </c>
      <c r="E27" s="81" t="str">
        <f aca="false">_xlfn.IFNA(VLOOKUP(C27,'بيانات الآليات '!A:G,2,FALSE()),"")</f>
        <v/>
      </c>
      <c r="F27" s="81" t="str">
        <f aca="false">_xlfn.IFNA(VLOOKUP(C27,'بيانات الآليات '!A:G,5,FALSE()),"")</f>
        <v/>
      </c>
      <c r="G27" s="82"/>
      <c r="H27" s="83" t="str">
        <f aca="false">_xlfn.IFNA(VLOOKUP(G27,Table14543[],2,FALSE()),"")</f>
        <v/>
      </c>
      <c r="I27" s="84" t="str">
        <f aca="false">_xlfn.IFNA(VLOOKUP(G27,Table14543[],3,FALSE()),"")</f>
        <v/>
      </c>
      <c r="J27" s="83" t="str">
        <f aca="false">CONCATENATE("",G27,""," ",H27," ",I27)</f>
        <v>  </v>
      </c>
      <c r="K27" s="85"/>
      <c r="L27" s="86"/>
      <c r="M27" s="86"/>
      <c r="N27" s="86" t="n">
        <f aca="false">L27*M27</f>
        <v>0</v>
      </c>
      <c r="O27" s="86"/>
      <c r="P27" s="87" t="n">
        <f aca="false">(M27*L27)+O27</f>
        <v>0</v>
      </c>
      <c r="Q27" s="91"/>
    </row>
    <row r="28" customFormat="false" ht="14.25" hidden="false" customHeight="false" outlineLevel="0" collapsed="false">
      <c r="A28" s="77"/>
      <c r="B28" s="78"/>
      <c r="C28" s="79"/>
      <c r="D28" s="80" t="str">
        <f aca="false">_xlfn.IFNA(VLOOKUP(C28,'بيانات الآليات '!A:G,4,FALSE()),"")</f>
        <v/>
      </c>
      <c r="E28" s="81" t="str">
        <f aca="false">_xlfn.IFNA(VLOOKUP(C28,'بيانات الآليات '!A:G,2,FALSE()),"")</f>
        <v/>
      </c>
      <c r="F28" s="81" t="str">
        <f aca="false">_xlfn.IFNA(VLOOKUP(C28,'بيانات الآليات '!A:G,5,FALSE()),"")</f>
        <v/>
      </c>
      <c r="G28" s="82"/>
      <c r="H28" s="83" t="str">
        <f aca="false">_xlfn.IFNA(VLOOKUP(G28,Table14543[],2,FALSE()),"")</f>
        <v/>
      </c>
      <c r="I28" s="84" t="str">
        <f aca="false">_xlfn.IFNA(VLOOKUP(G28,Table14543[],3,FALSE()),"")</f>
        <v/>
      </c>
      <c r="J28" s="83" t="str">
        <f aca="false">CONCATENATE("",G28,""," ",H28," ",I28)</f>
        <v>  </v>
      </c>
      <c r="K28" s="85"/>
      <c r="L28" s="86"/>
      <c r="M28" s="86"/>
      <c r="N28" s="86" t="n">
        <f aca="false">L28*M28</f>
        <v>0</v>
      </c>
      <c r="O28" s="86"/>
      <c r="P28" s="87" t="n">
        <f aca="false">(M28*L28)+O28</f>
        <v>0</v>
      </c>
      <c r="Q28" s="91"/>
    </row>
    <row r="29" customFormat="false" ht="14.25" hidden="false" customHeight="false" outlineLevel="0" collapsed="false">
      <c r="A29" s="77"/>
      <c r="B29" s="78"/>
      <c r="C29" s="79"/>
      <c r="D29" s="80" t="str">
        <f aca="false">_xlfn.IFNA(VLOOKUP(C29,'بيانات الآليات '!A:G,4,FALSE()),"")</f>
        <v/>
      </c>
      <c r="E29" s="81" t="str">
        <f aca="false">_xlfn.IFNA(VLOOKUP(C29,'بيانات الآليات '!A:G,2,FALSE()),"")</f>
        <v/>
      </c>
      <c r="F29" s="81" t="str">
        <f aca="false">_xlfn.IFNA(VLOOKUP(C29,'بيانات الآليات '!A:G,5,FALSE()),"")</f>
        <v/>
      </c>
      <c r="G29" s="82"/>
      <c r="H29" s="83" t="str">
        <f aca="false">_xlfn.IFNA(VLOOKUP(G29,Table14543[],2,FALSE()),"")</f>
        <v/>
      </c>
      <c r="I29" s="84" t="str">
        <f aca="false">_xlfn.IFNA(VLOOKUP(G29,Table14543[],3,FALSE()),"")</f>
        <v/>
      </c>
      <c r="J29" s="83" t="str">
        <f aca="false">CONCATENATE("",G29,""," ",H29," ",I29)</f>
        <v>  </v>
      </c>
      <c r="K29" s="85"/>
      <c r="L29" s="86"/>
      <c r="M29" s="86"/>
      <c r="N29" s="86" t="n">
        <f aca="false">L29*M29</f>
        <v>0</v>
      </c>
      <c r="O29" s="86"/>
      <c r="P29" s="87" t="n">
        <f aca="false">(M29*L29)+O29</f>
        <v>0</v>
      </c>
      <c r="Q29" s="91"/>
    </row>
    <row r="30" customFormat="false" ht="14.25" hidden="false" customHeight="false" outlineLevel="0" collapsed="false">
      <c r="A30" s="77"/>
      <c r="B30" s="78"/>
      <c r="C30" s="79"/>
      <c r="D30" s="80" t="str">
        <f aca="false">_xlfn.IFNA(VLOOKUP(C30,'بيانات الآليات '!A:G,4,FALSE()),"")</f>
        <v/>
      </c>
      <c r="E30" s="81" t="str">
        <f aca="false">_xlfn.IFNA(VLOOKUP(C30,'بيانات الآليات '!A:G,2,FALSE()),"")</f>
        <v/>
      </c>
      <c r="F30" s="81" t="str">
        <f aca="false">_xlfn.IFNA(VLOOKUP(C30,'بيانات الآليات '!A:G,5,FALSE()),"")</f>
        <v/>
      </c>
      <c r="G30" s="82"/>
      <c r="H30" s="83" t="str">
        <f aca="false">_xlfn.IFNA(VLOOKUP(G30,Table14543[],2,FALSE()),"")</f>
        <v/>
      </c>
      <c r="I30" s="84" t="str">
        <f aca="false">_xlfn.IFNA(VLOOKUP(G30,Table14543[],3,FALSE()),"")</f>
        <v/>
      </c>
      <c r="J30" s="83" t="str">
        <f aca="false">CONCATENATE("",G30,""," ",H30," ",I30)</f>
        <v>  </v>
      </c>
      <c r="K30" s="85"/>
      <c r="L30" s="86"/>
      <c r="M30" s="86"/>
      <c r="N30" s="86" t="n">
        <f aca="false">L30*M30</f>
        <v>0</v>
      </c>
      <c r="O30" s="86"/>
      <c r="P30" s="87" t="n">
        <f aca="false">(M30*L30)+O30</f>
        <v>0</v>
      </c>
      <c r="Q30" s="91"/>
    </row>
    <row r="31" customFormat="false" ht="14.25" hidden="false" customHeight="false" outlineLevel="0" collapsed="false">
      <c r="A31" s="77"/>
      <c r="B31" s="78"/>
      <c r="C31" s="79"/>
      <c r="D31" s="80" t="str">
        <f aca="false">_xlfn.IFNA(VLOOKUP(C31,'بيانات الآليات '!A:G,4,FALSE()),"")</f>
        <v/>
      </c>
      <c r="E31" s="81" t="str">
        <f aca="false">_xlfn.IFNA(VLOOKUP(C31,'بيانات الآليات '!A:G,2,FALSE()),"")</f>
        <v/>
      </c>
      <c r="F31" s="81" t="str">
        <f aca="false">_xlfn.IFNA(VLOOKUP(C31,'بيانات الآليات '!A:G,5,FALSE()),"")</f>
        <v/>
      </c>
      <c r="G31" s="82"/>
      <c r="H31" s="83" t="str">
        <f aca="false">_xlfn.IFNA(VLOOKUP(G31,Table14543[],2,FALSE()),"")</f>
        <v/>
      </c>
      <c r="I31" s="84" t="str">
        <f aca="false">_xlfn.IFNA(VLOOKUP(G31,Table14543[],3,FALSE()),"")</f>
        <v/>
      </c>
      <c r="J31" s="83" t="str">
        <f aca="false">CONCATENATE("",G31,""," ",H31," ",I31)</f>
        <v>  </v>
      </c>
      <c r="K31" s="85"/>
      <c r="L31" s="86"/>
      <c r="M31" s="86"/>
      <c r="N31" s="86" t="n">
        <f aca="false">L31*M31</f>
        <v>0</v>
      </c>
      <c r="O31" s="86"/>
      <c r="P31" s="87" t="n">
        <f aca="false">(M31*L31)+O31</f>
        <v>0</v>
      </c>
      <c r="Q31" s="91"/>
    </row>
    <row r="32" customFormat="false" ht="14.25" hidden="false" customHeight="false" outlineLevel="0" collapsed="false">
      <c r="A32" s="77"/>
      <c r="B32" s="78"/>
      <c r="C32" s="79"/>
      <c r="D32" s="80" t="str">
        <f aca="false">_xlfn.IFNA(VLOOKUP(C32,'بيانات الآليات '!A:G,4,FALSE()),"")</f>
        <v/>
      </c>
      <c r="E32" s="81" t="str">
        <f aca="false">_xlfn.IFNA(VLOOKUP(C32,'بيانات الآليات '!A:G,2,FALSE()),"")</f>
        <v/>
      </c>
      <c r="F32" s="81" t="str">
        <f aca="false">_xlfn.IFNA(VLOOKUP(C32,'بيانات الآليات '!A:G,5,FALSE()),"")</f>
        <v/>
      </c>
      <c r="G32" s="82"/>
      <c r="H32" s="83" t="str">
        <f aca="false">_xlfn.IFNA(VLOOKUP(G32,Table14543[],2,FALSE()),"")</f>
        <v/>
      </c>
      <c r="I32" s="84" t="str">
        <f aca="false">_xlfn.IFNA(VLOOKUP(G32,Table14543[],3,FALSE()),"")</f>
        <v/>
      </c>
      <c r="J32" s="83" t="str">
        <f aca="false">CONCATENATE("",G32,""," ",H32," ",I32)</f>
        <v>  </v>
      </c>
      <c r="K32" s="85"/>
      <c r="L32" s="86"/>
      <c r="M32" s="86"/>
      <c r="N32" s="86" t="n">
        <f aca="false">L32*M32</f>
        <v>0</v>
      </c>
      <c r="O32" s="86"/>
      <c r="P32" s="87" t="n">
        <f aca="false">(M32*L32)+O32</f>
        <v>0</v>
      </c>
      <c r="Q32" s="91"/>
    </row>
    <row r="33" customFormat="false" ht="14.25" hidden="false" customHeight="false" outlineLevel="0" collapsed="false">
      <c r="A33" s="77"/>
      <c r="B33" s="78"/>
      <c r="C33" s="79"/>
      <c r="D33" s="80" t="str">
        <f aca="false">_xlfn.IFNA(VLOOKUP(C33,'بيانات الآليات '!A:G,4,FALSE()),"")</f>
        <v/>
      </c>
      <c r="E33" s="81" t="str">
        <f aca="false">_xlfn.IFNA(VLOOKUP(C33,'بيانات الآليات '!A:G,2,FALSE()),"")</f>
        <v/>
      </c>
      <c r="F33" s="81" t="str">
        <f aca="false">_xlfn.IFNA(VLOOKUP(C33,'بيانات الآليات '!A:G,5,FALSE()),"")</f>
        <v/>
      </c>
      <c r="G33" s="82"/>
      <c r="H33" s="83" t="str">
        <f aca="false">_xlfn.IFNA(VLOOKUP(G33,Table14543[],2,FALSE()),"")</f>
        <v/>
      </c>
      <c r="I33" s="84" t="str">
        <f aca="false">_xlfn.IFNA(VLOOKUP(G33,Table14543[],3,FALSE()),"")</f>
        <v/>
      </c>
      <c r="J33" s="83" t="str">
        <f aca="false">CONCATENATE("",G33,""," ",H33," ",I33)</f>
        <v>  </v>
      </c>
      <c r="K33" s="85"/>
      <c r="L33" s="86"/>
      <c r="M33" s="86"/>
      <c r="N33" s="86" t="n">
        <f aca="false">L33*M33</f>
        <v>0</v>
      </c>
      <c r="O33" s="86"/>
      <c r="P33" s="87" t="n">
        <f aca="false">(M33*L33)+O33</f>
        <v>0</v>
      </c>
      <c r="Q33" s="91"/>
    </row>
    <row r="34" customFormat="false" ht="14.25" hidden="false" customHeight="false" outlineLevel="0" collapsed="false">
      <c r="A34" s="77"/>
      <c r="B34" s="78"/>
      <c r="C34" s="79"/>
      <c r="D34" s="80" t="str">
        <f aca="false">_xlfn.IFNA(VLOOKUP(C34,'بيانات الآليات '!A:G,4,FALSE()),"")</f>
        <v/>
      </c>
      <c r="E34" s="81" t="str">
        <f aca="false">_xlfn.IFNA(VLOOKUP(C34,'بيانات الآليات '!A:G,2,FALSE()),"")</f>
        <v/>
      </c>
      <c r="F34" s="81" t="str">
        <f aca="false">_xlfn.IFNA(VLOOKUP(C34,'بيانات الآليات '!A:G,5,FALSE()),"")</f>
        <v/>
      </c>
      <c r="G34" s="82"/>
      <c r="H34" s="83" t="str">
        <f aca="false">_xlfn.IFNA(VLOOKUP(G34,Table14543[],2,FALSE()),"")</f>
        <v/>
      </c>
      <c r="I34" s="84" t="str">
        <f aca="false">_xlfn.IFNA(VLOOKUP(G34,Table14543[],3,FALSE()),"")</f>
        <v/>
      </c>
      <c r="J34" s="83" t="str">
        <f aca="false">CONCATENATE("",G34,""," ",H34," ",I34)</f>
        <v>  </v>
      </c>
      <c r="K34" s="85"/>
      <c r="L34" s="86"/>
      <c r="M34" s="86"/>
      <c r="N34" s="86" t="n">
        <f aca="false">L34*M34</f>
        <v>0</v>
      </c>
      <c r="O34" s="86"/>
      <c r="P34" s="87" t="n">
        <f aca="false">(M34*L34)+O34</f>
        <v>0</v>
      </c>
      <c r="Q34" s="91"/>
    </row>
    <row r="35" customFormat="false" ht="14.25" hidden="false" customHeight="false" outlineLevel="0" collapsed="false">
      <c r="A35" s="77"/>
      <c r="B35" s="78"/>
      <c r="C35" s="79"/>
      <c r="D35" s="80" t="str">
        <f aca="false">_xlfn.IFNA(VLOOKUP(C35,'بيانات الآليات '!A:G,4,FALSE()),"")</f>
        <v/>
      </c>
      <c r="E35" s="81" t="str">
        <f aca="false">_xlfn.IFNA(VLOOKUP(C35,'بيانات الآليات '!A:G,2,FALSE()),"")</f>
        <v/>
      </c>
      <c r="F35" s="81" t="str">
        <f aca="false">_xlfn.IFNA(VLOOKUP(C35,'بيانات الآليات '!A:G,5,FALSE()),"")</f>
        <v/>
      </c>
      <c r="G35" s="82"/>
      <c r="H35" s="83" t="str">
        <f aca="false">_xlfn.IFNA(VLOOKUP(G35,Table14543[],2,FALSE()),"")</f>
        <v/>
      </c>
      <c r="I35" s="84" t="str">
        <f aca="false">_xlfn.IFNA(VLOOKUP(G35,Table14543[],3,FALSE()),"")</f>
        <v/>
      </c>
      <c r="J35" s="83" t="str">
        <f aca="false">CONCATENATE("",G35,""," ",H35," ",I35)</f>
        <v>  </v>
      </c>
      <c r="K35" s="85"/>
      <c r="L35" s="86"/>
      <c r="M35" s="86"/>
      <c r="N35" s="86" t="n">
        <f aca="false">L35*M35</f>
        <v>0</v>
      </c>
      <c r="O35" s="86"/>
      <c r="P35" s="87" t="n">
        <f aca="false">(M35*L35)+O35</f>
        <v>0</v>
      </c>
      <c r="Q35" s="91"/>
    </row>
    <row r="36" customFormat="false" ht="14.25" hidden="false" customHeight="false" outlineLevel="0" collapsed="false">
      <c r="A36" s="77"/>
      <c r="B36" s="78"/>
      <c r="C36" s="79"/>
      <c r="D36" s="80" t="str">
        <f aca="false">_xlfn.IFNA(VLOOKUP(C36,'بيانات الآليات '!A:G,4,FALSE()),"")</f>
        <v/>
      </c>
      <c r="E36" s="81" t="str">
        <f aca="false">_xlfn.IFNA(VLOOKUP(C36,'بيانات الآليات '!A:G,2,FALSE()),"")</f>
        <v/>
      </c>
      <c r="F36" s="81" t="str">
        <f aca="false">_xlfn.IFNA(VLOOKUP(C36,'بيانات الآليات '!A:G,5,FALSE()),"")</f>
        <v/>
      </c>
      <c r="G36" s="82"/>
      <c r="H36" s="83" t="str">
        <f aca="false">_xlfn.IFNA(VLOOKUP(G36,Table14543[],2,FALSE()),"")</f>
        <v/>
      </c>
      <c r="I36" s="84" t="str">
        <f aca="false">_xlfn.IFNA(VLOOKUP(G36,Table14543[],3,FALSE()),"")</f>
        <v/>
      </c>
      <c r="J36" s="83" t="str">
        <f aca="false">CONCATENATE("",G36,""," ",H36," ",I36)</f>
        <v>  </v>
      </c>
      <c r="K36" s="85"/>
      <c r="L36" s="86"/>
      <c r="M36" s="86"/>
      <c r="N36" s="86" t="n">
        <f aca="false">L36*M36</f>
        <v>0</v>
      </c>
      <c r="O36" s="86"/>
      <c r="P36" s="87" t="n">
        <f aca="false">(M36*L36)+O36</f>
        <v>0</v>
      </c>
      <c r="Q36" s="91"/>
    </row>
    <row r="37" customFormat="false" ht="14.25" hidden="false" customHeight="false" outlineLevel="0" collapsed="false">
      <c r="A37" s="77"/>
      <c r="B37" s="78"/>
      <c r="C37" s="79"/>
      <c r="D37" s="80" t="str">
        <f aca="false">_xlfn.IFNA(VLOOKUP(C37,'بيانات الآليات '!A:G,4,FALSE()),"")</f>
        <v/>
      </c>
      <c r="E37" s="81" t="str">
        <f aca="false">_xlfn.IFNA(VLOOKUP(C37,'بيانات الآليات '!A:G,2,FALSE()),"")</f>
        <v/>
      </c>
      <c r="F37" s="81" t="str">
        <f aca="false">_xlfn.IFNA(VLOOKUP(C37,'بيانات الآليات '!A:G,5,FALSE()),"")</f>
        <v/>
      </c>
      <c r="G37" s="82"/>
      <c r="H37" s="83" t="str">
        <f aca="false">_xlfn.IFNA(VLOOKUP(G37,Table14543[],2,FALSE()),"")</f>
        <v/>
      </c>
      <c r="I37" s="84" t="str">
        <f aca="false">_xlfn.IFNA(VLOOKUP(G37,Table14543[],3,FALSE()),"")</f>
        <v/>
      </c>
      <c r="J37" s="83" t="str">
        <f aca="false">CONCATENATE("",G37,""," ",H37," ",I37)</f>
        <v>  </v>
      </c>
      <c r="K37" s="85"/>
      <c r="L37" s="86"/>
      <c r="M37" s="86"/>
      <c r="N37" s="86" t="n">
        <f aca="false">L37*M37</f>
        <v>0</v>
      </c>
      <c r="O37" s="86"/>
      <c r="P37" s="87" t="n">
        <f aca="false">(M37*L37)+O37</f>
        <v>0</v>
      </c>
      <c r="Q37" s="91"/>
    </row>
    <row r="38" customFormat="false" ht="14.25" hidden="false" customHeight="false" outlineLevel="0" collapsed="false">
      <c r="A38" s="77"/>
      <c r="B38" s="78"/>
      <c r="C38" s="79"/>
      <c r="D38" s="80" t="str">
        <f aca="false">_xlfn.IFNA(VLOOKUP(C38,'بيانات الآليات '!A:G,4,FALSE()),"")</f>
        <v/>
      </c>
      <c r="E38" s="81" t="str">
        <f aca="false">_xlfn.IFNA(VLOOKUP(C38,'بيانات الآليات '!A:G,2,FALSE()),"")</f>
        <v/>
      </c>
      <c r="F38" s="81" t="str">
        <f aca="false">_xlfn.IFNA(VLOOKUP(C38,'بيانات الآليات '!A:G,5,FALSE()),"")</f>
        <v/>
      </c>
      <c r="G38" s="82"/>
      <c r="H38" s="83" t="str">
        <f aca="false">_xlfn.IFNA(VLOOKUP(G38,Table14543[],2,FALSE()),"")</f>
        <v/>
      </c>
      <c r="I38" s="84" t="str">
        <f aca="false">_xlfn.IFNA(VLOOKUP(G38,Table14543[],3,FALSE()),"")</f>
        <v/>
      </c>
      <c r="J38" s="83" t="str">
        <f aca="false">CONCATENATE("",G38,""," ",H38," ",I38)</f>
        <v>  </v>
      </c>
      <c r="K38" s="85"/>
      <c r="L38" s="86"/>
      <c r="M38" s="86"/>
      <c r="N38" s="86" t="n">
        <f aca="false">L38*M38</f>
        <v>0</v>
      </c>
      <c r="O38" s="86"/>
      <c r="P38" s="87" t="n">
        <f aca="false">(M38*L38)+O38</f>
        <v>0</v>
      </c>
      <c r="Q38" s="91"/>
    </row>
    <row r="39" customFormat="false" ht="14.25" hidden="false" customHeight="false" outlineLevel="0" collapsed="false">
      <c r="A39" s="77"/>
      <c r="B39" s="78"/>
      <c r="C39" s="79"/>
      <c r="D39" s="80" t="str">
        <f aca="false">_xlfn.IFNA(VLOOKUP(C39,'بيانات الآليات '!A:G,4,FALSE()),"")</f>
        <v/>
      </c>
      <c r="E39" s="81" t="str">
        <f aca="false">_xlfn.IFNA(VLOOKUP(C39,'بيانات الآليات '!A:G,2,FALSE()),"")</f>
        <v/>
      </c>
      <c r="F39" s="81" t="str">
        <f aca="false">_xlfn.IFNA(VLOOKUP(C39,'بيانات الآليات '!A:G,5,FALSE()),"")</f>
        <v/>
      </c>
      <c r="G39" s="82"/>
      <c r="H39" s="83" t="str">
        <f aca="false">_xlfn.IFNA(VLOOKUP(G39,Table14543[],2,FALSE()),"")</f>
        <v/>
      </c>
      <c r="I39" s="84" t="str">
        <f aca="false">_xlfn.IFNA(VLOOKUP(G39,Table14543[],3,FALSE()),"")</f>
        <v/>
      </c>
      <c r="J39" s="83" t="str">
        <f aca="false">CONCATENATE("",G39,""," ",H39," ",I39)</f>
        <v>  </v>
      </c>
      <c r="K39" s="85"/>
      <c r="L39" s="86"/>
      <c r="M39" s="86"/>
      <c r="N39" s="86" t="n">
        <f aca="false">L39*M39</f>
        <v>0</v>
      </c>
      <c r="O39" s="86"/>
      <c r="P39" s="87" t="n">
        <f aca="false">(M39*L39)+O39</f>
        <v>0</v>
      </c>
      <c r="Q39" s="91"/>
    </row>
    <row r="40" customFormat="false" ht="14.25" hidden="false" customHeight="false" outlineLevel="0" collapsed="false">
      <c r="A40" s="77"/>
      <c r="B40" s="78"/>
      <c r="C40" s="79"/>
      <c r="D40" s="80" t="str">
        <f aca="false">_xlfn.IFNA(VLOOKUP(C40,'بيانات الآليات '!A:G,4,FALSE()),"")</f>
        <v/>
      </c>
      <c r="E40" s="81" t="str">
        <f aca="false">_xlfn.IFNA(VLOOKUP(C40,'بيانات الآليات '!A:G,2,FALSE()),"")</f>
        <v/>
      </c>
      <c r="F40" s="81" t="str">
        <f aca="false">_xlfn.IFNA(VLOOKUP(C40,'بيانات الآليات '!A:G,5,FALSE()),"")</f>
        <v/>
      </c>
      <c r="G40" s="82"/>
      <c r="H40" s="83" t="str">
        <f aca="false">_xlfn.IFNA(VLOOKUP(G40,Table14543[],2,FALSE()),"")</f>
        <v/>
      </c>
      <c r="I40" s="84" t="str">
        <f aca="false">_xlfn.IFNA(VLOOKUP(G40,Table14543[],3,FALSE()),"")</f>
        <v/>
      </c>
      <c r="J40" s="83" t="str">
        <f aca="false">CONCATENATE("",G40,""," ",H40," ",I40)</f>
        <v>  </v>
      </c>
      <c r="K40" s="85"/>
      <c r="L40" s="86"/>
      <c r="M40" s="86"/>
      <c r="N40" s="86" t="n">
        <f aca="false">L40*M40</f>
        <v>0</v>
      </c>
      <c r="O40" s="86"/>
      <c r="P40" s="87" t="n">
        <f aca="false">(M40*L40)+O40</f>
        <v>0</v>
      </c>
      <c r="Q40" s="91"/>
    </row>
    <row r="41" customFormat="false" ht="14.25" hidden="false" customHeight="false" outlineLevel="0" collapsed="false">
      <c r="A41" s="77"/>
      <c r="B41" s="78"/>
      <c r="C41" s="79"/>
      <c r="D41" s="80" t="str">
        <f aca="false">_xlfn.IFNA(VLOOKUP(C41,'بيانات الآليات '!A:G,4,FALSE()),"")</f>
        <v/>
      </c>
      <c r="E41" s="81" t="str">
        <f aca="false">_xlfn.IFNA(VLOOKUP(C41,'بيانات الآليات '!A:G,2,FALSE()),"")</f>
        <v/>
      </c>
      <c r="F41" s="81" t="str">
        <f aca="false">_xlfn.IFNA(VLOOKUP(C41,'بيانات الآليات '!A:G,5,FALSE()),"")</f>
        <v/>
      </c>
      <c r="G41" s="82"/>
      <c r="H41" s="83" t="str">
        <f aca="false">_xlfn.IFNA(VLOOKUP(G41,Table14543[],2,FALSE()),"")</f>
        <v/>
      </c>
      <c r="I41" s="84" t="str">
        <f aca="false">_xlfn.IFNA(VLOOKUP(G41,Table14543[],3,FALSE()),"")</f>
        <v/>
      </c>
      <c r="J41" s="83" t="str">
        <f aca="false">CONCATENATE("",G41,""," ",H41," ",I41)</f>
        <v>  </v>
      </c>
      <c r="K41" s="85"/>
      <c r="L41" s="86"/>
      <c r="M41" s="86"/>
      <c r="N41" s="86" t="n">
        <f aca="false">L41*M41</f>
        <v>0</v>
      </c>
      <c r="O41" s="86"/>
      <c r="P41" s="87" t="n">
        <f aca="false">(M41*L41)+O41</f>
        <v>0</v>
      </c>
      <c r="Q41" s="91"/>
    </row>
    <row r="42" customFormat="false" ht="14.25" hidden="false" customHeight="false" outlineLevel="0" collapsed="false">
      <c r="A42" s="77"/>
      <c r="B42" s="78"/>
      <c r="C42" s="79"/>
      <c r="D42" s="80" t="str">
        <f aca="false">_xlfn.IFNA(VLOOKUP(C42,'بيانات الآليات '!A:G,4,FALSE()),"")</f>
        <v/>
      </c>
      <c r="E42" s="81" t="str">
        <f aca="false">_xlfn.IFNA(VLOOKUP(C42,'بيانات الآليات '!A:G,2,FALSE()),"")</f>
        <v/>
      </c>
      <c r="F42" s="81" t="str">
        <f aca="false">_xlfn.IFNA(VLOOKUP(C42,'بيانات الآليات '!A:G,5,FALSE()),"")</f>
        <v/>
      </c>
      <c r="G42" s="82"/>
      <c r="H42" s="83" t="str">
        <f aca="false">_xlfn.IFNA(VLOOKUP(G42,Table14543[],2,FALSE()),"")</f>
        <v/>
      </c>
      <c r="I42" s="84" t="str">
        <f aca="false">_xlfn.IFNA(VLOOKUP(G42,Table14543[],3,FALSE()),"")</f>
        <v/>
      </c>
      <c r="J42" s="83" t="str">
        <f aca="false">CONCATENATE("",G42,""," ",H42," ",I42)</f>
        <v>  </v>
      </c>
      <c r="K42" s="85"/>
      <c r="L42" s="86"/>
      <c r="M42" s="86"/>
      <c r="N42" s="86" t="n">
        <f aca="false">L42*M42</f>
        <v>0</v>
      </c>
      <c r="O42" s="86"/>
      <c r="P42" s="87" t="n">
        <f aca="false">(M42*L42)+O42</f>
        <v>0</v>
      </c>
      <c r="Q42" s="91"/>
    </row>
    <row r="43" customFormat="false" ht="14.25" hidden="false" customHeight="false" outlineLevel="0" collapsed="false">
      <c r="A43" s="77"/>
      <c r="B43" s="78"/>
      <c r="C43" s="79"/>
      <c r="D43" s="80" t="str">
        <f aca="false">_xlfn.IFNA(VLOOKUP(C43,'بيانات الآليات '!A:G,4,FALSE()),"")</f>
        <v/>
      </c>
      <c r="E43" s="81" t="str">
        <f aca="false">_xlfn.IFNA(VLOOKUP(C43,'بيانات الآليات '!A:G,2,FALSE()),"")</f>
        <v/>
      </c>
      <c r="F43" s="81" t="str">
        <f aca="false">_xlfn.IFNA(VLOOKUP(C43,'بيانات الآليات '!A:G,5,FALSE()),"")</f>
        <v/>
      </c>
      <c r="G43" s="82"/>
      <c r="H43" s="83" t="str">
        <f aca="false">_xlfn.IFNA(VLOOKUP(G43,Table14543[],2,FALSE()),"")</f>
        <v/>
      </c>
      <c r="I43" s="84" t="str">
        <f aca="false">_xlfn.IFNA(VLOOKUP(G43,Table14543[],3,FALSE()),"")</f>
        <v/>
      </c>
      <c r="J43" s="83" t="str">
        <f aca="false">CONCATENATE("",G43,""," ",H43," ",I43)</f>
        <v>  </v>
      </c>
      <c r="K43" s="85"/>
      <c r="L43" s="86"/>
      <c r="M43" s="86"/>
      <c r="N43" s="86" t="n">
        <f aca="false">L43*M43</f>
        <v>0</v>
      </c>
      <c r="O43" s="86"/>
      <c r="P43" s="87" t="n">
        <f aca="false">(M43*L43)+O43</f>
        <v>0</v>
      </c>
      <c r="Q43" s="91"/>
    </row>
    <row r="44" customFormat="false" ht="14.25" hidden="false" customHeight="false" outlineLevel="0" collapsed="false">
      <c r="A44" s="77"/>
      <c r="B44" s="78"/>
      <c r="C44" s="79"/>
      <c r="D44" s="80" t="str">
        <f aca="false">_xlfn.IFNA(VLOOKUP(C44,'بيانات الآليات '!A:G,4,FALSE()),"")</f>
        <v/>
      </c>
      <c r="E44" s="81" t="str">
        <f aca="false">_xlfn.IFNA(VLOOKUP(C44,'بيانات الآليات '!A:G,2,FALSE()),"")</f>
        <v/>
      </c>
      <c r="F44" s="81" t="str">
        <f aca="false">_xlfn.IFNA(VLOOKUP(C44,'بيانات الآليات '!A:G,5,FALSE()),"")</f>
        <v/>
      </c>
      <c r="G44" s="82"/>
      <c r="H44" s="83" t="str">
        <f aca="false">_xlfn.IFNA(VLOOKUP(G44,Table14543[],2,FALSE()),"")</f>
        <v/>
      </c>
      <c r="I44" s="84" t="str">
        <f aca="false">_xlfn.IFNA(VLOOKUP(G44,Table14543[],3,FALSE()),"")</f>
        <v/>
      </c>
      <c r="J44" s="83" t="str">
        <f aca="false">CONCATENATE("",G44,""," ",H44," ",I44)</f>
        <v>  </v>
      </c>
      <c r="K44" s="85"/>
      <c r="L44" s="86"/>
      <c r="M44" s="86"/>
      <c r="N44" s="86" t="n">
        <f aca="false">L44*M44</f>
        <v>0</v>
      </c>
      <c r="O44" s="86"/>
      <c r="P44" s="87" t="n">
        <f aca="false">(M44*L44)+O44</f>
        <v>0</v>
      </c>
      <c r="Q44" s="91"/>
    </row>
    <row r="45" customFormat="false" ht="14.25" hidden="false" customHeight="false" outlineLevel="0" collapsed="false">
      <c r="A45" s="77"/>
      <c r="B45" s="78"/>
      <c r="C45" s="79"/>
      <c r="D45" s="80" t="str">
        <f aca="false">_xlfn.IFNA(VLOOKUP(C45,'بيانات الآليات '!A:G,4,FALSE()),"")</f>
        <v/>
      </c>
      <c r="E45" s="81" t="str">
        <f aca="false">_xlfn.IFNA(VLOOKUP(C45,'بيانات الآليات '!A:G,2,FALSE()),"")</f>
        <v/>
      </c>
      <c r="F45" s="81" t="str">
        <f aca="false">_xlfn.IFNA(VLOOKUP(C45,'بيانات الآليات '!A:G,5,FALSE()),"")</f>
        <v/>
      </c>
      <c r="G45" s="82"/>
      <c r="H45" s="83" t="str">
        <f aca="false">_xlfn.IFNA(VLOOKUP(G45,Table14543[],2,FALSE()),"")</f>
        <v/>
      </c>
      <c r="I45" s="84" t="str">
        <f aca="false">_xlfn.IFNA(VLOOKUP(G45,Table14543[],3,FALSE()),"")</f>
        <v/>
      </c>
      <c r="J45" s="83" t="str">
        <f aca="false">CONCATENATE("",G45,""," ",H45," ",I45)</f>
        <v>  </v>
      </c>
      <c r="K45" s="85"/>
      <c r="L45" s="86"/>
      <c r="M45" s="86"/>
      <c r="N45" s="86" t="n">
        <f aca="false">L45*M45</f>
        <v>0</v>
      </c>
      <c r="O45" s="86"/>
      <c r="P45" s="87" t="n">
        <f aca="false">(M45*L45)+O45</f>
        <v>0</v>
      </c>
      <c r="Q45" s="91"/>
    </row>
    <row r="46" customFormat="false" ht="14.25" hidden="false" customHeight="false" outlineLevel="0" collapsed="false">
      <c r="A46" s="77"/>
      <c r="B46" s="78"/>
      <c r="C46" s="79"/>
      <c r="D46" s="80" t="str">
        <f aca="false">_xlfn.IFNA(VLOOKUP(C46,'بيانات الآليات '!A:G,4,FALSE()),"")</f>
        <v/>
      </c>
      <c r="E46" s="81" t="str">
        <f aca="false">_xlfn.IFNA(VLOOKUP(C46,'بيانات الآليات '!A:G,2,FALSE()),"")</f>
        <v/>
      </c>
      <c r="F46" s="81" t="str">
        <f aca="false">_xlfn.IFNA(VLOOKUP(C46,'بيانات الآليات '!A:G,5,FALSE()),"")</f>
        <v/>
      </c>
      <c r="G46" s="82"/>
      <c r="H46" s="83" t="str">
        <f aca="false">_xlfn.IFNA(VLOOKUP(G46,Table14543[],2,FALSE()),"")</f>
        <v/>
      </c>
      <c r="I46" s="84" t="str">
        <f aca="false">_xlfn.IFNA(VLOOKUP(G46,Table14543[],3,FALSE()),"")</f>
        <v/>
      </c>
      <c r="J46" s="83" t="str">
        <f aca="false">CONCATENATE("",G46,""," ",H46," ",I46)</f>
        <v>  </v>
      </c>
      <c r="K46" s="85"/>
      <c r="L46" s="86"/>
      <c r="M46" s="86"/>
      <c r="N46" s="86" t="n">
        <f aca="false">L46*M46</f>
        <v>0</v>
      </c>
      <c r="O46" s="86"/>
      <c r="P46" s="87" t="n">
        <f aca="false">(M46*L46)+O46</f>
        <v>0</v>
      </c>
      <c r="Q46" s="91"/>
    </row>
    <row r="47" customFormat="false" ht="14.25" hidden="false" customHeight="false" outlineLevel="0" collapsed="false">
      <c r="A47" s="77"/>
      <c r="B47" s="78"/>
      <c r="C47" s="79"/>
      <c r="D47" s="80" t="str">
        <f aca="false">_xlfn.IFNA(VLOOKUP(C47,'بيانات الآليات '!A:G,4,FALSE()),"")</f>
        <v/>
      </c>
      <c r="E47" s="81" t="str">
        <f aca="false">_xlfn.IFNA(VLOOKUP(C47,'بيانات الآليات '!A:G,2,FALSE()),"")</f>
        <v/>
      </c>
      <c r="F47" s="81" t="str">
        <f aca="false">_xlfn.IFNA(VLOOKUP(C47,'بيانات الآليات '!A:G,5,FALSE()),"")</f>
        <v/>
      </c>
      <c r="G47" s="82"/>
      <c r="H47" s="83" t="str">
        <f aca="false">_xlfn.IFNA(VLOOKUP(G47,Table14543[],2,FALSE()),"")</f>
        <v/>
      </c>
      <c r="I47" s="84" t="str">
        <f aca="false">_xlfn.IFNA(VLOOKUP(G47,Table14543[],3,FALSE()),"")</f>
        <v/>
      </c>
      <c r="J47" s="83" t="str">
        <f aca="false">CONCATENATE("",G47,""," ",H47," ",I47)</f>
        <v>  </v>
      </c>
      <c r="K47" s="85"/>
      <c r="L47" s="86"/>
      <c r="M47" s="86"/>
      <c r="N47" s="86" t="n">
        <f aca="false">L47*M47</f>
        <v>0</v>
      </c>
      <c r="O47" s="86"/>
      <c r="P47" s="87" t="n">
        <f aca="false">(M47*L47)+O47</f>
        <v>0</v>
      </c>
      <c r="Q47" s="91"/>
    </row>
    <row r="48" customFormat="false" ht="14.25" hidden="false" customHeight="false" outlineLevel="0" collapsed="false">
      <c r="A48" s="77"/>
      <c r="B48" s="78"/>
      <c r="C48" s="79"/>
      <c r="D48" s="80" t="str">
        <f aca="false">_xlfn.IFNA(VLOOKUP(C48,'بيانات الآليات '!A:G,4,FALSE()),"")</f>
        <v/>
      </c>
      <c r="E48" s="81" t="str">
        <f aca="false">_xlfn.IFNA(VLOOKUP(C48,'بيانات الآليات '!A:G,2,FALSE()),"")</f>
        <v/>
      </c>
      <c r="F48" s="81" t="str">
        <f aca="false">_xlfn.IFNA(VLOOKUP(C48,'بيانات الآليات '!A:G,5,FALSE()),"")</f>
        <v/>
      </c>
      <c r="G48" s="82"/>
      <c r="H48" s="83" t="str">
        <f aca="false">_xlfn.IFNA(VLOOKUP(G48,Table14543[],2,FALSE()),"")</f>
        <v/>
      </c>
      <c r="I48" s="84" t="str">
        <f aca="false">_xlfn.IFNA(VLOOKUP(G48,Table14543[],3,FALSE()),"")</f>
        <v/>
      </c>
      <c r="J48" s="83" t="str">
        <f aca="false">CONCATENATE("",G48,""," ",H48," ",I48)</f>
        <v>  </v>
      </c>
      <c r="K48" s="85"/>
      <c r="L48" s="86"/>
      <c r="M48" s="86"/>
      <c r="N48" s="86" t="n">
        <f aca="false">L48*M48</f>
        <v>0</v>
      </c>
      <c r="O48" s="86"/>
      <c r="P48" s="87" t="n">
        <f aca="false">(M48*L48)+O48</f>
        <v>0</v>
      </c>
      <c r="Q48" s="91"/>
    </row>
    <row r="49" customFormat="false" ht="14.25" hidden="false" customHeight="false" outlineLevel="0" collapsed="false">
      <c r="A49" s="77"/>
      <c r="B49" s="78"/>
      <c r="C49" s="79"/>
      <c r="D49" s="80" t="str">
        <f aca="false">_xlfn.IFNA(VLOOKUP(C49,'بيانات الآليات '!A:G,4,FALSE()),"")</f>
        <v/>
      </c>
      <c r="E49" s="81" t="str">
        <f aca="false">_xlfn.IFNA(VLOOKUP(C49,'بيانات الآليات '!A:G,2,FALSE()),"")</f>
        <v/>
      </c>
      <c r="F49" s="81" t="str">
        <f aca="false">_xlfn.IFNA(VLOOKUP(C49,'بيانات الآليات '!A:G,5,FALSE()),"")</f>
        <v/>
      </c>
      <c r="G49" s="82"/>
      <c r="H49" s="83" t="str">
        <f aca="false">_xlfn.IFNA(VLOOKUP(G49,Table14543[],2,FALSE()),"")</f>
        <v/>
      </c>
      <c r="I49" s="84" t="str">
        <f aca="false">_xlfn.IFNA(VLOOKUP(G49,Table14543[],3,FALSE()),"")</f>
        <v/>
      </c>
      <c r="J49" s="83" t="str">
        <f aca="false">CONCATENATE("",G49,""," ",H49," ",I49)</f>
        <v>  </v>
      </c>
      <c r="K49" s="85"/>
      <c r="L49" s="86"/>
      <c r="M49" s="86"/>
      <c r="N49" s="86" t="n">
        <f aca="false">L49*M49</f>
        <v>0</v>
      </c>
      <c r="O49" s="86"/>
      <c r="P49" s="87" t="n">
        <f aca="false">(M49*L49)+O49</f>
        <v>0</v>
      </c>
      <c r="Q49" s="91"/>
    </row>
    <row r="50" customFormat="false" ht="14.25" hidden="false" customHeight="false" outlineLevel="0" collapsed="false">
      <c r="A50" s="77"/>
      <c r="B50" s="78"/>
      <c r="C50" s="79"/>
      <c r="D50" s="80" t="str">
        <f aca="false">_xlfn.IFNA(VLOOKUP(C50,'بيانات الآليات '!A:G,4,FALSE()),"")</f>
        <v/>
      </c>
      <c r="E50" s="81" t="str">
        <f aca="false">_xlfn.IFNA(VLOOKUP(C50,'بيانات الآليات '!A:G,2,FALSE()),"")</f>
        <v/>
      </c>
      <c r="F50" s="81" t="str">
        <f aca="false">_xlfn.IFNA(VLOOKUP(C50,'بيانات الآليات '!A:G,5,FALSE()),"")</f>
        <v/>
      </c>
      <c r="G50" s="82"/>
      <c r="H50" s="83" t="str">
        <f aca="false">_xlfn.IFNA(VLOOKUP(G50,Table14543[],2,FALSE()),"")</f>
        <v/>
      </c>
      <c r="I50" s="84" t="str">
        <f aca="false">_xlfn.IFNA(VLOOKUP(G50,Table14543[],3,FALSE()),"")</f>
        <v/>
      </c>
      <c r="J50" s="83" t="str">
        <f aca="false">CONCATENATE("",G50,""," ",H50," ",I50)</f>
        <v>  </v>
      </c>
      <c r="K50" s="85"/>
      <c r="L50" s="86"/>
      <c r="M50" s="86"/>
      <c r="N50" s="86" t="n">
        <f aca="false">L50*M50</f>
        <v>0</v>
      </c>
      <c r="O50" s="86"/>
      <c r="P50" s="87" t="n">
        <f aca="false">(M50*L50)+O50</f>
        <v>0</v>
      </c>
      <c r="Q50" s="91"/>
    </row>
    <row r="51" customFormat="false" ht="14.25" hidden="false" customHeight="false" outlineLevel="0" collapsed="false">
      <c r="A51" s="77"/>
      <c r="B51" s="78"/>
      <c r="C51" s="79"/>
      <c r="D51" s="80" t="str">
        <f aca="false">_xlfn.IFNA(VLOOKUP(C51,'بيانات الآليات '!A:G,4,FALSE()),"")</f>
        <v/>
      </c>
      <c r="E51" s="81" t="str">
        <f aca="false">_xlfn.IFNA(VLOOKUP(C51,'بيانات الآليات '!A:G,2,FALSE()),"")</f>
        <v/>
      </c>
      <c r="F51" s="81" t="str">
        <f aca="false">_xlfn.IFNA(VLOOKUP(C51,'بيانات الآليات '!A:G,5,FALSE()),"")</f>
        <v/>
      </c>
      <c r="G51" s="82"/>
      <c r="H51" s="83" t="str">
        <f aca="false">_xlfn.IFNA(VLOOKUP(G51,Table14543[],2,FALSE()),"")</f>
        <v/>
      </c>
      <c r="I51" s="84" t="str">
        <f aca="false">_xlfn.IFNA(VLOOKUP(G51,Table14543[],3,FALSE()),"")</f>
        <v/>
      </c>
      <c r="J51" s="83" t="str">
        <f aca="false">CONCATENATE("",G51,""," ",H51," ",I51)</f>
        <v>  </v>
      </c>
      <c r="K51" s="85"/>
      <c r="L51" s="86"/>
      <c r="M51" s="86"/>
      <c r="N51" s="86" t="n">
        <f aca="false">L51*M51</f>
        <v>0</v>
      </c>
      <c r="O51" s="86"/>
      <c r="P51" s="87" t="n">
        <f aca="false">(M51*L51)+O51</f>
        <v>0</v>
      </c>
      <c r="Q51" s="91"/>
    </row>
    <row r="52" customFormat="false" ht="14.25" hidden="false" customHeight="false" outlineLevel="0" collapsed="false">
      <c r="A52" s="77"/>
      <c r="B52" s="78"/>
      <c r="C52" s="79"/>
      <c r="D52" s="80" t="str">
        <f aca="false">_xlfn.IFNA(VLOOKUP(C52,'بيانات الآليات '!A:G,4,FALSE()),"")</f>
        <v/>
      </c>
      <c r="E52" s="81" t="str">
        <f aca="false">_xlfn.IFNA(VLOOKUP(C52,'بيانات الآليات '!A:G,2,FALSE()),"")</f>
        <v/>
      </c>
      <c r="F52" s="81" t="str">
        <f aca="false">_xlfn.IFNA(VLOOKUP(C52,'بيانات الآليات '!A:G,5,FALSE()),"")</f>
        <v/>
      </c>
      <c r="G52" s="82"/>
      <c r="H52" s="83" t="str">
        <f aca="false">_xlfn.IFNA(VLOOKUP(G52,Table14543[],2,FALSE()),"")</f>
        <v/>
      </c>
      <c r="I52" s="84" t="str">
        <f aca="false">_xlfn.IFNA(VLOOKUP(G52,Table14543[],3,FALSE()),"")</f>
        <v/>
      </c>
      <c r="J52" s="83" t="str">
        <f aca="false">CONCATENATE("",G52,""," ",H52," ",I52)</f>
        <v>  </v>
      </c>
      <c r="K52" s="85"/>
      <c r="L52" s="86"/>
      <c r="M52" s="86"/>
      <c r="N52" s="86" t="n">
        <f aca="false">L52*M52</f>
        <v>0</v>
      </c>
      <c r="O52" s="86"/>
      <c r="P52" s="87" t="n">
        <f aca="false">(M52*L52)+O52</f>
        <v>0</v>
      </c>
      <c r="Q52" s="91"/>
    </row>
    <row r="53" customFormat="false" ht="14.25" hidden="false" customHeight="false" outlineLevel="0" collapsed="false">
      <c r="A53" s="77"/>
      <c r="B53" s="78"/>
      <c r="C53" s="79"/>
      <c r="D53" s="80" t="str">
        <f aca="false">_xlfn.IFNA(VLOOKUP(C53,'بيانات الآليات '!A:G,4,FALSE()),"")</f>
        <v/>
      </c>
      <c r="E53" s="81" t="str">
        <f aca="false">_xlfn.IFNA(VLOOKUP(C53,'بيانات الآليات '!A:G,2,FALSE()),"")</f>
        <v/>
      </c>
      <c r="F53" s="81" t="str">
        <f aca="false">_xlfn.IFNA(VLOOKUP(C53,'بيانات الآليات '!A:G,5,FALSE()),"")</f>
        <v/>
      </c>
      <c r="G53" s="82"/>
      <c r="H53" s="83" t="str">
        <f aca="false">_xlfn.IFNA(VLOOKUP(G53,Table14543[],2,FALSE()),"")</f>
        <v/>
      </c>
      <c r="I53" s="84" t="str">
        <f aca="false">_xlfn.IFNA(VLOOKUP(G53,Table14543[],3,FALSE()),"")</f>
        <v/>
      </c>
      <c r="J53" s="83" t="str">
        <f aca="false">CONCATENATE("",G53,""," ",H53," ",I53)</f>
        <v>  </v>
      </c>
      <c r="K53" s="85"/>
      <c r="L53" s="86"/>
      <c r="M53" s="86"/>
      <c r="N53" s="86" t="n">
        <f aca="false">L53*M53</f>
        <v>0</v>
      </c>
      <c r="O53" s="86"/>
      <c r="P53" s="87" t="n">
        <f aca="false">(M53*L53)+O53</f>
        <v>0</v>
      </c>
      <c r="Q53" s="91"/>
    </row>
    <row r="54" customFormat="false" ht="14.25" hidden="false" customHeight="false" outlineLevel="0" collapsed="false">
      <c r="A54" s="77"/>
      <c r="B54" s="78"/>
      <c r="C54" s="79"/>
      <c r="D54" s="80" t="str">
        <f aca="false">_xlfn.IFNA(VLOOKUP(C54,'بيانات الآليات '!A:G,4,FALSE()),"")</f>
        <v/>
      </c>
      <c r="E54" s="81" t="str">
        <f aca="false">_xlfn.IFNA(VLOOKUP(C54,'بيانات الآليات '!A:G,2,FALSE()),"")</f>
        <v/>
      </c>
      <c r="F54" s="81" t="str">
        <f aca="false">_xlfn.IFNA(VLOOKUP(C54,'بيانات الآليات '!A:G,5,FALSE()),"")</f>
        <v/>
      </c>
      <c r="G54" s="82"/>
      <c r="H54" s="83" t="str">
        <f aca="false">_xlfn.IFNA(VLOOKUP(G54,Table14543[],2,FALSE()),"")</f>
        <v/>
      </c>
      <c r="I54" s="84" t="str">
        <f aca="false">_xlfn.IFNA(VLOOKUP(G54,Table14543[],3,FALSE()),"")</f>
        <v/>
      </c>
      <c r="J54" s="83" t="str">
        <f aca="false">CONCATENATE("",G54,""," ",H54," ",I54)</f>
        <v>  </v>
      </c>
      <c r="K54" s="85"/>
      <c r="L54" s="86"/>
      <c r="M54" s="86"/>
      <c r="N54" s="86" t="n">
        <f aca="false">L54*M54</f>
        <v>0</v>
      </c>
      <c r="O54" s="86"/>
      <c r="P54" s="87" t="n">
        <f aca="false">(M54*L54)+O54</f>
        <v>0</v>
      </c>
      <c r="Q54" s="91"/>
    </row>
    <row r="55" customFormat="false" ht="14.25" hidden="false" customHeight="false" outlineLevel="0" collapsed="false">
      <c r="A55" s="77"/>
      <c r="B55" s="78"/>
      <c r="C55" s="79"/>
      <c r="D55" s="80" t="str">
        <f aca="false">_xlfn.IFNA(VLOOKUP(C55,'بيانات الآليات '!A:G,4,FALSE()),"")</f>
        <v/>
      </c>
      <c r="E55" s="81" t="str">
        <f aca="false">_xlfn.IFNA(VLOOKUP(C55,'بيانات الآليات '!A:G,2,FALSE()),"")</f>
        <v/>
      </c>
      <c r="F55" s="81" t="str">
        <f aca="false">_xlfn.IFNA(VLOOKUP(C55,'بيانات الآليات '!A:G,5,FALSE()),"")</f>
        <v/>
      </c>
      <c r="G55" s="82"/>
      <c r="H55" s="83" t="str">
        <f aca="false">_xlfn.IFNA(VLOOKUP(G55,Table14543[],2,FALSE()),"")</f>
        <v/>
      </c>
      <c r="I55" s="84" t="str">
        <f aca="false">_xlfn.IFNA(VLOOKUP(G55,Table14543[],3,FALSE()),"")</f>
        <v/>
      </c>
      <c r="J55" s="83" t="str">
        <f aca="false">CONCATENATE("",G55,""," ",H55," ",I55)</f>
        <v>  </v>
      </c>
      <c r="K55" s="85"/>
      <c r="L55" s="86"/>
      <c r="M55" s="86"/>
      <c r="N55" s="86" t="n">
        <f aca="false">L55*M55</f>
        <v>0</v>
      </c>
      <c r="O55" s="86"/>
      <c r="P55" s="87" t="n">
        <f aca="false">(M55*L55)+O55</f>
        <v>0</v>
      </c>
      <c r="Q55" s="91"/>
    </row>
    <row r="56" customFormat="false" ht="14.25" hidden="false" customHeight="false" outlineLevel="0" collapsed="false">
      <c r="A56" s="77"/>
      <c r="B56" s="78"/>
      <c r="C56" s="79"/>
      <c r="D56" s="80" t="str">
        <f aca="false">_xlfn.IFNA(VLOOKUP(C56,'بيانات الآليات '!A:G,4,FALSE()),"")</f>
        <v/>
      </c>
      <c r="E56" s="81" t="str">
        <f aca="false">_xlfn.IFNA(VLOOKUP(C56,'بيانات الآليات '!A:G,2,FALSE()),"")</f>
        <v/>
      </c>
      <c r="F56" s="81" t="str">
        <f aca="false">_xlfn.IFNA(VLOOKUP(C56,'بيانات الآليات '!A:G,5,FALSE()),"")</f>
        <v/>
      </c>
      <c r="G56" s="82"/>
      <c r="H56" s="83" t="str">
        <f aca="false">_xlfn.IFNA(VLOOKUP(G56,Table14543[],2,FALSE()),"")</f>
        <v/>
      </c>
      <c r="I56" s="84" t="str">
        <f aca="false">_xlfn.IFNA(VLOOKUP(G56,Table14543[],3,FALSE()),"")</f>
        <v/>
      </c>
      <c r="J56" s="83" t="str">
        <f aca="false">CONCATENATE("",G56,""," ",H56," ",I56)</f>
        <v>  </v>
      </c>
      <c r="K56" s="85"/>
      <c r="L56" s="86"/>
      <c r="M56" s="86"/>
      <c r="N56" s="86" t="n">
        <f aca="false">L56*M56</f>
        <v>0</v>
      </c>
      <c r="O56" s="86"/>
      <c r="P56" s="87" t="n">
        <f aca="false">(M56*L56)+O56</f>
        <v>0</v>
      </c>
      <c r="Q56" s="91"/>
    </row>
    <row r="57" customFormat="false" ht="14.25" hidden="false" customHeight="false" outlineLevel="0" collapsed="false">
      <c r="A57" s="77"/>
      <c r="B57" s="78"/>
      <c r="C57" s="79"/>
      <c r="D57" s="80" t="str">
        <f aca="false">_xlfn.IFNA(VLOOKUP(C57,'بيانات الآليات '!A:G,4,FALSE()),"")</f>
        <v/>
      </c>
      <c r="E57" s="81" t="str">
        <f aca="false">_xlfn.IFNA(VLOOKUP(C57,'بيانات الآليات '!A:G,2,FALSE()),"")</f>
        <v/>
      </c>
      <c r="F57" s="81" t="str">
        <f aca="false">_xlfn.IFNA(VLOOKUP(C57,'بيانات الآليات '!A:G,5,FALSE()),"")</f>
        <v/>
      </c>
      <c r="G57" s="82"/>
      <c r="H57" s="83" t="str">
        <f aca="false">_xlfn.IFNA(VLOOKUP(G57,Table14543[],2,FALSE()),"")</f>
        <v/>
      </c>
      <c r="I57" s="84" t="str">
        <f aca="false">_xlfn.IFNA(VLOOKUP(G57,Table14543[],3,FALSE()),"")</f>
        <v/>
      </c>
      <c r="J57" s="83" t="str">
        <f aca="false">CONCATENATE("",G57,""," ",H57," ",I57)</f>
        <v>  </v>
      </c>
      <c r="K57" s="85"/>
      <c r="L57" s="86"/>
      <c r="M57" s="86"/>
      <c r="N57" s="86" t="n">
        <f aca="false">L57*M57</f>
        <v>0</v>
      </c>
      <c r="O57" s="86"/>
      <c r="P57" s="87" t="n">
        <f aca="false">(M57*L57)+O57</f>
        <v>0</v>
      </c>
      <c r="Q57" s="91"/>
    </row>
    <row r="58" customFormat="false" ht="14.25" hidden="false" customHeight="false" outlineLevel="0" collapsed="false">
      <c r="A58" s="77"/>
      <c r="B58" s="78"/>
      <c r="C58" s="79"/>
      <c r="D58" s="80" t="str">
        <f aca="false">_xlfn.IFNA(VLOOKUP(C58,'بيانات الآليات '!A:G,4,FALSE()),"")</f>
        <v/>
      </c>
      <c r="E58" s="81" t="str">
        <f aca="false">_xlfn.IFNA(VLOOKUP(C58,'بيانات الآليات '!A:G,2,FALSE()),"")</f>
        <v/>
      </c>
      <c r="F58" s="81" t="str">
        <f aca="false">_xlfn.IFNA(VLOOKUP(C58,'بيانات الآليات '!A:G,5,FALSE()),"")</f>
        <v/>
      </c>
      <c r="G58" s="82"/>
      <c r="H58" s="83" t="str">
        <f aca="false">_xlfn.IFNA(VLOOKUP(G58,Table14543[],2,FALSE()),"")</f>
        <v/>
      </c>
      <c r="I58" s="84" t="str">
        <f aca="false">_xlfn.IFNA(VLOOKUP(G58,Table14543[],3,FALSE()),"")</f>
        <v/>
      </c>
      <c r="J58" s="83" t="str">
        <f aca="false">CONCATENATE("",G58,""," ",H58," ",I58)</f>
        <v>  </v>
      </c>
      <c r="K58" s="85"/>
      <c r="L58" s="86"/>
      <c r="M58" s="86"/>
      <c r="N58" s="86" t="n">
        <f aca="false">L58*M58</f>
        <v>0</v>
      </c>
      <c r="O58" s="86"/>
      <c r="P58" s="87" t="n">
        <f aca="false">(M58*L58)+O58</f>
        <v>0</v>
      </c>
      <c r="Q58" s="91"/>
    </row>
    <row r="59" customFormat="false" ht="14.25" hidden="false" customHeight="false" outlineLevel="0" collapsed="false">
      <c r="A59" s="77"/>
      <c r="B59" s="78"/>
      <c r="C59" s="79"/>
      <c r="D59" s="80" t="str">
        <f aca="false">_xlfn.IFNA(VLOOKUP(C59,'بيانات الآليات '!A:G,4,FALSE()),"")</f>
        <v/>
      </c>
      <c r="E59" s="81" t="str">
        <f aca="false">_xlfn.IFNA(VLOOKUP(C59,'بيانات الآليات '!A:G,2,FALSE()),"")</f>
        <v/>
      </c>
      <c r="F59" s="81" t="str">
        <f aca="false">_xlfn.IFNA(VLOOKUP(C59,'بيانات الآليات '!A:G,5,FALSE()),"")</f>
        <v/>
      </c>
      <c r="G59" s="82"/>
      <c r="H59" s="83" t="str">
        <f aca="false">_xlfn.IFNA(VLOOKUP(G59,Table14543[],2,FALSE()),"")</f>
        <v/>
      </c>
      <c r="I59" s="84" t="str">
        <f aca="false">_xlfn.IFNA(VLOOKUP(G59,Table14543[],3,FALSE()),"")</f>
        <v/>
      </c>
      <c r="J59" s="83" t="str">
        <f aca="false">CONCATENATE("",G59,""," ",H59," ",I59)</f>
        <v>  </v>
      </c>
      <c r="K59" s="85"/>
      <c r="L59" s="86"/>
      <c r="M59" s="86"/>
      <c r="N59" s="86" t="n">
        <f aca="false">L59*M59</f>
        <v>0</v>
      </c>
      <c r="O59" s="86"/>
      <c r="P59" s="87" t="n">
        <f aca="false">(M59*L59)+O59</f>
        <v>0</v>
      </c>
      <c r="Q59" s="91"/>
    </row>
    <row r="60" customFormat="false" ht="14.25" hidden="false" customHeight="false" outlineLevel="0" collapsed="false">
      <c r="A60" s="77"/>
      <c r="B60" s="78"/>
      <c r="C60" s="79"/>
      <c r="D60" s="80" t="str">
        <f aca="false">_xlfn.IFNA(VLOOKUP(C60,'بيانات الآليات '!A:G,4,FALSE()),"")</f>
        <v/>
      </c>
      <c r="E60" s="81" t="str">
        <f aca="false">_xlfn.IFNA(VLOOKUP(C60,'بيانات الآليات '!A:G,2,FALSE()),"")</f>
        <v/>
      </c>
      <c r="F60" s="81" t="str">
        <f aca="false">_xlfn.IFNA(VLOOKUP(C60,'بيانات الآليات '!A:G,5,FALSE()),"")</f>
        <v/>
      </c>
      <c r="G60" s="82"/>
      <c r="H60" s="83" t="str">
        <f aca="false">_xlfn.IFNA(VLOOKUP(G60,Table14543[],2,FALSE()),"")</f>
        <v/>
      </c>
      <c r="I60" s="84" t="str">
        <f aca="false">_xlfn.IFNA(VLOOKUP(G60,Table14543[],3,FALSE()),"")</f>
        <v/>
      </c>
      <c r="J60" s="83" t="str">
        <f aca="false">CONCATENATE("",G60,""," ",H60," ",I60)</f>
        <v>  </v>
      </c>
      <c r="K60" s="85"/>
      <c r="L60" s="86"/>
      <c r="M60" s="86"/>
      <c r="N60" s="86" t="n">
        <f aca="false">L60*M60</f>
        <v>0</v>
      </c>
      <c r="O60" s="86"/>
      <c r="P60" s="87" t="n">
        <f aca="false">(M60*L60)+O60</f>
        <v>0</v>
      </c>
      <c r="Q60" s="91"/>
    </row>
    <row r="61" customFormat="false" ht="14.25" hidden="false" customHeight="false" outlineLevel="0" collapsed="false">
      <c r="A61" s="77"/>
      <c r="B61" s="78"/>
      <c r="C61" s="79"/>
      <c r="D61" s="80" t="str">
        <f aca="false">_xlfn.IFNA(VLOOKUP(C61,'بيانات الآليات '!A:G,4,FALSE()),"")</f>
        <v/>
      </c>
      <c r="E61" s="81" t="str">
        <f aca="false">_xlfn.IFNA(VLOOKUP(C61,'بيانات الآليات '!A:G,2,FALSE()),"")</f>
        <v/>
      </c>
      <c r="F61" s="81" t="str">
        <f aca="false">_xlfn.IFNA(VLOOKUP(C61,'بيانات الآليات '!A:G,5,FALSE()),"")</f>
        <v/>
      </c>
      <c r="G61" s="82"/>
      <c r="H61" s="83" t="str">
        <f aca="false">_xlfn.IFNA(VLOOKUP(G61,Table14543[],2,FALSE()),"")</f>
        <v/>
      </c>
      <c r="I61" s="84" t="str">
        <f aca="false">_xlfn.IFNA(VLOOKUP(G61,Table14543[],3,FALSE()),"")</f>
        <v/>
      </c>
      <c r="J61" s="83" t="str">
        <f aca="false">CONCATENATE("",G61,""," ",H61," ",I61)</f>
        <v>  </v>
      </c>
      <c r="K61" s="85"/>
      <c r="L61" s="86"/>
      <c r="M61" s="86"/>
      <c r="N61" s="86" t="n">
        <f aca="false">L61*M61</f>
        <v>0</v>
      </c>
      <c r="O61" s="86"/>
      <c r="P61" s="87" t="n">
        <f aca="false">(M61*L61)+O61</f>
        <v>0</v>
      </c>
      <c r="Q61" s="91"/>
    </row>
    <row r="62" customFormat="false" ht="14.25" hidden="false" customHeight="false" outlineLevel="0" collapsed="false">
      <c r="A62" s="77"/>
      <c r="B62" s="78"/>
      <c r="C62" s="79"/>
      <c r="D62" s="80" t="str">
        <f aca="false">_xlfn.IFNA(VLOOKUP(C62,'بيانات الآليات '!A:G,4,FALSE()),"")</f>
        <v/>
      </c>
      <c r="E62" s="81" t="str">
        <f aca="false">_xlfn.IFNA(VLOOKUP(C62,'بيانات الآليات '!A:G,2,FALSE()),"")</f>
        <v/>
      </c>
      <c r="F62" s="81" t="str">
        <f aca="false">_xlfn.IFNA(VLOOKUP(C62,'بيانات الآليات '!A:G,5,FALSE()),"")</f>
        <v/>
      </c>
      <c r="G62" s="82"/>
      <c r="H62" s="83" t="str">
        <f aca="false">_xlfn.IFNA(VLOOKUP(G62,Table14543[],2,FALSE()),"")</f>
        <v/>
      </c>
      <c r="I62" s="84" t="str">
        <f aca="false">_xlfn.IFNA(VLOOKUP(G62,Table14543[],3,FALSE()),"")</f>
        <v/>
      </c>
      <c r="J62" s="83" t="str">
        <f aca="false">CONCATENATE("",G62,""," ",H62," ",I62)</f>
        <v>  </v>
      </c>
      <c r="K62" s="85"/>
      <c r="L62" s="86"/>
      <c r="M62" s="86"/>
      <c r="N62" s="86" t="n">
        <f aca="false">L62*M62</f>
        <v>0</v>
      </c>
      <c r="O62" s="86"/>
      <c r="P62" s="87" t="n">
        <f aca="false">(M62*L62)+O62</f>
        <v>0</v>
      </c>
      <c r="Q62" s="91"/>
    </row>
    <row r="63" customFormat="false" ht="14.25" hidden="false" customHeight="false" outlineLevel="0" collapsed="false">
      <c r="A63" s="77"/>
      <c r="B63" s="78"/>
      <c r="C63" s="79"/>
      <c r="D63" s="80" t="str">
        <f aca="false">_xlfn.IFNA(VLOOKUP(C63,'بيانات الآليات '!A:G,4,FALSE()),"")</f>
        <v/>
      </c>
      <c r="E63" s="81" t="str">
        <f aca="false">_xlfn.IFNA(VLOOKUP(C63,'بيانات الآليات '!A:G,2,FALSE()),"")</f>
        <v/>
      </c>
      <c r="F63" s="81" t="str">
        <f aca="false">_xlfn.IFNA(VLOOKUP(C63,'بيانات الآليات '!A:G,5,FALSE()),"")</f>
        <v/>
      </c>
      <c r="G63" s="82"/>
      <c r="H63" s="83" t="str">
        <f aca="false">_xlfn.IFNA(VLOOKUP(G63,Table14543[],2,FALSE()),"")</f>
        <v/>
      </c>
      <c r="I63" s="84" t="str">
        <f aca="false">_xlfn.IFNA(VLOOKUP(G63,Table14543[],3,FALSE()),"")</f>
        <v/>
      </c>
      <c r="J63" s="83" t="str">
        <f aca="false">CONCATENATE("",G63,""," ",H63," ",I63)</f>
        <v>  </v>
      </c>
      <c r="K63" s="85"/>
      <c r="L63" s="86"/>
      <c r="M63" s="86"/>
      <c r="N63" s="86" t="n">
        <f aca="false">L63*M63</f>
        <v>0</v>
      </c>
      <c r="O63" s="86"/>
      <c r="P63" s="87" t="n">
        <f aca="false">(M63*L63)+O63</f>
        <v>0</v>
      </c>
      <c r="Q63" s="91"/>
    </row>
    <row r="64" customFormat="false" ht="14.25" hidden="false" customHeight="false" outlineLevel="0" collapsed="false">
      <c r="A64" s="77"/>
      <c r="B64" s="78"/>
      <c r="C64" s="79"/>
      <c r="D64" s="80" t="str">
        <f aca="false">_xlfn.IFNA(VLOOKUP(C64,'بيانات الآليات '!A:G,4,FALSE()),"")</f>
        <v/>
      </c>
      <c r="E64" s="81" t="str">
        <f aca="false">_xlfn.IFNA(VLOOKUP(C64,'بيانات الآليات '!A:G,2,FALSE()),"")</f>
        <v/>
      </c>
      <c r="F64" s="81" t="str">
        <f aca="false">_xlfn.IFNA(VLOOKUP(C64,'بيانات الآليات '!A:G,5,FALSE()),"")</f>
        <v/>
      </c>
      <c r="G64" s="82"/>
      <c r="H64" s="83" t="str">
        <f aca="false">_xlfn.IFNA(VLOOKUP(G64,Table14543[],2,FALSE()),"")</f>
        <v/>
      </c>
      <c r="I64" s="84" t="str">
        <f aca="false">_xlfn.IFNA(VLOOKUP(G64,Table14543[],3,FALSE()),"")</f>
        <v/>
      </c>
      <c r="J64" s="83" t="str">
        <f aca="false">CONCATENATE("",G64,""," ",H64," ",I64)</f>
        <v>  </v>
      </c>
      <c r="K64" s="85"/>
      <c r="L64" s="86"/>
      <c r="M64" s="86"/>
      <c r="N64" s="86" t="n">
        <f aca="false">L64*M64</f>
        <v>0</v>
      </c>
      <c r="O64" s="86"/>
      <c r="P64" s="87" t="n">
        <f aca="false">(M64*L64)+O64</f>
        <v>0</v>
      </c>
      <c r="Q64" s="91"/>
    </row>
    <row r="65" customFormat="false" ht="14.25" hidden="false" customHeight="false" outlineLevel="0" collapsed="false">
      <c r="A65" s="77"/>
      <c r="B65" s="78"/>
      <c r="C65" s="79"/>
      <c r="D65" s="80" t="str">
        <f aca="false">_xlfn.IFNA(VLOOKUP(C65,'بيانات الآليات '!A:G,4,FALSE()),"")</f>
        <v/>
      </c>
      <c r="E65" s="81" t="str">
        <f aca="false">_xlfn.IFNA(VLOOKUP(C65,'بيانات الآليات '!A:G,2,FALSE()),"")</f>
        <v/>
      </c>
      <c r="F65" s="81" t="str">
        <f aca="false">_xlfn.IFNA(VLOOKUP(C65,'بيانات الآليات '!A:G,5,FALSE()),"")</f>
        <v/>
      </c>
      <c r="G65" s="82"/>
      <c r="H65" s="83" t="str">
        <f aca="false">_xlfn.IFNA(VLOOKUP(G65,Table14543[],2,FALSE()),"")</f>
        <v/>
      </c>
      <c r="I65" s="84" t="str">
        <f aca="false">_xlfn.IFNA(VLOOKUP(G65,Table14543[],3,FALSE()),"")</f>
        <v/>
      </c>
      <c r="J65" s="83" t="str">
        <f aca="false">CONCATENATE("",G65,""," ",H65," ",I65)</f>
        <v>  </v>
      </c>
      <c r="K65" s="85"/>
      <c r="L65" s="86"/>
      <c r="M65" s="86"/>
      <c r="N65" s="86" t="n">
        <f aca="false">L65*M65</f>
        <v>0</v>
      </c>
      <c r="O65" s="86"/>
      <c r="P65" s="87" t="n">
        <f aca="false">(M65*L65)+O65</f>
        <v>0</v>
      </c>
      <c r="Q65" s="91"/>
    </row>
    <row r="66" customFormat="false" ht="14.25" hidden="false" customHeight="false" outlineLevel="0" collapsed="false">
      <c r="A66" s="77"/>
      <c r="B66" s="78"/>
      <c r="C66" s="79"/>
      <c r="D66" s="80" t="str">
        <f aca="false">_xlfn.IFNA(VLOOKUP(C66,'بيانات الآليات '!A:G,4,FALSE()),"")</f>
        <v/>
      </c>
      <c r="E66" s="81" t="str">
        <f aca="false">_xlfn.IFNA(VLOOKUP(C66,'بيانات الآليات '!A:G,2,FALSE()),"")</f>
        <v/>
      </c>
      <c r="F66" s="81" t="str">
        <f aca="false">_xlfn.IFNA(VLOOKUP(C66,'بيانات الآليات '!A:G,5,FALSE()),"")</f>
        <v/>
      </c>
      <c r="G66" s="82"/>
      <c r="H66" s="83" t="str">
        <f aca="false">_xlfn.IFNA(VLOOKUP(G66,Table14543[],2,FALSE()),"")</f>
        <v/>
      </c>
      <c r="I66" s="84" t="str">
        <f aca="false">_xlfn.IFNA(VLOOKUP(G66,Table14543[],3,FALSE()),"")</f>
        <v/>
      </c>
      <c r="J66" s="83" t="str">
        <f aca="false">CONCATENATE("",G66,""," ",H66," ",I66)</f>
        <v>  </v>
      </c>
      <c r="K66" s="85"/>
      <c r="L66" s="86"/>
      <c r="M66" s="86"/>
      <c r="N66" s="86" t="n">
        <f aca="false">L66*M66</f>
        <v>0</v>
      </c>
      <c r="O66" s="86"/>
      <c r="P66" s="87" t="n">
        <f aca="false">(M66*L66)+O66</f>
        <v>0</v>
      </c>
      <c r="Q66" s="91"/>
    </row>
    <row r="67" customFormat="false" ht="14.25" hidden="false" customHeight="false" outlineLevel="0" collapsed="false">
      <c r="A67" s="77"/>
      <c r="B67" s="78"/>
      <c r="C67" s="79"/>
      <c r="D67" s="80" t="str">
        <f aca="false">_xlfn.IFNA(VLOOKUP(C67,'بيانات الآليات '!A:G,4,FALSE()),"")</f>
        <v/>
      </c>
      <c r="E67" s="81" t="str">
        <f aca="false">_xlfn.IFNA(VLOOKUP(C67,'بيانات الآليات '!A:G,2,FALSE()),"")</f>
        <v/>
      </c>
      <c r="F67" s="81" t="str">
        <f aca="false">_xlfn.IFNA(VLOOKUP(C67,'بيانات الآليات '!A:G,5,FALSE()),"")</f>
        <v/>
      </c>
      <c r="G67" s="82"/>
      <c r="H67" s="83" t="str">
        <f aca="false">_xlfn.IFNA(VLOOKUP(G67,Table14543[],2,FALSE()),"")</f>
        <v/>
      </c>
      <c r="I67" s="84" t="str">
        <f aca="false">_xlfn.IFNA(VLOOKUP(G67,Table14543[],3,FALSE()),"")</f>
        <v/>
      </c>
      <c r="J67" s="83" t="str">
        <f aca="false">CONCATENATE("",G67,""," ",H67," ",I67)</f>
        <v>  </v>
      </c>
      <c r="K67" s="85"/>
      <c r="L67" s="86"/>
      <c r="M67" s="86"/>
      <c r="N67" s="86" t="n">
        <f aca="false">L67*M67</f>
        <v>0</v>
      </c>
      <c r="O67" s="86"/>
      <c r="P67" s="87" t="n">
        <f aca="false">(M67*L67)+O67</f>
        <v>0</v>
      </c>
      <c r="Q67" s="91"/>
    </row>
    <row r="68" customFormat="false" ht="14.25" hidden="false" customHeight="false" outlineLevel="0" collapsed="false">
      <c r="A68" s="77"/>
      <c r="B68" s="78"/>
      <c r="C68" s="79"/>
      <c r="D68" s="80" t="str">
        <f aca="false">_xlfn.IFNA(VLOOKUP(C68,'بيانات الآليات '!A:G,4,FALSE()),"")</f>
        <v/>
      </c>
      <c r="E68" s="81" t="str">
        <f aca="false">_xlfn.IFNA(VLOOKUP(C68,'بيانات الآليات '!A:G,2,FALSE()),"")</f>
        <v/>
      </c>
      <c r="F68" s="81" t="str">
        <f aca="false">_xlfn.IFNA(VLOOKUP(C68,'بيانات الآليات '!A:G,5,FALSE()),"")</f>
        <v/>
      </c>
      <c r="G68" s="82"/>
      <c r="H68" s="83" t="str">
        <f aca="false">_xlfn.IFNA(VLOOKUP(G68,Table14543[],2,FALSE()),"")</f>
        <v/>
      </c>
      <c r="I68" s="84" t="str">
        <f aca="false">_xlfn.IFNA(VLOOKUP(G68,Table14543[],3,FALSE()),"")</f>
        <v/>
      </c>
      <c r="J68" s="83" t="str">
        <f aca="false">CONCATENATE("",G68,""," ",H68," ",I68)</f>
        <v>  </v>
      </c>
      <c r="K68" s="85"/>
      <c r="L68" s="86"/>
      <c r="M68" s="86"/>
      <c r="N68" s="86" t="n">
        <f aca="false">L68*M68</f>
        <v>0</v>
      </c>
      <c r="O68" s="86"/>
      <c r="P68" s="87" t="n">
        <f aca="false">(M68*L68)+O68</f>
        <v>0</v>
      </c>
      <c r="Q68" s="91"/>
    </row>
    <row r="69" customFormat="false" ht="14.25" hidden="false" customHeight="false" outlineLevel="0" collapsed="false">
      <c r="A69" s="77"/>
      <c r="B69" s="78"/>
      <c r="C69" s="79"/>
      <c r="D69" s="80" t="str">
        <f aca="false">_xlfn.IFNA(VLOOKUP(C69,'بيانات الآليات '!A:G,4,FALSE()),"")</f>
        <v/>
      </c>
      <c r="E69" s="81" t="str">
        <f aca="false">_xlfn.IFNA(VLOOKUP(C69,'بيانات الآليات '!A:G,2,FALSE()),"")</f>
        <v/>
      </c>
      <c r="F69" s="81" t="str">
        <f aca="false">_xlfn.IFNA(VLOOKUP(C69,'بيانات الآليات '!A:G,5,FALSE()),"")</f>
        <v/>
      </c>
      <c r="G69" s="82"/>
      <c r="H69" s="83" t="str">
        <f aca="false">_xlfn.IFNA(VLOOKUP(G69,Table14543[],2,FALSE()),"")</f>
        <v/>
      </c>
      <c r="I69" s="84" t="str">
        <f aca="false">_xlfn.IFNA(VLOOKUP(G69,Table14543[],3,FALSE()),"")</f>
        <v/>
      </c>
      <c r="J69" s="83" t="str">
        <f aca="false">CONCATENATE("",G69,""," ",H69," ",I69)</f>
        <v>  </v>
      </c>
      <c r="K69" s="85"/>
      <c r="L69" s="86"/>
      <c r="M69" s="86"/>
      <c r="N69" s="86" t="n">
        <f aca="false">L69*M69</f>
        <v>0</v>
      </c>
      <c r="O69" s="86"/>
      <c r="P69" s="87" t="n">
        <f aca="false">(M69*L69)+O69</f>
        <v>0</v>
      </c>
      <c r="Q69" s="91"/>
    </row>
    <row r="70" customFormat="false" ht="14.25" hidden="false" customHeight="false" outlineLevel="0" collapsed="false">
      <c r="A70" s="77"/>
      <c r="B70" s="78"/>
      <c r="C70" s="79"/>
      <c r="D70" s="80" t="str">
        <f aca="false">_xlfn.IFNA(VLOOKUP(C70,'بيانات الآليات '!A:G,4,FALSE()),"")</f>
        <v/>
      </c>
      <c r="E70" s="81" t="str">
        <f aca="false">_xlfn.IFNA(VLOOKUP(C70,'بيانات الآليات '!A:G,2,FALSE()),"")</f>
        <v/>
      </c>
      <c r="F70" s="81" t="str">
        <f aca="false">_xlfn.IFNA(VLOOKUP(C70,'بيانات الآليات '!A:G,5,FALSE()),"")</f>
        <v/>
      </c>
      <c r="G70" s="82"/>
      <c r="H70" s="83" t="str">
        <f aca="false">_xlfn.IFNA(VLOOKUP(G70,Table14543[],2,FALSE()),"")</f>
        <v/>
      </c>
      <c r="I70" s="84" t="str">
        <f aca="false">_xlfn.IFNA(VLOOKUP(G70,Table14543[],3,FALSE()),"")</f>
        <v/>
      </c>
      <c r="J70" s="83" t="str">
        <f aca="false">CONCATENATE("",G70,""," ",H70," ",I70)</f>
        <v>  </v>
      </c>
      <c r="K70" s="85"/>
      <c r="L70" s="86"/>
      <c r="M70" s="86"/>
      <c r="N70" s="86" t="n">
        <f aca="false">L70*M70</f>
        <v>0</v>
      </c>
      <c r="O70" s="86"/>
      <c r="P70" s="87" t="n">
        <f aca="false">(M70*L70)+O70</f>
        <v>0</v>
      </c>
      <c r="Q70" s="91"/>
    </row>
    <row r="71" customFormat="false" ht="14.25" hidden="false" customHeight="false" outlineLevel="0" collapsed="false">
      <c r="A71" s="77"/>
      <c r="B71" s="78"/>
      <c r="C71" s="79"/>
      <c r="D71" s="80" t="str">
        <f aca="false">_xlfn.IFNA(VLOOKUP(C71,'بيانات الآليات '!A:G,4,FALSE()),"")</f>
        <v/>
      </c>
      <c r="E71" s="81" t="str">
        <f aca="false">_xlfn.IFNA(VLOOKUP(C71,'بيانات الآليات '!A:G,2,FALSE()),"")</f>
        <v/>
      </c>
      <c r="F71" s="81" t="str">
        <f aca="false">_xlfn.IFNA(VLOOKUP(C71,'بيانات الآليات '!A:G,5,FALSE()),"")</f>
        <v/>
      </c>
      <c r="G71" s="82"/>
      <c r="H71" s="83" t="str">
        <f aca="false">_xlfn.IFNA(VLOOKUP(G71,Table14543[],2,FALSE()),"")</f>
        <v/>
      </c>
      <c r="I71" s="84" t="str">
        <f aca="false">_xlfn.IFNA(VLOOKUP(G71,Table14543[],3,FALSE()),"")</f>
        <v/>
      </c>
      <c r="J71" s="83" t="str">
        <f aca="false">CONCATENATE("",G71,""," ",H71," ",I71)</f>
        <v>  </v>
      </c>
      <c r="K71" s="85"/>
      <c r="L71" s="86"/>
      <c r="M71" s="86"/>
      <c r="N71" s="86" t="n">
        <f aca="false">L71*M71</f>
        <v>0</v>
      </c>
      <c r="O71" s="86"/>
      <c r="P71" s="87" t="n">
        <f aca="false">(M71*L71)+O71</f>
        <v>0</v>
      </c>
      <c r="Q71" s="91"/>
    </row>
    <row r="72" customFormat="false" ht="14.25" hidden="false" customHeight="false" outlineLevel="0" collapsed="false">
      <c r="A72" s="77"/>
      <c r="B72" s="78"/>
      <c r="C72" s="79"/>
      <c r="D72" s="80" t="str">
        <f aca="false">_xlfn.IFNA(VLOOKUP(C72,'بيانات الآليات '!A:G,4,FALSE()),"")</f>
        <v/>
      </c>
      <c r="E72" s="81" t="str">
        <f aca="false">_xlfn.IFNA(VLOOKUP(C72,'بيانات الآليات '!A:G,2,FALSE()),"")</f>
        <v/>
      </c>
      <c r="F72" s="81" t="str">
        <f aca="false">_xlfn.IFNA(VLOOKUP(C72,'بيانات الآليات '!A:G,5,FALSE()),"")</f>
        <v/>
      </c>
      <c r="G72" s="82"/>
      <c r="H72" s="83" t="str">
        <f aca="false">_xlfn.IFNA(VLOOKUP(G72,Table14543[],2,FALSE()),"")</f>
        <v/>
      </c>
      <c r="I72" s="84" t="str">
        <f aca="false">_xlfn.IFNA(VLOOKUP(G72,Table14543[],3,FALSE()),"")</f>
        <v/>
      </c>
      <c r="J72" s="83" t="str">
        <f aca="false">CONCATENATE("",G72,""," ",H72," ",I72)</f>
        <v>  </v>
      </c>
      <c r="K72" s="85"/>
      <c r="L72" s="86"/>
      <c r="M72" s="86"/>
      <c r="N72" s="86" t="n">
        <f aca="false">L72*M72</f>
        <v>0</v>
      </c>
      <c r="O72" s="86"/>
      <c r="P72" s="87" t="n">
        <f aca="false">(M72*L72)+O72</f>
        <v>0</v>
      </c>
      <c r="Q72" s="91"/>
    </row>
    <row r="73" customFormat="false" ht="14.25" hidden="false" customHeight="false" outlineLevel="0" collapsed="false">
      <c r="A73" s="77"/>
      <c r="B73" s="78"/>
      <c r="C73" s="79"/>
      <c r="D73" s="80" t="str">
        <f aca="false">_xlfn.IFNA(VLOOKUP(C73,'بيانات الآليات '!A:G,4,FALSE()),"")</f>
        <v/>
      </c>
      <c r="E73" s="81" t="str">
        <f aca="false">_xlfn.IFNA(VLOOKUP(C73,'بيانات الآليات '!A:G,2,FALSE()),"")</f>
        <v/>
      </c>
      <c r="F73" s="81" t="str">
        <f aca="false">_xlfn.IFNA(VLOOKUP(C73,'بيانات الآليات '!A:G,5,FALSE()),"")</f>
        <v/>
      </c>
      <c r="G73" s="82"/>
      <c r="H73" s="83" t="str">
        <f aca="false">_xlfn.IFNA(VLOOKUP(G73,Table14543[],2,FALSE()),"")</f>
        <v/>
      </c>
      <c r="I73" s="84" t="str">
        <f aca="false">_xlfn.IFNA(VLOOKUP(G73,Table14543[],3,FALSE()),"")</f>
        <v/>
      </c>
      <c r="J73" s="83" t="str">
        <f aca="false">CONCATENATE("",G73,""," ",H73," ",I73)</f>
        <v>  </v>
      </c>
      <c r="K73" s="85"/>
      <c r="L73" s="86"/>
      <c r="M73" s="86"/>
      <c r="N73" s="86" t="n">
        <f aca="false">L73*M73</f>
        <v>0</v>
      </c>
      <c r="O73" s="86"/>
      <c r="P73" s="87" t="n">
        <f aca="false">(M73*L73)+O73</f>
        <v>0</v>
      </c>
      <c r="Q73" s="91"/>
    </row>
    <row r="74" customFormat="false" ht="14.25" hidden="false" customHeight="false" outlineLevel="0" collapsed="false">
      <c r="A74" s="77"/>
      <c r="B74" s="78"/>
      <c r="C74" s="79"/>
      <c r="D74" s="80" t="str">
        <f aca="false">_xlfn.IFNA(VLOOKUP(C74,'بيانات الآليات '!A:G,4,FALSE()),"")</f>
        <v/>
      </c>
      <c r="E74" s="81" t="str">
        <f aca="false">_xlfn.IFNA(VLOOKUP(C74,'بيانات الآليات '!A:G,2,FALSE()),"")</f>
        <v/>
      </c>
      <c r="F74" s="81" t="str">
        <f aca="false">_xlfn.IFNA(VLOOKUP(C74,'بيانات الآليات '!A:G,5,FALSE()),"")</f>
        <v/>
      </c>
      <c r="G74" s="82"/>
      <c r="H74" s="83" t="str">
        <f aca="false">_xlfn.IFNA(VLOOKUP(G74,Table14543[],2,FALSE()),"")</f>
        <v/>
      </c>
      <c r="I74" s="84" t="str">
        <f aca="false">_xlfn.IFNA(VLOOKUP(G74,Table14543[],3,FALSE()),"")</f>
        <v/>
      </c>
      <c r="J74" s="83" t="str">
        <f aca="false">CONCATENATE("",G74,""," ",H74," ",I74)</f>
        <v>  </v>
      </c>
      <c r="K74" s="85"/>
      <c r="L74" s="86"/>
      <c r="M74" s="86"/>
      <c r="N74" s="86" t="n">
        <f aca="false">L74*M74</f>
        <v>0</v>
      </c>
      <c r="O74" s="86"/>
      <c r="P74" s="87" t="n">
        <f aca="false">(M74*L74)+O74</f>
        <v>0</v>
      </c>
      <c r="Q74" s="91"/>
    </row>
    <row r="75" customFormat="false" ht="14.25" hidden="false" customHeight="false" outlineLevel="0" collapsed="false">
      <c r="A75" s="77"/>
      <c r="B75" s="78"/>
      <c r="C75" s="79"/>
      <c r="D75" s="80" t="str">
        <f aca="false">_xlfn.IFNA(VLOOKUP(C75,'بيانات الآليات '!A:G,4,FALSE()),"")</f>
        <v/>
      </c>
      <c r="E75" s="81" t="str">
        <f aca="false">_xlfn.IFNA(VLOOKUP(C75,'بيانات الآليات '!A:G,2,FALSE()),"")</f>
        <v/>
      </c>
      <c r="F75" s="81" t="str">
        <f aca="false">_xlfn.IFNA(VLOOKUP(C75,'بيانات الآليات '!A:G,5,FALSE()),"")</f>
        <v/>
      </c>
      <c r="G75" s="82"/>
      <c r="H75" s="83" t="str">
        <f aca="false">_xlfn.IFNA(VLOOKUP(G75,Table14543[],2,FALSE()),"")</f>
        <v/>
      </c>
      <c r="I75" s="84" t="str">
        <f aca="false">_xlfn.IFNA(VLOOKUP(G75,Table14543[],3,FALSE()),"")</f>
        <v/>
      </c>
      <c r="J75" s="83" t="str">
        <f aca="false">CONCATENATE("",G75,""," ",H75," ",I75)</f>
        <v>  </v>
      </c>
      <c r="K75" s="85"/>
      <c r="L75" s="86"/>
      <c r="M75" s="86"/>
      <c r="N75" s="86" t="n">
        <f aca="false">L75*M75</f>
        <v>0</v>
      </c>
      <c r="O75" s="86"/>
      <c r="P75" s="87" t="n">
        <f aca="false">(M75*L75)+O75</f>
        <v>0</v>
      </c>
      <c r="Q75" s="91"/>
    </row>
    <row r="76" customFormat="false" ht="14.25" hidden="false" customHeight="false" outlineLevel="0" collapsed="false">
      <c r="A76" s="77"/>
      <c r="B76" s="78"/>
      <c r="C76" s="79"/>
      <c r="D76" s="80" t="str">
        <f aca="false">_xlfn.IFNA(VLOOKUP(C76,'بيانات الآليات '!A:G,4,FALSE()),"")</f>
        <v/>
      </c>
      <c r="E76" s="81" t="str">
        <f aca="false">_xlfn.IFNA(VLOOKUP(C76,'بيانات الآليات '!A:G,2,FALSE()),"")</f>
        <v/>
      </c>
      <c r="F76" s="81" t="str">
        <f aca="false">_xlfn.IFNA(VLOOKUP(C76,'بيانات الآليات '!A:G,5,FALSE()),"")</f>
        <v/>
      </c>
      <c r="G76" s="82"/>
      <c r="H76" s="83" t="str">
        <f aca="false">_xlfn.IFNA(VLOOKUP(G76,Table14543[],2,FALSE()),"")</f>
        <v/>
      </c>
      <c r="I76" s="84" t="str">
        <f aca="false">_xlfn.IFNA(VLOOKUP(G76,Table14543[],3,FALSE()),"")</f>
        <v/>
      </c>
      <c r="J76" s="83" t="str">
        <f aca="false">CONCATENATE("",G76,""," ",H76," ",I76)</f>
        <v>  </v>
      </c>
      <c r="K76" s="85"/>
      <c r="L76" s="86"/>
      <c r="M76" s="86"/>
      <c r="N76" s="86" t="n">
        <f aca="false">L76*M76</f>
        <v>0</v>
      </c>
      <c r="O76" s="86"/>
      <c r="P76" s="87" t="n">
        <f aca="false">(M76*L76)+O76</f>
        <v>0</v>
      </c>
      <c r="Q76" s="91"/>
    </row>
    <row r="77" customFormat="false" ht="14.25" hidden="false" customHeight="false" outlineLevel="0" collapsed="false">
      <c r="A77" s="77"/>
      <c r="B77" s="78"/>
      <c r="C77" s="79"/>
      <c r="D77" s="80" t="str">
        <f aca="false">_xlfn.IFNA(VLOOKUP(C77,'بيانات الآليات '!A:G,4,FALSE()),"")</f>
        <v/>
      </c>
      <c r="E77" s="81" t="str">
        <f aca="false">_xlfn.IFNA(VLOOKUP(C77,'بيانات الآليات '!A:G,2,FALSE()),"")</f>
        <v/>
      </c>
      <c r="F77" s="81" t="str">
        <f aca="false">_xlfn.IFNA(VLOOKUP(C77,'بيانات الآليات '!A:G,5,FALSE()),"")</f>
        <v/>
      </c>
      <c r="G77" s="82"/>
      <c r="H77" s="83" t="str">
        <f aca="false">_xlfn.IFNA(VLOOKUP(G77,Table14543[],2,FALSE()),"")</f>
        <v/>
      </c>
      <c r="I77" s="84" t="str">
        <f aca="false">_xlfn.IFNA(VLOOKUP(G77,Table14543[],3,FALSE()),"")</f>
        <v/>
      </c>
      <c r="J77" s="83" t="str">
        <f aca="false">CONCATENATE("",G77,""," ",H77," ",I77)</f>
        <v>  </v>
      </c>
      <c r="K77" s="85"/>
      <c r="L77" s="86"/>
      <c r="M77" s="86"/>
      <c r="N77" s="86" t="n">
        <f aca="false">L77*M77</f>
        <v>0</v>
      </c>
      <c r="O77" s="86"/>
      <c r="P77" s="87" t="n">
        <f aca="false">(M77*L77)+O77</f>
        <v>0</v>
      </c>
      <c r="Q77" s="91"/>
    </row>
    <row r="78" customFormat="false" ht="14.25" hidden="false" customHeight="false" outlineLevel="0" collapsed="false">
      <c r="A78" s="77"/>
      <c r="B78" s="78"/>
      <c r="C78" s="79"/>
      <c r="D78" s="80" t="str">
        <f aca="false">_xlfn.IFNA(VLOOKUP(C78,'بيانات الآليات '!A:G,4,FALSE()),"")</f>
        <v/>
      </c>
      <c r="E78" s="81" t="str">
        <f aca="false">_xlfn.IFNA(VLOOKUP(C78,'بيانات الآليات '!A:G,2,FALSE()),"")</f>
        <v/>
      </c>
      <c r="F78" s="81" t="str">
        <f aca="false">_xlfn.IFNA(VLOOKUP(C78,'بيانات الآليات '!A:G,5,FALSE()),"")</f>
        <v/>
      </c>
      <c r="G78" s="82"/>
      <c r="H78" s="83" t="str">
        <f aca="false">_xlfn.IFNA(VLOOKUP(G78,Table14543[],2,FALSE()),"")</f>
        <v/>
      </c>
      <c r="I78" s="84" t="str">
        <f aca="false">_xlfn.IFNA(VLOOKUP(G78,Table14543[],3,FALSE()),"")</f>
        <v/>
      </c>
      <c r="J78" s="83" t="str">
        <f aca="false">CONCATENATE("",G78,""," ",H78," ",I78)</f>
        <v>  </v>
      </c>
      <c r="K78" s="85"/>
      <c r="L78" s="86"/>
      <c r="M78" s="86"/>
      <c r="N78" s="86" t="n">
        <f aca="false">L78*M78</f>
        <v>0</v>
      </c>
      <c r="O78" s="86"/>
      <c r="P78" s="87" t="n">
        <f aca="false">(M78*L78)+O78</f>
        <v>0</v>
      </c>
      <c r="Q78" s="91"/>
    </row>
    <row r="79" customFormat="false" ht="14.25" hidden="false" customHeight="false" outlineLevel="0" collapsed="false">
      <c r="A79" s="77"/>
      <c r="B79" s="78"/>
      <c r="C79" s="79"/>
      <c r="D79" s="80" t="str">
        <f aca="false">_xlfn.IFNA(VLOOKUP(C79,'بيانات الآليات '!A:G,4,FALSE()),"")</f>
        <v/>
      </c>
      <c r="E79" s="81" t="str">
        <f aca="false">_xlfn.IFNA(VLOOKUP(C79,'بيانات الآليات '!A:G,2,FALSE()),"")</f>
        <v/>
      </c>
      <c r="F79" s="81" t="str">
        <f aca="false">_xlfn.IFNA(VLOOKUP(C79,'بيانات الآليات '!A:G,5,FALSE()),"")</f>
        <v/>
      </c>
      <c r="G79" s="82"/>
      <c r="H79" s="83" t="str">
        <f aca="false">_xlfn.IFNA(VLOOKUP(G79,Table14543[],2,FALSE()),"")</f>
        <v/>
      </c>
      <c r="I79" s="84" t="str">
        <f aca="false">_xlfn.IFNA(VLOOKUP(G79,Table14543[],3,FALSE()),"")</f>
        <v/>
      </c>
      <c r="J79" s="83" t="str">
        <f aca="false">CONCATENATE("",G79,""," ",H79," ",I79)</f>
        <v>  </v>
      </c>
      <c r="K79" s="85"/>
      <c r="L79" s="86"/>
      <c r="M79" s="86"/>
      <c r="N79" s="86" t="n">
        <f aca="false">L79*M79</f>
        <v>0</v>
      </c>
      <c r="O79" s="86"/>
      <c r="P79" s="87" t="n">
        <f aca="false">(M79*L79)+O79</f>
        <v>0</v>
      </c>
      <c r="Q79" s="91"/>
    </row>
    <row r="80" customFormat="false" ht="14.25" hidden="false" customHeight="false" outlineLevel="0" collapsed="false">
      <c r="A80" s="77"/>
      <c r="B80" s="78"/>
      <c r="C80" s="79"/>
      <c r="D80" s="80" t="str">
        <f aca="false">_xlfn.IFNA(VLOOKUP(C80,'بيانات الآليات '!A:G,4,FALSE()),"")</f>
        <v/>
      </c>
      <c r="E80" s="81" t="str">
        <f aca="false">_xlfn.IFNA(VLOOKUP(C80,'بيانات الآليات '!A:G,2,FALSE()),"")</f>
        <v/>
      </c>
      <c r="F80" s="81" t="str">
        <f aca="false">_xlfn.IFNA(VLOOKUP(C80,'بيانات الآليات '!A:G,5,FALSE()),"")</f>
        <v/>
      </c>
      <c r="G80" s="82"/>
      <c r="H80" s="83" t="str">
        <f aca="false">_xlfn.IFNA(VLOOKUP(G80,Table14543[],2,FALSE()),"")</f>
        <v/>
      </c>
      <c r="I80" s="84" t="str">
        <f aca="false">_xlfn.IFNA(VLOOKUP(G80,Table14543[],3,FALSE()),"")</f>
        <v/>
      </c>
      <c r="J80" s="83" t="str">
        <f aca="false">CONCATENATE("",G80,""," ",H80," ",I80)</f>
        <v>  </v>
      </c>
      <c r="K80" s="85"/>
      <c r="L80" s="86"/>
      <c r="M80" s="86"/>
      <c r="N80" s="86" t="n">
        <f aca="false">L80*M80</f>
        <v>0</v>
      </c>
      <c r="O80" s="86"/>
      <c r="P80" s="87" t="n">
        <f aca="false">(M80*L80)+O80</f>
        <v>0</v>
      </c>
      <c r="Q80" s="91"/>
    </row>
    <row r="81" customFormat="false" ht="14.25" hidden="false" customHeight="false" outlineLevel="0" collapsed="false">
      <c r="A81" s="77"/>
      <c r="B81" s="78"/>
      <c r="C81" s="79"/>
      <c r="D81" s="80" t="str">
        <f aca="false">_xlfn.IFNA(VLOOKUP(C81,'بيانات الآليات '!A:G,4,FALSE()),"")</f>
        <v/>
      </c>
      <c r="E81" s="81" t="str">
        <f aca="false">_xlfn.IFNA(VLOOKUP(C81,'بيانات الآليات '!A:G,2,FALSE()),"")</f>
        <v/>
      </c>
      <c r="F81" s="81" t="str">
        <f aca="false">_xlfn.IFNA(VLOOKUP(C81,'بيانات الآليات '!A:G,5,FALSE()),"")</f>
        <v/>
      </c>
      <c r="G81" s="82"/>
      <c r="H81" s="83" t="str">
        <f aca="false">_xlfn.IFNA(VLOOKUP(G81,Table14543[],2,FALSE()),"")</f>
        <v/>
      </c>
      <c r="I81" s="84" t="str">
        <f aca="false">_xlfn.IFNA(VLOOKUP(G81,Table14543[],3,FALSE()),"")</f>
        <v/>
      </c>
      <c r="J81" s="83" t="str">
        <f aca="false">CONCATENATE("",G81,""," ",H81," ",I81)</f>
        <v>  </v>
      </c>
      <c r="K81" s="85"/>
      <c r="L81" s="86"/>
      <c r="M81" s="86"/>
      <c r="N81" s="86" t="n">
        <f aca="false">L81*M81</f>
        <v>0</v>
      </c>
      <c r="O81" s="86"/>
      <c r="P81" s="87" t="n">
        <f aca="false">(M81*L81)+O81</f>
        <v>0</v>
      </c>
      <c r="Q81" s="91"/>
    </row>
    <row r="82" customFormat="false" ht="14.25" hidden="false" customHeight="false" outlineLevel="0" collapsed="false">
      <c r="A82" s="77"/>
      <c r="B82" s="78"/>
      <c r="C82" s="79"/>
      <c r="D82" s="80" t="str">
        <f aca="false">_xlfn.IFNA(VLOOKUP(C82,'بيانات الآليات '!A:G,4,FALSE()),"")</f>
        <v/>
      </c>
      <c r="E82" s="81" t="str">
        <f aca="false">_xlfn.IFNA(VLOOKUP(C82,'بيانات الآليات '!A:G,2,FALSE()),"")</f>
        <v/>
      </c>
      <c r="F82" s="81" t="str">
        <f aca="false">_xlfn.IFNA(VLOOKUP(C82,'بيانات الآليات '!A:G,5,FALSE()),"")</f>
        <v/>
      </c>
      <c r="G82" s="82"/>
      <c r="H82" s="83" t="str">
        <f aca="false">_xlfn.IFNA(VLOOKUP(G82,Table14543[],2,FALSE()),"")</f>
        <v/>
      </c>
      <c r="I82" s="84" t="str">
        <f aca="false">_xlfn.IFNA(VLOOKUP(G82,Table14543[],3,FALSE()),"")</f>
        <v/>
      </c>
      <c r="J82" s="83" t="str">
        <f aca="false">CONCATENATE("",G82,""," ",H82," ",I82)</f>
        <v>  </v>
      </c>
      <c r="K82" s="85"/>
      <c r="L82" s="86"/>
      <c r="M82" s="86"/>
      <c r="N82" s="86" t="n">
        <f aca="false">L82*M82</f>
        <v>0</v>
      </c>
      <c r="O82" s="86"/>
      <c r="P82" s="87" t="n">
        <f aca="false">(M82*L82)+O82</f>
        <v>0</v>
      </c>
      <c r="Q82" s="91"/>
    </row>
    <row r="83" customFormat="false" ht="14.25" hidden="false" customHeight="false" outlineLevel="0" collapsed="false">
      <c r="A83" s="77"/>
      <c r="B83" s="78"/>
      <c r="C83" s="79"/>
      <c r="D83" s="80" t="str">
        <f aca="false">_xlfn.IFNA(VLOOKUP(C83,'بيانات الآليات '!A:G,4,FALSE()),"")</f>
        <v/>
      </c>
      <c r="E83" s="81" t="str">
        <f aca="false">_xlfn.IFNA(VLOOKUP(C83,'بيانات الآليات '!A:G,2,FALSE()),"")</f>
        <v/>
      </c>
      <c r="F83" s="81" t="str">
        <f aca="false">_xlfn.IFNA(VLOOKUP(C83,'بيانات الآليات '!A:G,5,FALSE()),"")</f>
        <v/>
      </c>
      <c r="G83" s="82"/>
      <c r="H83" s="83" t="str">
        <f aca="false">_xlfn.IFNA(VLOOKUP(G83,Table14543[],2,FALSE()),"")</f>
        <v/>
      </c>
      <c r="I83" s="84" t="str">
        <f aca="false">_xlfn.IFNA(VLOOKUP(G83,Table14543[],3,FALSE()),"")</f>
        <v/>
      </c>
      <c r="J83" s="83" t="str">
        <f aca="false">CONCATENATE("",G83,""," ",H83," ",I83)</f>
        <v>  </v>
      </c>
      <c r="K83" s="85"/>
      <c r="L83" s="86"/>
      <c r="M83" s="86"/>
      <c r="N83" s="86" t="n">
        <f aca="false">L83*M83</f>
        <v>0</v>
      </c>
      <c r="O83" s="86"/>
      <c r="P83" s="87" t="n">
        <f aca="false">(M83*L83)+O83</f>
        <v>0</v>
      </c>
      <c r="Q83" s="91"/>
    </row>
    <row r="84" customFormat="false" ht="14.25" hidden="false" customHeight="false" outlineLevel="0" collapsed="false">
      <c r="A84" s="77"/>
      <c r="B84" s="78"/>
      <c r="C84" s="79"/>
      <c r="D84" s="80" t="str">
        <f aca="false">_xlfn.IFNA(VLOOKUP(C84,'بيانات الآليات '!A:G,4,FALSE()),"")</f>
        <v/>
      </c>
      <c r="E84" s="81" t="str">
        <f aca="false">_xlfn.IFNA(VLOOKUP(C84,'بيانات الآليات '!A:G,2,FALSE()),"")</f>
        <v/>
      </c>
      <c r="F84" s="81" t="str">
        <f aca="false">_xlfn.IFNA(VLOOKUP(C84,'بيانات الآليات '!A:G,5,FALSE()),"")</f>
        <v/>
      </c>
      <c r="G84" s="82"/>
      <c r="H84" s="83" t="str">
        <f aca="false">_xlfn.IFNA(VLOOKUP(G84,Table14543[],2,FALSE()),"")</f>
        <v/>
      </c>
      <c r="I84" s="84" t="str">
        <f aca="false">_xlfn.IFNA(VLOOKUP(G84,Table14543[],3,FALSE()),"")</f>
        <v/>
      </c>
      <c r="J84" s="83" t="str">
        <f aca="false">CONCATENATE("",G84,""," ",H84," ",I84)</f>
        <v>  </v>
      </c>
      <c r="K84" s="85"/>
      <c r="L84" s="86"/>
      <c r="M84" s="86"/>
      <c r="N84" s="86" t="n">
        <f aca="false">L84*M84</f>
        <v>0</v>
      </c>
      <c r="O84" s="86"/>
      <c r="P84" s="87" t="n">
        <f aca="false">(M84*L84)+O84</f>
        <v>0</v>
      </c>
      <c r="Q84" s="91"/>
    </row>
    <row r="85" customFormat="false" ht="14.25" hidden="false" customHeight="false" outlineLevel="0" collapsed="false">
      <c r="A85" s="77"/>
      <c r="B85" s="78"/>
      <c r="C85" s="79"/>
      <c r="D85" s="80" t="str">
        <f aca="false">_xlfn.IFNA(VLOOKUP(C85,'بيانات الآليات '!A:G,4,FALSE()),"")</f>
        <v/>
      </c>
      <c r="E85" s="81" t="str">
        <f aca="false">_xlfn.IFNA(VLOOKUP(C85,'بيانات الآليات '!A:G,2,FALSE()),"")</f>
        <v/>
      </c>
      <c r="F85" s="81" t="str">
        <f aca="false">_xlfn.IFNA(VLOOKUP(C85,'بيانات الآليات '!A:G,5,FALSE()),"")</f>
        <v/>
      </c>
      <c r="G85" s="82"/>
      <c r="H85" s="83" t="str">
        <f aca="false">_xlfn.IFNA(VLOOKUP(G85,Table14543[],2,FALSE()),"")</f>
        <v/>
      </c>
      <c r="I85" s="84" t="str">
        <f aca="false">_xlfn.IFNA(VLOOKUP(G85,Table14543[],3,FALSE()),"")</f>
        <v/>
      </c>
      <c r="J85" s="83" t="str">
        <f aca="false">CONCATENATE("",G85,""," ",H85," ",I85)</f>
        <v>  </v>
      </c>
      <c r="K85" s="85"/>
      <c r="L85" s="86"/>
      <c r="M85" s="86"/>
      <c r="N85" s="86" t="n">
        <f aca="false">L85*M85</f>
        <v>0</v>
      </c>
      <c r="O85" s="86"/>
      <c r="P85" s="87" t="n">
        <f aca="false">(M85*L85)+O85</f>
        <v>0</v>
      </c>
      <c r="Q85" s="91"/>
    </row>
    <row r="86" customFormat="false" ht="14.25" hidden="false" customHeight="false" outlineLevel="0" collapsed="false">
      <c r="A86" s="77"/>
      <c r="B86" s="78"/>
      <c r="C86" s="79"/>
      <c r="D86" s="80" t="str">
        <f aca="false">_xlfn.IFNA(VLOOKUP(C86,'بيانات الآليات '!A:G,4,FALSE()),"")</f>
        <v/>
      </c>
      <c r="E86" s="81" t="str">
        <f aca="false">_xlfn.IFNA(VLOOKUP(C86,'بيانات الآليات '!A:G,2,FALSE()),"")</f>
        <v/>
      </c>
      <c r="F86" s="81" t="str">
        <f aca="false">_xlfn.IFNA(VLOOKUP(C86,'بيانات الآليات '!A:G,5,FALSE()),"")</f>
        <v/>
      </c>
      <c r="G86" s="82"/>
      <c r="H86" s="83" t="str">
        <f aca="false">_xlfn.IFNA(VLOOKUP(G86,Table14543[],2,FALSE()),"")</f>
        <v/>
      </c>
      <c r="I86" s="84" t="str">
        <f aca="false">_xlfn.IFNA(VLOOKUP(G86,Table14543[],3,FALSE()),"")</f>
        <v/>
      </c>
      <c r="J86" s="83" t="str">
        <f aca="false">CONCATENATE("",G86,""," ",H86," ",I86)</f>
        <v>  </v>
      </c>
      <c r="K86" s="85"/>
      <c r="L86" s="86"/>
      <c r="M86" s="86"/>
      <c r="N86" s="86" t="n">
        <f aca="false">L86*M86</f>
        <v>0</v>
      </c>
      <c r="O86" s="86"/>
      <c r="P86" s="87" t="n">
        <f aca="false">(M86*L86)+O86</f>
        <v>0</v>
      </c>
      <c r="Q86" s="91"/>
    </row>
    <row r="87" customFormat="false" ht="14.25" hidden="false" customHeight="false" outlineLevel="0" collapsed="false">
      <c r="A87" s="77"/>
      <c r="B87" s="78"/>
      <c r="C87" s="79"/>
      <c r="D87" s="80" t="str">
        <f aca="false">_xlfn.IFNA(VLOOKUP(C87,'بيانات الآليات '!A:G,4,FALSE()),"")</f>
        <v/>
      </c>
      <c r="E87" s="81" t="str">
        <f aca="false">_xlfn.IFNA(VLOOKUP(C87,'بيانات الآليات '!A:G,2,FALSE()),"")</f>
        <v/>
      </c>
      <c r="F87" s="81" t="str">
        <f aca="false">_xlfn.IFNA(VLOOKUP(C87,'بيانات الآليات '!A:G,5,FALSE()),"")</f>
        <v/>
      </c>
      <c r="G87" s="82"/>
      <c r="H87" s="83" t="str">
        <f aca="false">_xlfn.IFNA(VLOOKUP(G87,Table14543[],2,FALSE()),"")</f>
        <v/>
      </c>
      <c r="I87" s="84" t="str">
        <f aca="false">_xlfn.IFNA(VLOOKUP(G87,Table14543[],3,FALSE()),"")</f>
        <v/>
      </c>
      <c r="J87" s="83" t="str">
        <f aca="false">CONCATENATE("",G87,""," ",H87," ",I87)</f>
        <v>  </v>
      </c>
      <c r="K87" s="85"/>
      <c r="L87" s="86"/>
      <c r="M87" s="86"/>
      <c r="N87" s="86" t="n">
        <f aca="false">L87*M87</f>
        <v>0</v>
      </c>
      <c r="O87" s="86"/>
      <c r="P87" s="87" t="n">
        <f aca="false">(M87*L87)+O87</f>
        <v>0</v>
      </c>
      <c r="Q87" s="91"/>
    </row>
    <row r="88" customFormat="false" ht="14.25" hidden="false" customHeight="false" outlineLevel="0" collapsed="false">
      <c r="A88" s="77"/>
      <c r="B88" s="78"/>
      <c r="C88" s="79"/>
      <c r="D88" s="80" t="str">
        <f aca="false">_xlfn.IFNA(VLOOKUP(C88,'بيانات الآليات '!A:G,4,FALSE()),"")</f>
        <v/>
      </c>
      <c r="E88" s="81" t="str">
        <f aca="false">_xlfn.IFNA(VLOOKUP(C88,'بيانات الآليات '!A:G,2,FALSE()),"")</f>
        <v/>
      </c>
      <c r="F88" s="81" t="str">
        <f aca="false">_xlfn.IFNA(VLOOKUP(C88,'بيانات الآليات '!A:G,5,FALSE()),"")</f>
        <v/>
      </c>
      <c r="G88" s="82"/>
      <c r="H88" s="83" t="str">
        <f aca="false">_xlfn.IFNA(VLOOKUP(G88,Table14543[],2,FALSE()),"")</f>
        <v/>
      </c>
      <c r="I88" s="84" t="str">
        <f aca="false">_xlfn.IFNA(VLOOKUP(G88,Table14543[],3,FALSE()),"")</f>
        <v/>
      </c>
      <c r="J88" s="83" t="str">
        <f aca="false">CONCATENATE("",G88,""," ",H88," ",I88)</f>
        <v>  </v>
      </c>
      <c r="K88" s="85"/>
      <c r="L88" s="86"/>
      <c r="M88" s="86"/>
      <c r="N88" s="86" t="n">
        <f aca="false">L88*M88</f>
        <v>0</v>
      </c>
      <c r="O88" s="86"/>
      <c r="P88" s="87" t="n">
        <f aca="false">(M88*L88)+O88</f>
        <v>0</v>
      </c>
      <c r="Q88" s="91"/>
    </row>
    <row r="89" customFormat="false" ht="14.25" hidden="false" customHeight="false" outlineLevel="0" collapsed="false">
      <c r="A89" s="77"/>
      <c r="B89" s="78"/>
      <c r="C89" s="79"/>
      <c r="D89" s="80" t="str">
        <f aca="false">_xlfn.IFNA(VLOOKUP(C89,'بيانات الآليات '!A:G,4,FALSE()),"")</f>
        <v/>
      </c>
      <c r="E89" s="81" t="str">
        <f aca="false">_xlfn.IFNA(VLOOKUP(C89,'بيانات الآليات '!A:G,2,FALSE()),"")</f>
        <v/>
      </c>
      <c r="F89" s="81" t="str">
        <f aca="false">_xlfn.IFNA(VLOOKUP(C89,'بيانات الآليات '!A:G,5,FALSE()),"")</f>
        <v/>
      </c>
      <c r="G89" s="82"/>
      <c r="H89" s="83" t="str">
        <f aca="false">_xlfn.IFNA(VLOOKUP(G89,Table14543[],2,FALSE()),"")</f>
        <v/>
      </c>
      <c r="I89" s="84" t="str">
        <f aca="false">_xlfn.IFNA(VLOOKUP(G89,Table14543[],3,FALSE()),"")</f>
        <v/>
      </c>
      <c r="J89" s="83" t="str">
        <f aca="false">CONCATENATE("",G89,""," ",H89," ",I89)</f>
        <v>  </v>
      </c>
      <c r="K89" s="85"/>
      <c r="L89" s="86"/>
      <c r="M89" s="86"/>
      <c r="N89" s="86" t="n">
        <f aca="false">L89*M89</f>
        <v>0</v>
      </c>
      <c r="O89" s="86"/>
      <c r="P89" s="87" t="n">
        <f aca="false">(M89*L89)+O89</f>
        <v>0</v>
      </c>
      <c r="Q89" s="91"/>
    </row>
    <row r="90" customFormat="false" ht="14.25" hidden="false" customHeight="false" outlineLevel="0" collapsed="false">
      <c r="A90" s="77"/>
      <c r="B90" s="78"/>
      <c r="C90" s="79"/>
      <c r="D90" s="80" t="str">
        <f aca="false">_xlfn.IFNA(VLOOKUP(C90,'بيانات الآليات '!A:G,4,FALSE()),"")</f>
        <v/>
      </c>
      <c r="E90" s="81" t="str">
        <f aca="false">_xlfn.IFNA(VLOOKUP(C90,'بيانات الآليات '!A:G,2,FALSE()),"")</f>
        <v/>
      </c>
      <c r="F90" s="81" t="str">
        <f aca="false">_xlfn.IFNA(VLOOKUP(C90,'بيانات الآليات '!A:G,5,FALSE()),"")</f>
        <v/>
      </c>
      <c r="G90" s="82"/>
      <c r="H90" s="83" t="str">
        <f aca="false">_xlfn.IFNA(VLOOKUP(G90,Table14543[],2,FALSE()),"")</f>
        <v/>
      </c>
      <c r="I90" s="84" t="str">
        <f aca="false">_xlfn.IFNA(VLOOKUP(G90,Table14543[],3,FALSE()),"")</f>
        <v/>
      </c>
      <c r="J90" s="83" t="str">
        <f aca="false">CONCATENATE("",G90,""," ",H90," ",I90)</f>
        <v>  </v>
      </c>
      <c r="K90" s="85"/>
      <c r="L90" s="86"/>
      <c r="M90" s="86"/>
      <c r="N90" s="86" t="n">
        <f aca="false">L90*M90</f>
        <v>0</v>
      </c>
      <c r="O90" s="86"/>
      <c r="P90" s="87" t="n">
        <f aca="false">(M90*L90)+O90</f>
        <v>0</v>
      </c>
      <c r="Q90" s="91"/>
    </row>
    <row r="91" customFormat="false" ht="14.25" hidden="false" customHeight="false" outlineLevel="0" collapsed="false">
      <c r="A91" s="77"/>
      <c r="B91" s="78"/>
      <c r="C91" s="79"/>
      <c r="D91" s="80" t="str">
        <f aca="false">_xlfn.IFNA(VLOOKUP(C91,'بيانات الآليات '!A:G,4,FALSE()),"")</f>
        <v/>
      </c>
      <c r="E91" s="81" t="str">
        <f aca="false">_xlfn.IFNA(VLOOKUP(C91,'بيانات الآليات '!A:G,2,FALSE()),"")</f>
        <v/>
      </c>
      <c r="F91" s="81" t="str">
        <f aca="false">_xlfn.IFNA(VLOOKUP(C91,'بيانات الآليات '!A:G,5,FALSE()),"")</f>
        <v/>
      </c>
      <c r="G91" s="82"/>
      <c r="H91" s="83" t="str">
        <f aca="false">_xlfn.IFNA(VLOOKUP(G91,Table14543[],2,FALSE()),"")</f>
        <v/>
      </c>
      <c r="I91" s="84" t="str">
        <f aca="false">_xlfn.IFNA(VLOOKUP(G91,Table14543[],3,FALSE()),"")</f>
        <v/>
      </c>
      <c r="J91" s="83" t="str">
        <f aca="false">CONCATENATE("",G91,""," ",H91," ",I91)</f>
        <v>  </v>
      </c>
      <c r="K91" s="85"/>
      <c r="L91" s="86"/>
      <c r="M91" s="86"/>
      <c r="N91" s="86" t="n">
        <f aca="false">L91*M91</f>
        <v>0</v>
      </c>
      <c r="O91" s="86"/>
      <c r="P91" s="87" t="n">
        <f aca="false">(M91*L91)+O91</f>
        <v>0</v>
      </c>
      <c r="Q91" s="91"/>
    </row>
    <row r="92" customFormat="false" ht="14.25" hidden="false" customHeight="false" outlineLevel="0" collapsed="false">
      <c r="A92" s="77"/>
      <c r="B92" s="78"/>
      <c r="C92" s="79"/>
      <c r="D92" s="80" t="str">
        <f aca="false">_xlfn.IFNA(VLOOKUP(C92,'بيانات الآليات '!A:G,4,FALSE()),"")</f>
        <v/>
      </c>
      <c r="E92" s="81" t="str">
        <f aca="false">_xlfn.IFNA(VLOOKUP(C92,'بيانات الآليات '!A:G,2,FALSE()),"")</f>
        <v/>
      </c>
      <c r="F92" s="81" t="str">
        <f aca="false">_xlfn.IFNA(VLOOKUP(C92,'بيانات الآليات '!A:G,5,FALSE()),"")</f>
        <v/>
      </c>
      <c r="G92" s="82"/>
      <c r="H92" s="83" t="str">
        <f aca="false">_xlfn.IFNA(VLOOKUP(G92,Table14543[],2,FALSE()),"")</f>
        <v/>
      </c>
      <c r="I92" s="84" t="str">
        <f aca="false">_xlfn.IFNA(VLOOKUP(G92,Table14543[],3,FALSE()),"")</f>
        <v/>
      </c>
      <c r="J92" s="83" t="str">
        <f aca="false">CONCATENATE("",G92,""," ",H92," ",I92)</f>
        <v>  </v>
      </c>
      <c r="K92" s="85"/>
      <c r="L92" s="86"/>
      <c r="M92" s="86"/>
      <c r="N92" s="86" t="n">
        <f aca="false">L92*M92</f>
        <v>0</v>
      </c>
      <c r="O92" s="86"/>
      <c r="P92" s="87" t="n">
        <f aca="false">(M92*L92)+O92</f>
        <v>0</v>
      </c>
      <c r="Q92" s="91"/>
    </row>
    <row r="93" customFormat="false" ht="14.25" hidden="false" customHeight="false" outlineLevel="0" collapsed="false">
      <c r="A93" s="77"/>
      <c r="B93" s="78"/>
      <c r="C93" s="79"/>
      <c r="D93" s="80" t="str">
        <f aca="false">_xlfn.IFNA(VLOOKUP(C93,'بيانات الآليات '!A:G,4,FALSE()),"")</f>
        <v/>
      </c>
      <c r="E93" s="81" t="str">
        <f aca="false">_xlfn.IFNA(VLOOKUP(C93,'بيانات الآليات '!A:G,2,FALSE()),"")</f>
        <v/>
      </c>
      <c r="F93" s="81" t="str">
        <f aca="false">_xlfn.IFNA(VLOOKUP(C93,'بيانات الآليات '!A:G,5,FALSE()),"")</f>
        <v/>
      </c>
      <c r="G93" s="82"/>
      <c r="H93" s="83" t="str">
        <f aca="false">_xlfn.IFNA(VLOOKUP(G93,Table14543[],2,FALSE()),"")</f>
        <v/>
      </c>
      <c r="I93" s="84" t="str">
        <f aca="false">_xlfn.IFNA(VLOOKUP(G93,Table14543[],3,FALSE()),"")</f>
        <v/>
      </c>
      <c r="J93" s="83" t="str">
        <f aca="false">CONCATENATE("",G93,""," ",H93," ",I93)</f>
        <v>  </v>
      </c>
      <c r="K93" s="85"/>
      <c r="L93" s="86"/>
      <c r="M93" s="86"/>
      <c r="N93" s="86" t="n">
        <f aca="false">L93*M93</f>
        <v>0</v>
      </c>
      <c r="O93" s="86"/>
      <c r="P93" s="87" t="n">
        <f aca="false">(M93*L93)+O93</f>
        <v>0</v>
      </c>
      <c r="Q93" s="91"/>
    </row>
    <row r="94" customFormat="false" ht="14.25" hidden="false" customHeight="false" outlineLevel="0" collapsed="false">
      <c r="A94" s="77"/>
      <c r="B94" s="78"/>
      <c r="C94" s="79"/>
      <c r="D94" s="80" t="str">
        <f aca="false">_xlfn.IFNA(VLOOKUP(C94,'بيانات الآليات '!A:G,4,FALSE()),"")</f>
        <v/>
      </c>
      <c r="E94" s="81" t="str">
        <f aca="false">_xlfn.IFNA(VLOOKUP(C94,'بيانات الآليات '!A:G,2,FALSE()),"")</f>
        <v/>
      </c>
      <c r="F94" s="81" t="str">
        <f aca="false">_xlfn.IFNA(VLOOKUP(C94,'بيانات الآليات '!A:G,5,FALSE()),"")</f>
        <v/>
      </c>
      <c r="G94" s="82"/>
      <c r="H94" s="83" t="str">
        <f aca="false">_xlfn.IFNA(VLOOKUP(G94,Table14543[],2,FALSE()),"")</f>
        <v/>
      </c>
      <c r="I94" s="84" t="str">
        <f aca="false">_xlfn.IFNA(VLOOKUP(G94,Table14543[],3,FALSE()),"")</f>
        <v/>
      </c>
      <c r="J94" s="83" t="str">
        <f aca="false">CONCATENATE("",G94,""," ",H94," ",I94)</f>
        <v>  </v>
      </c>
      <c r="K94" s="85"/>
      <c r="L94" s="86"/>
      <c r="M94" s="86"/>
      <c r="N94" s="86" t="n">
        <f aca="false">L94*M94</f>
        <v>0</v>
      </c>
      <c r="O94" s="86"/>
      <c r="P94" s="87" t="n">
        <f aca="false">(M94*L94)+O94</f>
        <v>0</v>
      </c>
      <c r="Q94" s="91"/>
    </row>
    <row r="95" customFormat="false" ht="14.25" hidden="false" customHeight="false" outlineLevel="0" collapsed="false">
      <c r="A95" s="77"/>
      <c r="B95" s="78"/>
      <c r="C95" s="79"/>
      <c r="D95" s="80" t="str">
        <f aca="false">_xlfn.IFNA(VLOOKUP(C95,'بيانات الآليات '!A:G,4,FALSE()),"")</f>
        <v/>
      </c>
      <c r="E95" s="81" t="str">
        <f aca="false">_xlfn.IFNA(VLOOKUP(C95,'بيانات الآليات '!A:G,2,FALSE()),"")</f>
        <v/>
      </c>
      <c r="F95" s="81" t="str">
        <f aca="false">_xlfn.IFNA(VLOOKUP(C95,'بيانات الآليات '!A:G,5,FALSE()),"")</f>
        <v/>
      </c>
      <c r="G95" s="82"/>
      <c r="H95" s="83" t="str">
        <f aca="false">_xlfn.IFNA(VLOOKUP(G95,Table14543[],2,FALSE()),"")</f>
        <v/>
      </c>
      <c r="I95" s="84" t="str">
        <f aca="false">_xlfn.IFNA(VLOOKUP(G95,Table14543[],3,FALSE()),"")</f>
        <v/>
      </c>
      <c r="J95" s="83" t="str">
        <f aca="false">CONCATENATE("",G95,""," ",H95," ",I95)</f>
        <v>  </v>
      </c>
      <c r="K95" s="85"/>
      <c r="L95" s="86"/>
      <c r="M95" s="86"/>
      <c r="N95" s="86" t="n">
        <f aca="false">L95*M95</f>
        <v>0</v>
      </c>
      <c r="O95" s="86"/>
      <c r="P95" s="87" t="n">
        <f aca="false">(M95*L95)+O95</f>
        <v>0</v>
      </c>
      <c r="Q95" s="91"/>
    </row>
    <row r="96" customFormat="false" ht="14.25" hidden="false" customHeight="false" outlineLevel="0" collapsed="false">
      <c r="A96" s="77"/>
      <c r="B96" s="78"/>
      <c r="C96" s="79"/>
      <c r="D96" s="80" t="str">
        <f aca="false">_xlfn.IFNA(VLOOKUP(C96,'بيانات الآليات '!A:G,4,FALSE()),"")</f>
        <v/>
      </c>
      <c r="E96" s="81" t="str">
        <f aca="false">_xlfn.IFNA(VLOOKUP(C96,'بيانات الآليات '!A:G,2,FALSE()),"")</f>
        <v/>
      </c>
      <c r="F96" s="81" t="str">
        <f aca="false">_xlfn.IFNA(VLOOKUP(C96,'بيانات الآليات '!A:G,5,FALSE()),"")</f>
        <v/>
      </c>
      <c r="G96" s="82"/>
      <c r="H96" s="83" t="str">
        <f aca="false">_xlfn.IFNA(VLOOKUP(G96,Table14543[],2,FALSE()),"")</f>
        <v/>
      </c>
      <c r="I96" s="84" t="str">
        <f aca="false">_xlfn.IFNA(VLOOKUP(G96,Table14543[],3,FALSE()),"")</f>
        <v/>
      </c>
      <c r="J96" s="83" t="str">
        <f aca="false">CONCATENATE("",G96,""," ",H96," ",I96)</f>
        <v>  </v>
      </c>
      <c r="K96" s="85"/>
      <c r="L96" s="86"/>
      <c r="M96" s="86"/>
      <c r="N96" s="86" t="n">
        <f aca="false">L96*M96</f>
        <v>0</v>
      </c>
      <c r="O96" s="86"/>
      <c r="P96" s="87" t="n">
        <f aca="false">(M96*L96)+O96</f>
        <v>0</v>
      </c>
      <c r="Q96" s="91"/>
    </row>
    <row r="97" customFormat="false" ht="14.25" hidden="false" customHeight="false" outlineLevel="0" collapsed="false">
      <c r="A97" s="77"/>
      <c r="B97" s="78"/>
      <c r="C97" s="79"/>
      <c r="D97" s="80" t="str">
        <f aca="false">_xlfn.IFNA(VLOOKUP(C97,'بيانات الآليات '!A:G,4,FALSE()),"")</f>
        <v/>
      </c>
      <c r="E97" s="81" t="str">
        <f aca="false">_xlfn.IFNA(VLOOKUP(C97,'بيانات الآليات '!A:G,2,FALSE()),"")</f>
        <v/>
      </c>
      <c r="F97" s="81" t="str">
        <f aca="false">_xlfn.IFNA(VLOOKUP(C97,'بيانات الآليات '!A:G,5,FALSE()),"")</f>
        <v/>
      </c>
      <c r="G97" s="82"/>
      <c r="H97" s="83" t="str">
        <f aca="false">_xlfn.IFNA(VLOOKUP(G97,Table14543[],2,FALSE()),"")</f>
        <v/>
      </c>
      <c r="I97" s="84" t="str">
        <f aca="false">_xlfn.IFNA(VLOOKUP(G97,Table14543[],3,FALSE()),"")</f>
        <v/>
      </c>
      <c r="J97" s="83" t="str">
        <f aca="false">CONCATENATE("",G97,""," ",H97," ",I97)</f>
        <v>  </v>
      </c>
      <c r="K97" s="85"/>
      <c r="L97" s="86"/>
      <c r="M97" s="86"/>
      <c r="N97" s="86" t="n">
        <f aca="false">L97*M97</f>
        <v>0</v>
      </c>
      <c r="O97" s="86"/>
      <c r="P97" s="87" t="n">
        <f aca="false">(M97*L97)+O97</f>
        <v>0</v>
      </c>
      <c r="Q97" s="91"/>
    </row>
    <row r="98" customFormat="false" ht="14.25" hidden="false" customHeight="false" outlineLevel="0" collapsed="false">
      <c r="A98" s="77"/>
      <c r="B98" s="78"/>
      <c r="C98" s="79"/>
      <c r="D98" s="80" t="str">
        <f aca="false">_xlfn.IFNA(VLOOKUP(C98,'بيانات الآليات '!A:G,4,FALSE()),"")</f>
        <v/>
      </c>
      <c r="E98" s="81" t="str">
        <f aca="false">_xlfn.IFNA(VLOOKUP(C98,'بيانات الآليات '!A:G,2,FALSE()),"")</f>
        <v/>
      </c>
      <c r="F98" s="81" t="str">
        <f aca="false">_xlfn.IFNA(VLOOKUP(C98,'بيانات الآليات '!A:G,5,FALSE()),"")</f>
        <v/>
      </c>
      <c r="G98" s="82"/>
      <c r="H98" s="83" t="str">
        <f aca="false">_xlfn.IFNA(VLOOKUP(G98,Table14543[],2,FALSE()),"")</f>
        <v/>
      </c>
      <c r="I98" s="84" t="str">
        <f aca="false">_xlfn.IFNA(VLOOKUP(G98,Table14543[],3,FALSE()),"")</f>
        <v/>
      </c>
      <c r="J98" s="83" t="str">
        <f aca="false">CONCATENATE("",G98,""," ",H98," ",I98)</f>
        <v>  </v>
      </c>
      <c r="K98" s="85"/>
      <c r="L98" s="86"/>
      <c r="M98" s="86"/>
      <c r="N98" s="86" t="n">
        <f aca="false">L98*M98</f>
        <v>0</v>
      </c>
      <c r="O98" s="86"/>
      <c r="P98" s="87" t="n">
        <f aca="false">(M98*L98)+O98</f>
        <v>0</v>
      </c>
      <c r="Q98" s="91"/>
    </row>
    <row r="99" customFormat="false" ht="14.25" hidden="false" customHeight="false" outlineLevel="0" collapsed="false">
      <c r="A99" s="77"/>
      <c r="B99" s="78"/>
      <c r="C99" s="79"/>
      <c r="D99" s="80" t="str">
        <f aca="false">_xlfn.IFNA(VLOOKUP(C99,'بيانات الآليات '!A:G,4,FALSE()),"")</f>
        <v/>
      </c>
      <c r="E99" s="81" t="str">
        <f aca="false">_xlfn.IFNA(VLOOKUP(C99,'بيانات الآليات '!A:G,2,FALSE()),"")</f>
        <v/>
      </c>
      <c r="F99" s="81" t="str">
        <f aca="false">_xlfn.IFNA(VLOOKUP(C99,'بيانات الآليات '!A:G,5,FALSE()),"")</f>
        <v/>
      </c>
      <c r="G99" s="82"/>
      <c r="H99" s="83" t="str">
        <f aca="false">_xlfn.IFNA(VLOOKUP(G99,Table14543[],2,FALSE()),"")</f>
        <v/>
      </c>
      <c r="I99" s="84" t="str">
        <f aca="false">_xlfn.IFNA(VLOOKUP(G99,Table14543[],3,FALSE()),"")</f>
        <v/>
      </c>
      <c r="J99" s="83" t="str">
        <f aca="false">CONCATENATE("",G99,""," ",H99," ",I99)</f>
        <v>  </v>
      </c>
      <c r="K99" s="85"/>
      <c r="L99" s="86"/>
      <c r="M99" s="86"/>
      <c r="N99" s="86" t="n">
        <f aca="false">L99*M99</f>
        <v>0</v>
      </c>
      <c r="O99" s="86"/>
      <c r="P99" s="87" t="n">
        <f aca="false">(M99*L99)+O99</f>
        <v>0</v>
      </c>
      <c r="Q99" s="91"/>
    </row>
    <row r="100" customFormat="false" ht="14.25" hidden="false" customHeight="false" outlineLevel="0" collapsed="false">
      <c r="A100" s="77"/>
      <c r="B100" s="78"/>
      <c r="C100" s="79"/>
      <c r="D100" s="80" t="str">
        <f aca="false">_xlfn.IFNA(VLOOKUP(C100,'بيانات الآليات '!A:G,4,FALSE()),"")</f>
        <v/>
      </c>
      <c r="E100" s="81" t="str">
        <f aca="false">_xlfn.IFNA(VLOOKUP(C100,'بيانات الآليات '!A:G,2,FALSE()),"")</f>
        <v/>
      </c>
      <c r="F100" s="81" t="str">
        <f aca="false">_xlfn.IFNA(VLOOKUP(C100,'بيانات الآليات '!A:G,5,FALSE()),"")</f>
        <v/>
      </c>
      <c r="G100" s="82"/>
      <c r="H100" s="83" t="str">
        <f aca="false">_xlfn.IFNA(VLOOKUP(G100,Table14543[],2,FALSE()),"")</f>
        <v/>
      </c>
      <c r="I100" s="84" t="str">
        <f aca="false">_xlfn.IFNA(VLOOKUP(G100,Table14543[],3,FALSE()),"")</f>
        <v/>
      </c>
      <c r="J100" s="83" t="str">
        <f aca="false">CONCATENATE("",G100,""," ",H100," ",I100)</f>
        <v>  </v>
      </c>
      <c r="K100" s="85"/>
      <c r="L100" s="86"/>
      <c r="M100" s="86"/>
      <c r="N100" s="86" t="n">
        <f aca="false">L100*M100</f>
        <v>0</v>
      </c>
      <c r="O100" s="86"/>
      <c r="P100" s="87" t="n">
        <f aca="false">(M100*L100)+O100</f>
        <v>0</v>
      </c>
      <c r="Q100" s="91"/>
    </row>
    <row r="101" customFormat="false" ht="14.25" hidden="false" customHeight="false" outlineLevel="0" collapsed="false">
      <c r="A101" s="77"/>
      <c r="B101" s="78"/>
      <c r="C101" s="79"/>
      <c r="D101" s="80" t="str">
        <f aca="false">_xlfn.IFNA(VLOOKUP(C101,'بيانات الآليات '!A:G,4,FALSE()),"")</f>
        <v/>
      </c>
      <c r="E101" s="81" t="str">
        <f aca="false">_xlfn.IFNA(VLOOKUP(C101,'بيانات الآليات '!A:G,2,FALSE()),"")</f>
        <v/>
      </c>
      <c r="F101" s="81" t="str">
        <f aca="false">_xlfn.IFNA(VLOOKUP(C101,'بيانات الآليات '!A:G,5,FALSE()),"")</f>
        <v/>
      </c>
      <c r="G101" s="82"/>
      <c r="H101" s="83" t="str">
        <f aca="false">_xlfn.IFNA(VLOOKUP(G101,Table14543[],2,FALSE()),"")</f>
        <v/>
      </c>
      <c r="I101" s="84" t="str">
        <f aca="false">_xlfn.IFNA(VLOOKUP(G101,Table14543[],3,FALSE()),"")</f>
        <v/>
      </c>
      <c r="J101" s="83" t="str">
        <f aca="false">CONCATENATE("",G101,""," ",H101," ",I101)</f>
        <v>  </v>
      </c>
      <c r="K101" s="85"/>
      <c r="L101" s="86"/>
      <c r="M101" s="86"/>
      <c r="N101" s="86" t="n">
        <f aca="false">L101*M101</f>
        <v>0</v>
      </c>
      <c r="O101" s="86"/>
      <c r="P101" s="87" t="n">
        <f aca="false">(M101*L101)+O101</f>
        <v>0</v>
      </c>
      <c r="Q101" s="91"/>
    </row>
    <row r="102" customFormat="false" ht="14.25" hidden="false" customHeight="false" outlineLevel="0" collapsed="false">
      <c r="A102" s="77"/>
      <c r="B102" s="78"/>
      <c r="C102" s="79"/>
      <c r="D102" s="80" t="str">
        <f aca="false">_xlfn.IFNA(VLOOKUP(C102,'بيانات الآليات '!A:G,4,FALSE()),"")</f>
        <v/>
      </c>
      <c r="E102" s="81" t="str">
        <f aca="false">_xlfn.IFNA(VLOOKUP(C102,'بيانات الآليات '!A:G,2,FALSE()),"")</f>
        <v/>
      </c>
      <c r="F102" s="81" t="str">
        <f aca="false">_xlfn.IFNA(VLOOKUP(C102,'بيانات الآليات '!A:G,5,FALSE()),"")</f>
        <v/>
      </c>
      <c r="G102" s="82"/>
      <c r="H102" s="83" t="str">
        <f aca="false">_xlfn.IFNA(VLOOKUP(G102,Table14543[],2,FALSE()),"")</f>
        <v/>
      </c>
      <c r="I102" s="84" t="str">
        <f aca="false">_xlfn.IFNA(VLOOKUP(G102,Table14543[],3,FALSE()),"")</f>
        <v/>
      </c>
      <c r="J102" s="83" t="str">
        <f aca="false">CONCATENATE("",G102,""," ",H102," ",I102)</f>
        <v>  </v>
      </c>
      <c r="K102" s="85"/>
      <c r="L102" s="86"/>
      <c r="M102" s="86"/>
      <c r="N102" s="86" t="n">
        <f aca="false">L102*M102</f>
        <v>0</v>
      </c>
      <c r="O102" s="86"/>
      <c r="P102" s="87" t="n">
        <f aca="false">(M102*L102)+O102</f>
        <v>0</v>
      </c>
      <c r="Q102" s="91"/>
    </row>
    <row r="103" customFormat="false" ht="14.25" hidden="false" customHeight="false" outlineLevel="0" collapsed="false">
      <c r="A103" s="77"/>
      <c r="B103" s="78"/>
      <c r="C103" s="79"/>
      <c r="D103" s="80" t="str">
        <f aca="false">_xlfn.IFNA(VLOOKUP(C103,'بيانات الآليات '!A:G,4,FALSE()),"")</f>
        <v/>
      </c>
      <c r="E103" s="81" t="str">
        <f aca="false">_xlfn.IFNA(VLOOKUP(C103,'بيانات الآليات '!A:G,2,FALSE()),"")</f>
        <v/>
      </c>
      <c r="F103" s="81" t="str">
        <f aca="false">_xlfn.IFNA(VLOOKUP(C103,'بيانات الآليات '!A:G,5,FALSE()),"")</f>
        <v/>
      </c>
      <c r="G103" s="82"/>
      <c r="H103" s="83" t="str">
        <f aca="false">_xlfn.IFNA(VLOOKUP(G103,Table14543[],2,FALSE()),"")</f>
        <v/>
      </c>
      <c r="I103" s="84" t="str">
        <f aca="false">_xlfn.IFNA(VLOOKUP(G103,Table14543[],3,FALSE()),"")</f>
        <v/>
      </c>
      <c r="J103" s="83" t="str">
        <f aca="false">CONCATENATE("",G103,""," ",H103," ",I103)</f>
        <v>  </v>
      </c>
      <c r="K103" s="85"/>
      <c r="L103" s="86"/>
      <c r="M103" s="86"/>
      <c r="N103" s="86" t="n">
        <f aca="false">L103*M103</f>
        <v>0</v>
      </c>
      <c r="O103" s="86"/>
      <c r="P103" s="87" t="n">
        <f aca="false">(M103*L103)+O103</f>
        <v>0</v>
      </c>
      <c r="Q103" s="91"/>
    </row>
    <row r="104" customFormat="false" ht="14.25" hidden="false" customHeight="false" outlineLevel="0" collapsed="false">
      <c r="A104" s="77"/>
      <c r="B104" s="78"/>
      <c r="C104" s="79"/>
      <c r="D104" s="80" t="str">
        <f aca="false">_xlfn.IFNA(VLOOKUP(C104,'بيانات الآليات '!A:G,4,FALSE()),"")</f>
        <v/>
      </c>
      <c r="E104" s="81" t="str">
        <f aca="false">_xlfn.IFNA(VLOOKUP(C104,'بيانات الآليات '!A:G,2,FALSE()),"")</f>
        <v/>
      </c>
      <c r="F104" s="81" t="str">
        <f aca="false">_xlfn.IFNA(VLOOKUP(C104,'بيانات الآليات '!A:G,5,FALSE()),"")</f>
        <v/>
      </c>
      <c r="G104" s="82"/>
      <c r="H104" s="83" t="str">
        <f aca="false">_xlfn.IFNA(VLOOKUP(G104,Table14543[],2,FALSE()),"")</f>
        <v/>
      </c>
      <c r="I104" s="84" t="str">
        <f aca="false">_xlfn.IFNA(VLOOKUP(G104,Table14543[],3,FALSE()),"")</f>
        <v/>
      </c>
      <c r="J104" s="83" t="str">
        <f aca="false">CONCATENATE("",G104,""," ",H104," ",I104)</f>
        <v>  </v>
      </c>
      <c r="K104" s="85"/>
      <c r="L104" s="86"/>
      <c r="M104" s="86"/>
      <c r="N104" s="86" t="n">
        <f aca="false">L104*M104</f>
        <v>0</v>
      </c>
      <c r="O104" s="86"/>
      <c r="P104" s="87" t="n">
        <f aca="false">(M104*L104)+O104</f>
        <v>0</v>
      </c>
      <c r="Q104" s="91"/>
    </row>
    <row r="105" customFormat="false" ht="14.25" hidden="false" customHeight="false" outlineLevel="0" collapsed="false">
      <c r="A105" s="77"/>
      <c r="B105" s="78"/>
      <c r="C105" s="79"/>
      <c r="D105" s="80" t="str">
        <f aca="false">_xlfn.IFNA(VLOOKUP(C105,'بيانات الآليات '!A:G,4,FALSE()),"")</f>
        <v/>
      </c>
      <c r="E105" s="81" t="str">
        <f aca="false">_xlfn.IFNA(VLOOKUP(C105,'بيانات الآليات '!A:G,2,FALSE()),"")</f>
        <v/>
      </c>
      <c r="F105" s="81" t="str">
        <f aca="false">_xlfn.IFNA(VLOOKUP(C105,'بيانات الآليات '!A:G,5,FALSE()),"")</f>
        <v/>
      </c>
      <c r="G105" s="82"/>
      <c r="H105" s="83" t="str">
        <f aca="false">_xlfn.IFNA(VLOOKUP(G105,Table14543[],2,FALSE()),"")</f>
        <v/>
      </c>
      <c r="I105" s="84" t="str">
        <f aca="false">_xlfn.IFNA(VLOOKUP(G105,Table14543[],3,FALSE()),"")</f>
        <v/>
      </c>
      <c r="J105" s="83" t="str">
        <f aca="false">CONCATENATE("",G105,""," ",H105," ",I105)</f>
        <v>  </v>
      </c>
      <c r="K105" s="85"/>
      <c r="L105" s="86"/>
      <c r="M105" s="86"/>
      <c r="N105" s="86" t="n">
        <f aca="false">L105*M105</f>
        <v>0</v>
      </c>
      <c r="O105" s="86"/>
      <c r="P105" s="87" t="n">
        <f aca="false">(M105*L105)+O105</f>
        <v>0</v>
      </c>
      <c r="Q105" s="91"/>
    </row>
    <row r="106" customFormat="false" ht="14.25" hidden="false" customHeight="false" outlineLevel="0" collapsed="false">
      <c r="A106" s="77"/>
      <c r="B106" s="78"/>
      <c r="C106" s="79"/>
      <c r="D106" s="80" t="str">
        <f aca="false">_xlfn.IFNA(VLOOKUP(C106,'بيانات الآليات '!A:G,4,FALSE()),"")</f>
        <v/>
      </c>
      <c r="E106" s="81" t="str">
        <f aca="false">_xlfn.IFNA(VLOOKUP(C106,'بيانات الآليات '!A:G,2,FALSE()),"")</f>
        <v/>
      </c>
      <c r="F106" s="81" t="str">
        <f aca="false">_xlfn.IFNA(VLOOKUP(C106,'بيانات الآليات '!A:G,5,FALSE()),"")</f>
        <v/>
      </c>
      <c r="G106" s="82"/>
      <c r="H106" s="83" t="str">
        <f aca="false">_xlfn.IFNA(VLOOKUP(G106,Table14543[],2,FALSE()),"")</f>
        <v/>
      </c>
      <c r="I106" s="84" t="str">
        <f aca="false">_xlfn.IFNA(VLOOKUP(G106,Table14543[],3,FALSE()),"")</f>
        <v/>
      </c>
      <c r="J106" s="83" t="str">
        <f aca="false">CONCATENATE("",G106,""," ",H106," ",I106)</f>
        <v>  </v>
      </c>
      <c r="K106" s="85"/>
      <c r="L106" s="86"/>
      <c r="M106" s="86"/>
      <c r="N106" s="86" t="n">
        <f aca="false">L106*M106</f>
        <v>0</v>
      </c>
      <c r="O106" s="86"/>
      <c r="P106" s="87" t="n">
        <f aca="false">(M106*L106)+O106</f>
        <v>0</v>
      </c>
      <c r="Q106" s="91"/>
    </row>
    <row r="107" customFormat="false" ht="14.25" hidden="false" customHeight="false" outlineLevel="0" collapsed="false">
      <c r="A107" s="77"/>
      <c r="B107" s="78"/>
      <c r="C107" s="79"/>
      <c r="D107" s="80" t="str">
        <f aca="false">_xlfn.IFNA(VLOOKUP(C107,'بيانات الآليات '!A:G,4,FALSE()),"")</f>
        <v/>
      </c>
      <c r="E107" s="81" t="str">
        <f aca="false">_xlfn.IFNA(VLOOKUP(C107,'بيانات الآليات '!A:G,2,FALSE()),"")</f>
        <v/>
      </c>
      <c r="F107" s="81" t="str">
        <f aca="false">_xlfn.IFNA(VLOOKUP(C107,'بيانات الآليات '!A:G,5,FALSE()),"")</f>
        <v/>
      </c>
      <c r="G107" s="82"/>
      <c r="H107" s="83" t="str">
        <f aca="false">_xlfn.IFNA(VLOOKUP(G107,Table14543[],2,FALSE()),"")</f>
        <v/>
      </c>
      <c r="I107" s="84" t="str">
        <f aca="false">_xlfn.IFNA(VLOOKUP(G107,Table14543[],3,FALSE()),"")</f>
        <v/>
      </c>
      <c r="J107" s="83" t="str">
        <f aca="false">CONCATENATE("",G107,""," ",H107," ",I107)</f>
        <v>  </v>
      </c>
      <c r="K107" s="85"/>
      <c r="L107" s="86"/>
      <c r="M107" s="86"/>
      <c r="N107" s="86" t="n">
        <f aca="false">L107*M107</f>
        <v>0</v>
      </c>
      <c r="O107" s="86"/>
      <c r="P107" s="87" t="n">
        <f aca="false">(M107*L107)+O107</f>
        <v>0</v>
      </c>
      <c r="Q107" s="91"/>
    </row>
    <row r="108" customFormat="false" ht="14.25" hidden="false" customHeight="false" outlineLevel="0" collapsed="false">
      <c r="A108" s="77"/>
      <c r="B108" s="78"/>
      <c r="C108" s="79"/>
      <c r="D108" s="80" t="str">
        <f aca="false">_xlfn.IFNA(VLOOKUP(C108,'بيانات الآليات '!A:G,4,FALSE()),"")</f>
        <v/>
      </c>
      <c r="E108" s="81" t="str">
        <f aca="false">_xlfn.IFNA(VLOOKUP(C108,'بيانات الآليات '!A:G,2,FALSE()),"")</f>
        <v/>
      </c>
      <c r="F108" s="81" t="str">
        <f aca="false">_xlfn.IFNA(VLOOKUP(C108,'بيانات الآليات '!A:G,5,FALSE()),"")</f>
        <v/>
      </c>
      <c r="G108" s="82"/>
      <c r="H108" s="83" t="str">
        <f aca="false">_xlfn.IFNA(VLOOKUP(G108,Table14543[],2,FALSE()),"")</f>
        <v/>
      </c>
      <c r="I108" s="84" t="str">
        <f aca="false">_xlfn.IFNA(VLOOKUP(G108,Table14543[],3,FALSE()),"")</f>
        <v/>
      </c>
      <c r="J108" s="83" t="str">
        <f aca="false">CONCATENATE("",G108,""," ",H108," ",I108)</f>
        <v>  </v>
      </c>
      <c r="K108" s="85"/>
      <c r="L108" s="86"/>
      <c r="M108" s="86"/>
      <c r="N108" s="86" t="n">
        <f aca="false">L108*M108</f>
        <v>0</v>
      </c>
      <c r="O108" s="86"/>
      <c r="P108" s="87" t="n">
        <f aca="false">(M108*L108)+O108</f>
        <v>0</v>
      </c>
      <c r="Q108" s="91"/>
    </row>
    <row r="109" customFormat="false" ht="14.25" hidden="false" customHeight="false" outlineLevel="0" collapsed="false">
      <c r="A109" s="77"/>
      <c r="B109" s="78"/>
      <c r="C109" s="79"/>
      <c r="D109" s="80" t="str">
        <f aca="false">_xlfn.IFNA(VLOOKUP(C109,'بيانات الآليات '!A:G,4,FALSE()),"")</f>
        <v/>
      </c>
      <c r="E109" s="81" t="str">
        <f aca="false">_xlfn.IFNA(VLOOKUP(C109,'بيانات الآليات '!A:G,2,FALSE()),"")</f>
        <v/>
      </c>
      <c r="F109" s="81" t="str">
        <f aca="false">_xlfn.IFNA(VLOOKUP(C109,'بيانات الآليات '!A:G,5,FALSE()),"")</f>
        <v/>
      </c>
      <c r="G109" s="82"/>
      <c r="H109" s="83" t="str">
        <f aca="false">_xlfn.IFNA(VLOOKUP(G109,Table14543[],2,FALSE()),"")</f>
        <v/>
      </c>
      <c r="I109" s="84" t="str">
        <f aca="false">_xlfn.IFNA(VLOOKUP(G109,Table14543[],3,FALSE()),"")</f>
        <v/>
      </c>
      <c r="J109" s="83" t="str">
        <f aca="false">CONCATENATE("",G109,""," ",H109," ",I109)</f>
        <v>  </v>
      </c>
      <c r="K109" s="85"/>
      <c r="L109" s="86"/>
      <c r="M109" s="86"/>
      <c r="N109" s="86" t="n">
        <f aca="false">L109*M109</f>
        <v>0</v>
      </c>
      <c r="O109" s="86"/>
      <c r="P109" s="87" t="n">
        <f aca="false">(M109*L109)+O109</f>
        <v>0</v>
      </c>
      <c r="Q109" s="91"/>
    </row>
    <row r="110" customFormat="false" ht="14.25" hidden="false" customHeight="false" outlineLevel="0" collapsed="false">
      <c r="A110" s="77"/>
      <c r="B110" s="78"/>
      <c r="C110" s="79"/>
      <c r="D110" s="80" t="str">
        <f aca="false">_xlfn.IFNA(VLOOKUP(C110,'بيانات الآليات '!A:G,4,FALSE()),"")</f>
        <v/>
      </c>
      <c r="E110" s="81" t="str">
        <f aca="false">_xlfn.IFNA(VLOOKUP(C110,'بيانات الآليات '!A:G,2,FALSE()),"")</f>
        <v/>
      </c>
      <c r="F110" s="81" t="str">
        <f aca="false">_xlfn.IFNA(VLOOKUP(C110,'بيانات الآليات '!A:G,5,FALSE()),"")</f>
        <v/>
      </c>
      <c r="G110" s="82"/>
      <c r="H110" s="83" t="str">
        <f aca="false">_xlfn.IFNA(VLOOKUP(G110,Table14543[],2,FALSE()),"")</f>
        <v/>
      </c>
      <c r="I110" s="84" t="str">
        <f aca="false">_xlfn.IFNA(VLOOKUP(G110,Table14543[],3,FALSE()),"")</f>
        <v/>
      </c>
      <c r="J110" s="83" t="str">
        <f aca="false">CONCATENATE("",G110,""," ",H110," ",I110)</f>
        <v>  </v>
      </c>
      <c r="K110" s="85"/>
      <c r="L110" s="86"/>
      <c r="M110" s="86"/>
      <c r="N110" s="86" t="n">
        <f aca="false">L110*M110</f>
        <v>0</v>
      </c>
      <c r="O110" s="86"/>
      <c r="P110" s="87" t="n">
        <f aca="false">(M110*L110)+O110</f>
        <v>0</v>
      </c>
      <c r="Q110" s="91"/>
    </row>
    <row r="111" customFormat="false" ht="14.25" hidden="false" customHeight="false" outlineLevel="0" collapsed="false">
      <c r="A111" s="77"/>
      <c r="B111" s="78"/>
      <c r="C111" s="79"/>
      <c r="D111" s="80" t="str">
        <f aca="false">_xlfn.IFNA(VLOOKUP(C111,'بيانات الآليات '!A:G,4,FALSE()),"")</f>
        <v/>
      </c>
      <c r="E111" s="81" t="str">
        <f aca="false">_xlfn.IFNA(VLOOKUP(C111,'بيانات الآليات '!A:G,2,FALSE()),"")</f>
        <v/>
      </c>
      <c r="F111" s="81" t="str">
        <f aca="false">_xlfn.IFNA(VLOOKUP(C111,'بيانات الآليات '!A:G,5,FALSE()),"")</f>
        <v/>
      </c>
      <c r="G111" s="82"/>
      <c r="H111" s="83" t="str">
        <f aca="false">_xlfn.IFNA(VLOOKUP(G111,Table14543[],2,FALSE()),"")</f>
        <v/>
      </c>
      <c r="I111" s="84" t="str">
        <f aca="false">_xlfn.IFNA(VLOOKUP(G111,Table14543[],3,FALSE()),"")</f>
        <v/>
      </c>
      <c r="J111" s="83" t="str">
        <f aca="false">CONCATENATE("",G111,""," ",H111," ",I111)</f>
        <v>  </v>
      </c>
      <c r="K111" s="85"/>
      <c r="L111" s="86"/>
      <c r="M111" s="86"/>
      <c r="N111" s="86" t="n">
        <f aca="false">L111*M111</f>
        <v>0</v>
      </c>
      <c r="O111" s="86"/>
      <c r="P111" s="87" t="n">
        <f aca="false">(M111*L111)+O111</f>
        <v>0</v>
      </c>
      <c r="Q111" s="91"/>
    </row>
    <row r="112" customFormat="false" ht="14.25" hidden="false" customHeight="false" outlineLevel="0" collapsed="false">
      <c r="A112" s="77"/>
      <c r="B112" s="78"/>
      <c r="C112" s="79"/>
      <c r="D112" s="80" t="str">
        <f aca="false">_xlfn.IFNA(VLOOKUP(C112,'بيانات الآليات '!A:G,4,FALSE()),"")</f>
        <v/>
      </c>
      <c r="E112" s="81" t="str">
        <f aca="false">_xlfn.IFNA(VLOOKUP(C112,'بيانات الآليات '!A:G,2,FALSE()),"")</f>
        <v/>
      </c>
      <c r="F112" s="81" t="str">
        <f aca="false">_xlfn.IFNA(VLOOKUP(C112,'بيانات الآليات '!A:G,5,FALSE()),"")</f>
        <v/>
      </c>
      <c r="G112" s="82"/>
      <c r="H112" s="83" t="str">
        <f aca="false">_xlfn.IFNA(VLOOKUP(G112,Table14543[],2,FALSE()),"")</f>
        <v/>
      </c>
      <c r="I112" s="84" t="str">
        <f aca="false">_xlfn.IFNA(VLOOKUP(G112,Table14543[],3,FALSE()),"")</f>
        <v/>
      </c>
      <c r="J112" s="83" t="str">
        <f aca="false">CONCATENATE("",G112,""," ",H112," ",I112)</f>
        <v>  </v>
      </c>
      <c r="K112" s="85"/>
      <c r="L112" s="86"/>
      <c r="M112" s="86"/>
      <c r="N112" s="86" t="n">
        <f aca="false">L112*M112</f>
        <v>0</v>
      </c>
      <c r="O112" s="86"/>
      <c r="P112" s="87" t="n">
        <f aca="false">(M112*L112)+O112</f>
        <v>0</v>
      </c>
      <c r="Q112" s="91"/>
    </row>
    <row r="113" customFormat="false" ht="14.25" hidden="false" customHeight="false" outlineLevel="0" collapsed="false">
      <c r="A113" s="77"/>
      <c r="B113" s="78"/>
      <c r="C113" s="79"/>
      <c r="D113" s="80" t="str">
        <f aca="false">_xlfn.IFNA(VLOOKUP(C113,'بيانات الآليات '!A:G,4,FALSE()),"")</f>
        <v/>
      </c>
      <c r="E113" s="81" t="str">
        <f aca="false">_xlfn.IFNA(VLOOKUP(C113,'بيانات الآليات '!A:G,2,FALSE()),"")</f>
        <v/>
      </c>
      <c r="F113" s="81" t="str">
        <f aca="false">_xlfn.IFNA(VLOOKUP(C113,'بيانات الآليات '!A:G,5,FALSE()),"")</f>
        <v/>
      </c>
      <c r="G113" s="82"/>
      <c r="H113" s="83" t="str">
        <f aca="false">_xlfn.IFNA(VLOOKUP(G113,Table14543[],2,FALSE()),"")</f>
        <v/>
      </c>
      <c r="I113" s="84" t="str">
        <f aca="false">_xlfn.IFNA(VLOOKUP(G113,Table14543[],3,FALSE()),"")</f>
        <v/>
      </c>
      <c r="J113" s="83" t="str">
        <f aca="false">CONCATENATE("",G113,""," ",H113," ",I113)</f>
        <v>  </v>
      </c>
      <c r="K113" s="85"/>
      <c r="L113" s="86"/>
      <c r="M113" s="86"/>
      <c r="N113" s="86" t="n">
        <f aca="false">L113*M113</f>
        <v>0</v>
      </c>
      <c r="O113" s="86"/>
      <c r="P113" s="87" t="n">
        <f aca="false">(M113*L113)+O113</f>
        <v>0</v>
      </c>
      <c r="Q113" s="91"/>
    </row>
    <row r="114" customFormat="false" ht="14.25" hidden="false" customHeight="false" outlineLevel="0" collapsed="false">
      <c r="A114" s="77"/>
      <c r="B114" s="78"/>
      <c r="C114" s="79"/>
      <c r="D114" s="80" t="str">
        <f aca="false">_xlfn.IFNA(VLOOKUP(C114,'بيانات الآليات '!A:G,4,FALSE()),"")</f>
        <v/>
      </c>
      <c r="E114" s="81" t="str">
        <f aca="false">_xlfn.IFNA(VLOOKUP(C114,'بيانات الآليات '!A:G,2,FALSE()),"")</f>
        <v/>
      </c>
      <c r="F114" s="81" t="str">
        <f aca="false">_xlfn.IFNA(VLOOKUP(C114,'بيانات الآليات '!A:G,5,FALSE()),"")</f>
        <v/>
      </c>
      <c r="G114" s="82"/>
      <c r="H114" s="83" t="str">
        <f aca="false">_xlfn.IFNA(VLOOKUP(G114,Table14543[],2,FALSE()),"")</f>
        <v/>
      </c>
      <c r="I114" s="84" t="str">
        <f aca="false">_xlfn.IFNA(VLOOKUP(G114,Table14543[],3,FALSE()),"")</f>
        <v/>
      </c>
      <c r="J114" s="83" t="str">
        <f aca="false">CONCATENATE("",G114,""," ",H114," ",I114)</f>
        <v>  </v>
      </c>
      <c r="K114" s="85"/>
      <c r="L114" s="86"/>
      <c r="M114" s="86"/>
      <c r="N114" s="86" t="n">
        <f aca="false">L114*M114</f>
        <v>0</v>
      </c>
      <c r="O114" s="86"/>
      <c r="P114" s="87" t="n">
        <f aca="false">(M114*L114)+O114</f>
        <v>0</v>
      </c>
      <c r="Q114" s="91"/>
    </row>
    <row r="115" customFormat="false" ht="14.25" hidden="false" customHeight="false" outlineLevel="0" collapsed="false">
      <c r="A115" s="77"/>
      <c r="B115" s="78"/>
      <c r="C115" s="79"/>
      <c r="D115" s="80" t="str">
        <f aca="false">_xlfn.IFNA(VLOOKUP(C115,'بيانات الآليات '!A:G,4,FALSE()),"")</f>
        <v/>
      </c>
      <c r="E115" s="81" t="str">
        <f aca="false">_xlfn.IFNA(VLOOKUP(C115,'بيانات الآليات '!A:G,2,FALSE()),"")</f>
        <v/>
      </c>
      <c r="F115" s="81" t="str">
        <f aca="false">_xlfn.IFNA(VLOOKUP(C115,'بيانات الآليات '!A:G,5,FALSE()),"")</f>
        <v/>
      </c>
      <c r="G115" s="82"/>
      <c r="H115" s="83" t="str">
        <f aca="false">_xlfn.IFNA(VLOOKUP(G115,Table14543[],2,FALSE()),"")</f>
        <v/>
      </c>
      <c r="I115" s="84" t="str">
        <f aca="false">_xlfn.IFNA(VLOOKUP(G115,Table14543[],3,FALSE()),"")</f>
        <v/>
      </c>
      <c r="J115" s="83" t="str">
        <f aca="false">CONCATENATE("",G115,""," ",H115," ",I115)</f>
        <v>  </v>
      </c>
      <c r="K115" s="85"/>
      <c r="L115" s="86"/>
      <c r="M115" s="86"/>
      <c r="N115" s="86" t="n">
        <f aca="false">L115*M115</f>
        <v>0</v>
      </c>
      <c r="O115" s="86"/>
      <c r="P115" s="87" t="n">
        <f aca="false">(M115*L115)+O115</f>
        <v>0</v>
      </c>
      <c r="Q115" s="91"/>
    </row>
    <row r="116" customFormat="false" ht="14.25" hidden="false" customHeight="false" outlineLevel="0" collapsed="false">
      <c r="A116" s="77"/>
      <c r="B116" s="78"/>
      <c r="C116" s="79"/>
      <c r="D116" s="80" t="str">
        <f aca="false">_xlfn.IFNA(VLOOKUP(C116,'بيانات الآليات '!A:G,4,FALSE()),"")</f>
        <v/>
      </c>
      <c r="E116" s="81" t="str">
        <f aca="false">_xlfn.IFNA(VLOOKUP(C116,'بيانات الآليات '!A:G,2,FALSE()),"")</f>
        <v/>
      </c>
      <c r="F116" s="81" t="str">
        <f aca="false">_xlfn.IFNA(VLOOKUP(C116,'بيانات الآليات '!A:G,5,FALSE()),"")</f>
        <v/>
      </c>
      <c r="G116" s="82"/>
      <c r="H116" s="83" t="str">
        <f aca="false">_xlfn.IFNA(VLOOKUP(G116,Table14543[],2,FALSE()),"")</f>
        <v/>
      </c>
      <c r="I116" s="84" t="str">
        <f aca="false">_xlfn.IFNA(VLOOKUP(G116,Table14543[],3,FALSE()),"")</f>
        <v/>
      </c>
      <c r="J116" s="83" t="str">
        <f aca="false">CONCATENATE("",G116,""," ",H116," ",I116)</f>
        <v>  </v>
      </c>
      <c r="K116" s="85"/>
      <c r="L116" s="86"/>
      <c r="M116" s="86"/>
      <c r="N116" s="86" t="n">
        <f aca="false">L116*M116</f>
        <v>0</v>
      </c>
      <c r="O116" s="86"/>
      <c r="P116" s="87" t="n">
        <f aca="false">(M116*L116)+O116</f>
        <v>0</v>
      </c>
      <c r="Q116" s="91"/>
    </row>
    <row r="117" customFormat="false" ht="14.25" hidden="false" customHeight="false" outlineLevel="0" collapsed="false">
      <c r="A117" s="77"/>
      <c r="B117" s="78"/>
      <c r="C117" s="79"/>
      <c r="D117" s="80" t="str">
        <f aca="false">_xlfn.IFNA(VLOOKUP(C117,'بيانات الآليات '!A:G,4,FALSE()),"")</f>
        <v/>
      </c>
      <c r="E117" s="81" t="str">
        <f aca="false">_xlfn.IFNA(VLOOKUP(C117,'بيانات الآليات '!A:G,2,FALSE()),"")</f>
        <v/>
      </c>
      <c r="F117" s="81" t="str">
        <f aca="false">_xlfn.IFNA(VLOOKUP(C117,'بيانات الآليات '!A:G,5,FALSE()),"")</f>
        <v/>
      </c>
      <c r="G117" s="82"/>
      <c r="H117" s="83" t="str">
        <f aca="false">_xlfn.IFNA(VLOOKUP(G117,Table14543[],2,FALSE()),"")</f>
        <v/>
      </c>
      <c r="I117" s="84" t="str">
        <f aca="false">_xlfn.IFNA(VLOOKUP(G117,Table14543[],3,FALSE()),"")</f>
        <v/>
      </c>
      <c r="J117" s="83" t="str">
        <f aca="false">CONCATENATE("",G117,""," ",H117," ",I117)</f>
        <v>  </v>
      </c>
      <c r="K117" s="85"/>
      <c r="L117" s="86"/>
      <c r="M117" s="86"/>
      <c r="N117" s="86" t="n">
        <f aca="false">L117*M117</f>
        <v>0</v>
      </c>
      <c r="O117" s="86"/>
      <c r="P117" s="87" t="n">
        <f aca="false">(M117*L117)+O117</f>
        <v>0</v>
      </c>
      <c r="Q117" s="91"/>
    </row>
    <row r="118" customFormat="false" ht="14.25" hidden="false" customHeight="false" outlineLevel="0" collapsed="false">
      <c r="A118" s="77"/>
      <c r="B118" s="78"/>
      <c r="C118" s="79"/>
      <c r="D118" s="80" t="str">
        <f aca="false">_xlfn.IFNA(VLOOKUP(C118,'بيانات الآليات '!A:G,4,FALSE()),"")</f>
        <v/>
      </c>
      <c r="E118" s="81" t="str">
        <f aca="false">_xlfn.IFNA(VLOOKUP(C118,'بيانات الآليات '!A:G,2,FALSE()),"")</f>
        <v/>
      </c>
      <c r="F118" s="81" t="str">
        <f aca="false">_xlfn.IFNA(VLOOKUP(C118,'بيانات الآليات '!A:G,5,FALSE()),"")</f>
        <v/>
      </c>
      <c r="G118" s="82"/>
      <c r="H118" s="83" t="str">
        <f aca="false">_xlfn.IFNA(VLOOKUP(G118,Table14543[],2,FALSE()),"")</f>
        <v/>
      </c>
      <c r="I118" s="84" t="str">
        <f aca="false">_xlfn.IFNA(VLOOKUP(G118,Table14543[],3,FALSE()),"")</f>
        <v/>
      </c>
      <c r="J118" s="83" t="str">
        <f aca="false">CONCATENATE("",G118,""," ",H118," ",I118)</f>
        <v>  </v>
      </c>
      <c r="K118" s="85"/>
      <c r="L118" s="86"/>
      <c r="M118" s="86"/>
      <c r="N118" s="86" t="n">
        <f aca="false">L118*M118</f>
        <v>0</v>
      </c>
      <c r="O118" s="86"/>
      <c r="P118" s="87" t="n">
        <f aca="false">(M118*L118)+O118</f>
        <v>0</v>
      </c>
      <c r="Q118" s="91"/>
    </row>
    <row r="119" customFormat="false" ht="14.25" hidden="false" customHeight="false" outlineLevel="0" collapsed="false">
      <c r="A119" s="77"/>
      <c r="B119" s="78"/>
      <c r="C119" s="79"/>
      <c r="D119" s="80" t="str">
        <f aca="false">_xlfn.IFNA(VLOOKUP(C119,'بيانات الآليات '!A:G,4,FALSE()),"")</f>
        <v/>
      </c>
      <c r="E119" s="81" t="str">
        <f aca="false">_xlfn.IFNA(VLOOKUP(C119,'بيانات الآليات '!A:G,2,FALSE()),"")</f>
        <v/>
      </c>
      <c r="F119" s="81" t="str">
        <f aca="false">_xlfn.IFNA(VLOOKUP(C119,'بيانات الآليات '!A:G,5,FALSE()),"")</f>
        <v/>
      </c>
      <c r="G119" s="82"/>
      <c r="H119" s="83" t="str">
        <f aca="false">_xlfn.IFNA(VLOOKUP(G119,Table14543[],2,FALSE()),"")</f>
        <v/>
      </c>
      <c r="I119" s="84" t="str">
        <f aca="false">_xlfn.IFNA(VLOOKUP(G119,Table14543[],3,FALSE()),"")</f>
        <v/>
      </c>
      <c r="J119" s="83" t="str">
        <f aca="false">CONCATENATE("",G119,""," ",H119," ",I119)</f>
        <v>  </v>
      </c>
      <c r="K119" s="85"/>
      <c r="L119" s="86"/>
      <c r="M119" s="86"/>
      <c r="N119" s="86" t="n">
        <f aca="false">L119*M119</f>
        <v>0</v>
      </c>
      <c r="O119" s="86"/>
      <c r="P119" s="87" t="n">
        <f aca="false">(M119*L119)+O119</f>
        <v>0</v>
      </c>
      <c r="Q119" s="91"/>
    </row>
    <row r="120" customFormat="false" ht="14.25" hidden="false" customHeight="false" outlineLevel="0" collapsed="false">
      <c r="A120" s="77"/>
      <c r="B120" s="78"/>
      <c r="C120" s="79"/>
      <c r="D120" s="80" t="str">
        <f aca="false">_xlfn.IFNA(VLOOKUP(C120,'بيانات الآليات '!A:G,4,FALSE()),"")</f>
        <v/>
      </c>
      <c r="E120" s="81" t="str">
        <f aca="false">_xlfn.IFNA(VLOOKUP(C120,'بيانات الآليات '!A:G,2,FALSE()),"")</f>
        <v/>
      </c>
      <c r="F120" s="81" t="str">
        <f aca="false">_xlfn.IFNA(VLOOKUP(C120,'بيانات الآليات '!A:G,5,FALSE()),"")</f>
        <v/>
      </c>
      <c r="G120" s="82"/>
      <c r="H120" s="83" t="str">
        <f aca="false">_xlfn.IFNA(VLOOKUP(G120,Table14543[],2,FALSE()),"")</f>
        <v/>
      </c>
      <c r="I120" s="84" t="str">
        <f aca="false">_xlfn.IFNA(VLOOKUP(G120,Table14543[],3,FALSE()),"")</f>
        <v/>
      </c>
      <c r="J120" s="83" t="str">
        <f aca="false">CONCATENATE("",G120,""," ",H120," ",I120)</f>
        <v>  </v>
      </c>
      <c r="K120" s="85"/>
      <c r="L120" s="86"/>
      <c r="M120" s="86"/>
      <c r="N120" s="86" t="n">
        <f aca="false">L120*M120</f>
        <v>0</v>
      </c>
      <c r="O120" s="86"/>
      <c r="P120" s="87" t="n">
        <f aca="false">(M120*L120)+O120</f>
        <v>0</v>
      </c>
      <c r="Q120" s="91"/>
    </row>
    <row r="121" customFormat="false" ht="14.25" hidden="false" customHeight="false" outlineLevel="0" collapsed="false">
      <c r="A121" s="77"/>
      <c r="B121" s="78"/>
      <c r="C121" s="79"/>
      <c r="D121" s="80" t="str">
        <f aca="false">_xlfn.IFNA(VLOOKUP(C121,'بيانات الآليات '!A:G,4,FALSE()),"")</f>
        <v/>
      </c>
      <c r="E121" s="81" t="str">
        <f aca="false">_xlfn.IFNA(VLOOKUP(C121,'بيانات الآليات '!A:G,2,FALSE()),"")</f>
        <v/>
      </c>
      <c r="F121" s="81" t="str">
        <f aca="false">_xlfn.IFNA(VLOOKUP(C121,'بيانات الآليات '!A:G,5,FALSE()),"")</f>
        <v/>
      </c>
      <c r="G121" s="82"/>
      <c r="H121" s="83" t="str">
        <f aca="false">_xlfn.IFNA(VLOOKUP(G121,Table14543[],2,FALSE()),"")</f>
        <v/>
      </c>
      <c r="I121" s="84" t="str">
        <f aca="false">_xlfn.IFNA(VLOOKUP(G121,Table14543[],3,FALSE()),"")</f>
        <v/>
      </c>
      <c r="J121" s="83" t="str">
        <f aca="false">CONCATENATE("",G121,""," ",H121," ",I121)</f>
        <v>  </v>
      </c>
      <c r="K121" s="85"/>
      <c r="L121" s="86"/>
      <c r="M121" s="86"/>
      <c r="N121" s="86" t="n">
        <f aca="false">L121*M121</f>
        <v>0</v>
      </c>
      <c r="O121" s="86"/>
      <c r="P121" s="87" t="n">
        <f aca="false">(M121*L121)+O121</f>
        <v>0</v>
      </c>
      <c r="Q121" s="91"/>
    </row>
    <row r="122" customFormat="false" ht="14.25" hidden="false" customHeight="false" outlineLevel="0" collapsed="false">
      <c r="A122" s="77"/>
      <c r="B122" s="78"/>
      <c r="C122" s="79"/>
      <c r="D122" s="80" t="str">
        <f aca="false">_xlfn.IFNA(VLOOKUP(C122,'بيانات الآليات '!A:G,4,FALSE()),"")</f>
        <v/>
      </c>
      <c r="E122" s="81" t="str">
        <f aca="false">_xlfn.IFNA(VLOOKUP(C122,'بيانات الآليات '!A:G,2,FALSE()),"")</f>
        <v/>
      </c>
      <c r="F122" s="81" t="str">
        <f aca="false">_xlfn.IFNA(VLOOKUP(C122,'بيانات الآليات '!A:G,5,FALSE()),"")</f>
        <v/>
      </c>
      <c r="G122" s="82"/>
      <c r="H122" s="83" t="str">
        <f aca="false">_xlfn.IFNA(VLOOKUP(G122,Table14543[],2,FALSE()),"")</f>
        <v/>
      </c>
      <c r="I122" s="84" t="str">
        <f aca="false">_xlfn.IFNA(VLOOKUP(G122,Table14543[],3,FALSE()),"")</f>
        <v/>
      </c>
      <c r="J122" s="83" t="str">
        <f aca="false">CONCATENATE("",G122,""," ",H122," ",I122)</f>
        <v>  </v>
      </c>
      <c r="K122" s="85"/>
      <c r="L122" s="86"/>
      <c r="M122" s="86"/>
      <c r="N122" s="86" t="n">
        <f aca="false">L122*M122</f>
        <v>0</v>
      </c>
      <c r="O122" s="86"/>
      <c r="P122" s="87" t="n">
        <f aca="false">(M122*L122)+O122</f>
        <v>0</v>
      </c>
      <c r="Q122" s="91"/>
    </row>
    <row r="123" customFormat="false" ht="14.25" hidden="false" customHeight="false" outlineLevel="0" collapsed="false">
      <c r="A123" s="77"/>
      <c r="B123" s="78"/>
      <c r="C123" s="79"/>
      <c r="D123" s="80" t="str">
        <f aca="false">_xlfn.IFNA(VLOOKUP(C123,'بيانات الآليات '!A:G,4,FALSE()),"")</f>
        <v/>
      </c>
      <c r="E123" s="81" t="str">
        <f aca="false">_xlfn.IFNA(VLOOKUP(C123,'بيانات الآليات '!A:G,2,FALSE()),"")</f>
        <v/>
      </c>
      <c r="F123" s="81" t="str">
        <f aca="false">_xlfn.IFNA(VLOOKUP(C123,'بيانات الآليات '!A:G,5,FALSE()),"")</f>
        <v/>
      </c>
      <c r="G123" s="82"/>
      <c r="H123" s="83" t="str">
        <f aca="false">_xlfn.IFNA(VLOOKUP(G123,Table14543[],2,FALSE()),"")</f>
        <v/>
      </c>
      <c r="I123" s="84" t="str">
        <f aca="false">_xlfn.IFNA(VLOOKUP(G123,Table14543[],3,FALSE()),"")</f>
        <v/>
      </c>
      <c r="J123" s="83" t="str">
        <f aca="false">CONCATENATE("",G123,""," ",H123," ",I123)</f>
        <v>  </v>
      </c>
      <c r="K123" s="85"/>
      <c r="L123" s="86"/>
      <c r="M123" s="86"/>
      <c r="N123" s="86" t="n">
        <f aca="false">L123*M123</f>
        <v>0</v>
      </c>
      <c r="O123" s="86"/>
      <c r="P123" s="87" t="n">
        <f aca="false">(M123*L123)+O123</f>
        <v>0</v>
      </c>
      <c r="Q123" s="91"/>
    </row>
    <row r="124" customFormat="false" ht="14.25" hidden="false" customHeight="false" outlineLevel="0" collapsed="false">
      <c r="A124" s="77"/>
      <c r="B124" s="78"/>
      <c r="C124" s="79"/>
      <c r="D124" s="80" t="str">
        <f aca="false">_xlfn.IFNA(VLOOKUP(C124,'بيانات الآليات '!A:G,4,FALSE()),"")</f>
        <v/>
      </c>
      <c r="E124" s="81" t="str">
        <f aca="false">_xlfn.IFNA(VLOOKUP(C124,'بيانات الآليات '!A:G,2,FALSE()),"")</f>
        <v/>
      </c>
      <c r="F124" s="81" t="str">
        <f aca="false">_xlfn.IFNA(VLOOKUP(C124,'بيانات الآليات '!A:G,5,FALSE()),"")</f>
        <v/>
      </c>
      <c r="G124" s="82"/>
      <c r="H124" s="83" t="str">
        <f aca="false">_xlfn.IFNA(VLOOKUP(G124,Table14543[],2,FALSE()),"")</f>
        <v/>
      </c>
      <c r="I124" s="84" t="str">
        <f aca="false">_xlfn.IFNA(VLOOKUP(G124,Table14543[],3,FALSE()),"")</f>
        <v/>
      </c>
      <c r="J124" s="83" t="str">
        <f aca="false">CONCATENATE("",G124,""," ",H124," ",I124)</f>
        <v>  </v>
      </c>
      <c r="K124" s="85"/>
      <c r="L124" s="86"/>
      <c r="M124" s="86"/>
      <c r="N124" s="86" t="n">
        <f aca="false">L124*M124</f>
        <v>0</v>
      </c>
      <c r="O124" s="86"/>
      <c r="P124" s="87" t="n">
        <f aca="false">(M124*L124)+O124</f>
        <v>0</v>
      </c>
      <c r="Q124" s="91"/>
    </row>
    <row r="125" customFormat="false" ht="14.25" hidden="false" customHeight="false" outlineLevel="0" collapsed="false">
      <c r="A125" s="77"/>
      <c r="B125" s="78"/>
      <c r="C125" s="79"/>
      <c r="D125" s="80" t="str">
        <f aca="false">_xlfn.IFNA(VLOOKUP(C125,'بيانات الآليات '!A:G,4,FALSE()),"")</f>
        <v/>
      </c>
      <c r="E125" s="81" t="str">
        <f aca="false">_xlfn.IFNA(VLOOKUP(C125,'بيانات الآليات '!A:G,2,FALSE()),"")</f>
        <v/>
      </c>
      <c r="F125" s="81" t="str">
        <f aca="false">_xlfn.IFNA(VLOOKUP(C125,'بيانات الآليات '!A:G,5,FALSE()),"")</f>
        <v/>
      </c>
      <c r="G125" s="82"/>
      <c r="H125" s="83" t="str">
        <f aca="false">_xlfn.IFNA(VLOOKUP(G125,Table14543[],2,FALSE()),"")</f>
        <v/>
      </c>
      <c r="I125" s="84" t="str">
        <f aca="false">_xlfn.IFNA(VLOOKUP(G125,Table14543[],3,FALSE()),"")</f>
        <v/>
      </c>
      <c r="J125" s="83" t="str">
        <f aca="false">CONCATENATE("",G125,""," ",H125," ",I125)</f>
        <v>  </v>
      </c>
      <c r="K125" s="85"/>
      <c r="L125" s="86"/>
      <c r="M125" s="86"/>
      <c r="N125" s="86" t="n">
        <f aca="false">L125*M125</f>
        <v>0</v>
      </c>
      <c r="O125" s="86"/>
      <c r="P125" s="87" t="n">
        <f aca="false">(M125*L125)+O125</f>
        <v>0</v>
      </c>
      <c r="Q125" s="91"/>
    </row>
    <row r="126" customFormat="false" ht="14.25" hidden="false" customHeight="false" outlineLevel="0" collapsed="false">
      <c r="A126" s="77"/>
      <c r="B126" s="78"/>
      <c r="C126" s="79"/>
      <c r="D126" s="80" t="str">
        <f aca="false">_xlfn.IFNA(VLOOKUP(C126,'بيانات الآليات '!A:G,4,FALSE()),"")</f>
        <v/>
      </c>
      <c r="E126" s="81" t="str">
        <f aca="false">_xlfn.IFNA(VLOOKUP(C126,'بيانات الآليات '!A:G,2,FALSE()),"")</f>
        <v/>
      </c>
      <c r="F126" s="81" t="str">
        <f aca="false">_xlfn.IFNA(VLOOKUP(C126,'بيانات الآليات '!A:G,5,FALSE()),"")</f>
        <v/>
      </c>
      <c r="G126" s="82"/>
      <c r="H126" s="83" t="str">
        <f aca="false">_xlfn.IFNA(VLOOKUP(G126,Table14543[],2,FALSE()),"")</f>
        <v/>
      </c>
      <c r="I126" s="84" t="str">
        <f aca="false">_xlfn.IFNA(VLOOKUP(G126,Table14543[],3,FALSE()),"")</f>
        <v/>
      </c>
      <c r="J126" s="83" t="str">
        <f aca="false">CONCATENATE("",G126,""," ",H126," ",I126)</f>
        <v>  </v>
      </c>
      <c r="K126" s="85"/>
      <c r="L126" s="86"/>
      <c r="M126" s="86"/>
      <c r="N126" s="86" t="n">
        <f aca="false">L126*M126</f>
        <v>0</v>
      </c>
      <c r="O126" s="86"/>
      <c r="P126" s="87" t="n">
        <f aca="false">(M126*L126)+O126</f>
        <v>0</v>
      </c>
      <c r="Q126" s="91"/>
    </row>
    <row r="127" customFormat="false" ht="14.25" hidden="false" customHeight="false" outlineLevel="0" collapsed="false">
      <c r="A127" s="77"/>
      <c r="B127" s="78"/>
      <c r="C127" s="79"/>
      <c r="D127" s="80" t="str">
        <f aca="false">_xlfn.IFNA(VLOOKUP(C127,'بيانات الآليات '!A:G,4,FALSE()),"")</f>
        <v/>
      </c>
      <c r="E127" s="81" t="str">
        <f aca="false">_xlfn.IFNA(VLOOKUP(C127,'بيانات الآليات '!A:G,2,FALSE()),"")</f>
        <v/>
      </c>
      <c r="F127" s="81" t="str">
        <f aca="false">_xlfn.IFNA(VLOOKUP(C127,'بيانات الآليات '!A:G,5,FALSE()),"")</f>
        <v/>
      </c>
      <c r="G127" s="82"/>
      <c r="H127" s="83" t="str">
        <f aca="false">_xlfn.IFNA(VLOOKUP(G127,Table14543[],2,FALSE()),"")</f>
        <v/>
      </c>
      <c r="I127" s="84" t="str">
        <f aca="false">_xlfn.IFNA(VLOOKUP(G127,Table14543[],3,FALSE()),"")</f>
        <v/>
      </c>
      <c r="J127" s="83" t="str">
        <f aca="false">CONCATENATE("",G127,""," ",H127," ",I127)</f>
        <v>  </v>
      </c>
      <c r="K127" s="85"/>
      <c r="L127" s="86"/>
      <c r="M127" s="86"/>
      <c r="N127" s="86" t="n">
        <f aca="false">L127*M127</f>
        <v>0</v>
      </c>
      <c r="O127" s="86"/>
      <c r="P127" s="87" t="n">
        <f aca="false">(M127*L127)+O127</f>
        <v>0</v>
      </c>
      <c r="Q127" s="91"/>
    </row>
    <row r="128" customFormat="false" ht="14.25" hidden="false" customHeight="false" outlineLevel="0" collapsed="false">
      <c r="A128" s="77"/>
      <c r="B128" s="78"/>
      <c r="C128" s="79"/>
      <c r="D128" s="80" t="str">
        <f aca="false">_xlfn.IFNA(VLOOKUP(C128,'بيانات الآليات '!A:G,4,FALSE()),"")</f>
        <v/>
      </c>
      <c r="E128" s="81" t="str">
        <f aca="false">_xlfn.IFNA(VLOOKUP(C128,'بيانات الآليات '!A:G,2,FALSE()),"")</f>
        <v/>
      </c>
      <c r="F128" s="81" t="str">
        <f aca="false">_xlfn.IFNA(VLOOKUP(C128,'بيانات الآليات '!A:G,5,FALSE()),"")</f>
        <v/>
      </c>
      <c r="G128" s="82"/>
      <c r="H128" s="83" t="str">
        <f aca="false">_xlfn.IFNA(VLOOKUP(G128,Table14543[],2,FALSE()),"")</f>
        <v/>
      </c>
      <c r="I128" s="84" t="str">
        <f aca="false">_xlfn.IFNA(VLOOKUP(G128,Table14543[],3,FALSE()),"")</f>
        <v/>
      </c>
      <c r="J128" s="83" t="str">
        <f aca="false">CONCATENATE("",G128,""," ",H128," ",I128)</f>
        <v>  </v>
      </c>
      <c r="K128" s="85"/>
      <c r="L128" s="86"/>
      <c r="M128" s="86"/>
      <c r="N128" s="86" t="n">
        <f aca="false">L128*M128</f>
        <v>0</v>
      </c>
      <c r="O128" s="86"/>
      <c r="P128" s="87" t="n">
        <f aca="false">(M128*L128)+O128</f>
        <v>0</v>
      </c>
      <c r="Q128" s="91"/>
    </row>
    <row r="129" customFormat="false" ht="14.25" hidden="false" customHeight="false" outlineLevel="0" collapsed="false">
      <c r="A129" s="77"/>
      <c r="B129" s="78"/>
      <c r="C129" s="79"/>
      <c r="D129" s="80" t="str">
        <f aca="false">_xlfn.IFNA(VLOOKUP(C129,'بيانات الآليات '!A:G,4,FALSE()),"")</f>
        <v/>
      </c>
      <c r="E129" s="81" t="str">
        <f aca="false">_xlfn.IFNA(VLOOKUP(C129,'بيانات الآليات '!A:G,2,FALSE()),"")</f>
        <v/>
      </c>
      <c r="F129" s="81" t="str">
        <f aca="false">_xlfn.IFNA(VLOOKUP(C129,'بيانات الآليات '!A:G,5,FALSE()),"")</f>
        <v/>
      </c>
      <c r="G129" s="82"/>
      <c r="H129" s="83" t="str">
        <f aca="false">_xlfn.IFNA(VLOOKUP(G129,Table14543[],2,FALSE()),"")</f>
        <v/>
      </c>
      <c r="I129" s="84" t="str">
        <f aca="false">_xlfn.IFNA(VLOOKUP(G129,Table14543[],3,FALSE()),"")</f>
        <v/>
      </c>
      <c r="J129" s="83" t="str">
        <f aca="false">CONCATENATE("",G129,""," ",H129," ",I129)</f>
        <v>  </v>
      </c>
      <c r="K129" s="85"/>
      <c r="L129" s="86"/>
      <c r="M129" s="86"/>
      <c r="N129" s="86" t="n">
        <f aca="false">L129*M129</f>
        <v>0</v>
      </c>
      <c r="O129" s="86"/>
      <c r="P129" s="87" t="n">
        <f aca="false">(M129*L129)+O129</f>
        <v>0</v>
      </c>
      <c r="Q129" s="91"/>
    </row>
    <row r="130" customFormat="false" ht="14.25" hidden="false" customHeight="false" outlineLevel="0" collapsed="false">
      <c r="A130" s="77"/>
      <c r="B130" s="78"/>
      <c r="C130" s="79"/>
      <c r="D130" s="80" t="str">
        <f aca="false">_xlfn.IFNA(VLOOKUP(C130,'بيانات الآليات '!A:G,4,FALSE()),"")</f>
        <v/>
      </c>
      <c r="E130" s="81" t="str">
        <f aca="false">_xlfn.IFNA(VLOOKUP(C130,'بيانات الآليات '!A:G,2,FALSE()),"")</f>
        <v/>
      </c>
      <c r="F130" s="81" t="str">
        <f aca="false">_xlfn.IFNA(VLOOKUP(C130,'بيانات الآليات '!A:G,5,FALSE()),"")</f>
        <v/>
      </c>
      <c r="G130" s="82"/>
      <c r="H130" s="83" t="str">
        <f aca="false">_xlfn.IFNA(VLOOKUP(G130,Table14543[],2,FALSE()),"")</f>
        <v/>
      </c>
      <c r="I130" s="84" t="str">
        <f aca="false">_xlfn.IFNA(VLOOKUP(G130,Table14543[],3,FALSE()),"")</f>
        <v/>
      </c>
      <c r="J130" s="83" t="str">
        <f aca="false">CONCATENATE("",G130,""," ",H130," ",I130)</f>
        <v>  </v>
      </c>
      <c r="K130" s="85"/>
      <c r="L130" s="86"/>
      <c r="M130" s="86"/>
      <c r="N130" s="86" t="n">
        <f aca="false">L130*M130</f>
        <v>0</v>
      </c>
      <c r="O130" s="86"/>
      <c r="P130" s="87" t="n">
        <f aca="false">(M130*L130)+O130</f>
        <v>0</v>
      </c>
      <c r="Q130" s="91"/>
    </row>
    <row r="131" customFormat="false" ht="14.25" hidden="false" customHeight="false" outlineLevel="0" collapsed="false">
      <c r="A131" s="77"/>
      <c r="B131" s="78"/>
      <c r="C131" s="79"/>
      <c r="D131" s="80" t="str">
        <f aca="false">_xlfn.IFNA(VLOOKUP(C131,'بيانات الآليات '!A:G,4,FALSE()),"")</f>
        <v/>
      </c>
      <c r="E131" s="81" t="str">
        <f aca="false">_xlfn.IFNA(VLOOKUP(C131,'بيانات الآليات '!A:G,2,FALSE()),"")</f>
        <v/>
      </c>
      <c r="F131" s="81" t="str">
        <f aca="false">_xlfn.IFNA(VLOOKUP(C131,'بيانات الآليات '!A:G,5,FALSE()),"")</f>
        <v/>
      </c>
      <c r="G131" s="82"/>
      <c r="H131" s="83" t="str">
        <f aca="false">_xlfn.IFNA(VLOOKUP(G131,Table14543[],2,FALSE()),"")</f>
        <v/>
      </c>
      <c r="I131" s="84" t="str">
        <f aca="false">_xlfn.IFNA(VLOOKUP(G131,Table14543[],3,FALSE()),"")</f>
        <v/>
      </c>
      <c r="J131" s="83" t="str">
        <f aca="false">CONCATENATE("",G131,""," ",H131," ",I131)</f>
        <v>  </v>
      </c>
      <c r="K131" s="85"/>
      <c r="L131" s="86"/>
      <c r="M131" s="86"/>
      <c r="N131" s="86" t="n">
        <f aca="false">L131*M131</f>
        <v>0</v>
      </c>
      <c r="O131" s="86"/>
      <c r="P131" s="87" t="n">
        <f aca="false">(M131*L131)+O131</f>
        <v>0</v>
      </c>
      <c r="Q131" s="91"/>
    </row>
    <row r="132" customFormat="false" ht="14.25" hidden="false" customHeight="false" outlineLevel="0" collapsed="false">
      <c r="A132" s="77"/>
      <c r="B132" s="78"/>
      <c r="C132" s="79"/>
      <c r="D132" s="80" t="str">
        <f aca="false">_xlfn.IFNA(VLOOKUP(C132,'بيانات الآليات '!A:G,4,FALSE()),"")</f>
        <v/>
      </c>
      <c r="E132" s="81" t="str">
        <f aca="false">_xlfn.IFNA(VLOOKUP(C132,'بيانات الآليات '!A:G,2,FALSE()),"")</f>
        <v/>
      </c>
      <c r="F132" s="81" t="str">
        <f aca="false">_xlfn.IFNA(VLOOKUP(C132,'بيانات الآليات '!A:G,5,FALSE()),"")</f>
        <v/>
      </c>
      <c r="G132" s="82"/>
      <c r="H132" s="83" t="str">
        <f aca="false">_xlfn.IFNA(VLOOKUP(G132,Table14543[],2,FALSE()),"")</f>
        <v/>
      </c>
      <c r="I132" s="84" t="str">
        <f aca="false">_xlfn.IFNA(VLOOKUP(G132,Table14543[],3,FALSE()),"")</f>
        <v/>
      </c>
      <c r="J132" s="83" t="str">
        <f aca="false">CONCATENATE("",G132,""," ",H132," ",I132)</f>
        <v>  </v>
      </c>
      <c r="K132" s="85"/>
      <c r="L132" s="86"/>
      <c r="M132" s="86"/>
      <c r="N132" s="86" t="n">
        <f aca="false">L132*M132</f>
        <v>0</v>
      </c>
      <c r="O132" s="86"/>
      <c r="P132" s="87" t="n">
        <f aca="false">(M132*L132)+O132</f>
        <v>0</v>
      </c>
      <c r="Q132" s="91"/>
    </row>
    <row r="133" customFormat="false" ht="14.25" hidden="false" customHeight="false" outlineLevel="0" collapsed="false">
      <c r="A133" s="77"/>
      <c r="B133" s="78"/>
      <c r="C133" s="79"/>
      <c r="D133" s="80" t="str">
        <f aca="false">_xlfn.IFNA(VLOOKUP(C133,'بيانات الآليات '!A:G,4,FALSE()),"")</f>
        <v/>
      </c>
      <c r="E133" s="81" t="str">
        <f aca="false">_xlfn.IFNA(VLOOKUP(C133,'بيانات الآليات '!A:G,2,FALSE()),"")</f>
        <v/>
      </c>
      <c r="F133" s="81" t="str">
        <f aca="false">_xlfn.IFNA(VLOOKUP(C133,'بيانات الآليات '!A:G,5,FALSE()),"")</f>
        <v/>
      </c>
      <c r="G133" s="82"/>
      <c r="H133" s="83" t="str">
        <f aca="false">_xlfn.IFNA(VLOOKUP(G133,Table14543[],2,FALSE()),"")</f>
        <v/>
      </c>
      <c r="I133" s="84" t="str">
        <f aca="false">_xlfn.IFNA(VLOOKUP(G133,Table14543[],3,FALSE()),"")</f>
        <v/>
      </c>
      <c r="J133" s="83" t="str">
        <f aca="false">CONCATENATE("",G133,""," ",H133," ",I133)</f>
        <v>  </v>
      </c>
      <c r="K133" s="85"/>
      <c r="L133" s="86"/>
      <c r="M133" s="86"/>
      <c r="N133" s="86" t="n">
        <f aca="false">L133*M133</f>
        <v>0</v>
      </c>
      <c r="O133" s="86"/>
      <c r="P133" s="87" t="n">
        <f aca="false">(M133*L133)+O133</f>
        <v>0</v>
      </c>
      <c r="Q133" s="91"/>
    </row>
    <row r="134" customFormat="false" ht="14.25" hidden="false" customHeight="false" outlineLevel="0" collapsed="false">
      <c r="A134" s="77"/>
      <c r="B134" s="78"/>
      <c r="C134" s="79"/>
      <c r="D134" s="80" t="str">
        <f aca="false">_xlfn.IFNA(VLOOKUP(C134,'بيانات الآليات '!A:G,4,FALSE()),"")</f>
        <v/>
      </c>
      <c r="E134" s="81" t="str">
        <f aca="false">_xlfn.IFNA(VLOOKUP(C134,'بيانات الآليات '!A:G,2,FALSE()),"")</f>
        <v/>
      </c>
      <c r="F134" s="81" t="str">
        <f aca="false">_xlfn.IFNA(VLOOKUP(C134,'بيانات الآليات '!A:G,5,FALSE()),"")</f>
        <v/>
      </c>
      <c r="G134" s="82"/>
      <c r="H134" s="83" t="str">
        <f aca="false">_xlfn.IFNA(VLOOKUP(G134,Table14543[],2,FALSE()),"")</f>
        <v/>
      </c>
      <c r="I134" s="84" t="str">
        <f aca="false">_xlfn.IFNA(VLOOKUP(G134,Table14543[],3,FALSE()),"")</f>
        <v/>
      </c>
      <c r="J134" s="83" t="str">
        <f aca="false">CONCATENATE("",G134,""," ",H134," ",I134)</f>
        <v>  </v>
      </c>
      <c r="K134" s="85"/>
      <c r="L134" s="86"/>
      <c r="M134" s="86"/>
      <c r="N134" s="86" t="n">
        <f aca="false">L134*M134</f>
        <v>0</v>
      </c>
      <c r="O134" s="86"/>
      <c r="P134" s="87" t="n">
        <f aca="false">(M134*L134)+O134</f>
        <v>0</v>
      </c>
      <c r="Q134" s="91"/>
    </row>
    <row r="135" customFormat="false" ht="14.25" hidden="false" customHeight="false" outlineLevel="0" collapsed="false">
      <c r="A135" s="77"/>
      <c r="B135" s="78"/>
      <c r="C135" s="79"/>
      <c r="D135" s="80" t="str">
        <f aca="false">_xlfn.IFNA(VLOOKUP(C135,'بيانات الآليات '!A:G,4,FALSE()),"")</f>
        <v/>
      </c>
      <c r="E135" s="81" t="str">
        <f aca="false">_xlfn.IFNA(VLOOKUP(C135,'بيانات الآليات '!A:G,2,FALSE()),"")</f>
        <v/>
      </c>
      <c r="F135" s="81" t="str">
        <f aca="false">_xlfn.IFNA(VLOOKUP(C135,'بيانات الآليات '!A:G,5,FALSE()),"")</f>
        <v/>
      </c>
      <c r="G135" s="82"/>
      <c r="H135" s="83" t="str">
        <f aca="false">_xlfn.IFNA(VLOOKUP(G135,Table14543[],2,FALSE()),"")</f>
        <v/>
      </c>
      <c r="I135" s="84" t="str">
        <f aca="false">_xlfn.IFNA(VLOOKUP(G135,Table14543[],3,FALSE()),"")</f>
        <v/>
      </c>
      <c r="J135" s="83" t="str">
        <f aca="false">CONCATENATE("",G135,""," ",H135," ",I135)</f>
        <v>  </v>
      </c>
      <c r="K135" s="85"/>
      <c r="L135" s="86"/>
      <c r="M135" s="86"/>
      <c r="N135" s="86" t="n">
        <f aca="false">L135*M135</f>
        <v>0</v>
      </c>
      <c r="O135" s="86"/>
      <c r="P135" s="87" t="n">
        <f aca="false">(M135*L135)+O135</f>
        <v>0</v>
      </c>
      <c r="Q135" s="91"/>
    </row>
    <row r="136" customFormat="false" ht="14.25" hidden="false" customHeight="false" outlineLevel="0" collapsed="false">
      <c r="A136" s="77"/>
      <c r="B136" s="78"/>
      <c r="C136" s="79"/>
      <c r="D136" s="80" t="str">
        <f aca="false">_xlfn.IFNA(VLOOKUP(C136,'بيانات الآليات '!A:G,4,FALSE()),"")</f>
        <v/>
      </c>
      <c r="E136" s="81" t="str">
        <f aca="false">_xlfn.IFNA(VLOOKUP(C136,'بيانات الآليات '!A:G,2,FALSE()),"")</f>
        <v/>
      </c>
      <c r="F136" s="81" t="str">
        <f aca="false">_xlfn.IFNA(VLOOKUP(C136,'بيانات الآليات '!A:G,5,FALSE()),"")</f>
        <v/>
      </c>
      <c r="G136" s="82"/>
      <c r="H136" s="83" t="str">
        <f aca="false">_xlfn.IFNA(VLOOKUP(G136,Table14543[],2,FALSE()),"")</f>
        <v/>
      </c>
      <c r="I136" s="84" t="str">
        <f aca="false">_xlfn.IFNA(VLOOKUP(G136,Table14543[],3,FALSE()),"")</f>
        <v/>
      </c>
      <c r="J136" s="83" t="str">
        <f aca="false">CONCATENATE("",G136,""," ",H136," ",I136)</f>
        <v>  </v>
      </c>
      <c r="K136" s="85"/>
      <c r="L136" s="86"/>
      <c r="M136" s="86"/>
      <c r="N136" s="86" t="n">
        <f aca="false">L136*M136</f>
        <v>0</v>
      </c>
      <c r="O136" s="86"/>
      <c r="P136" s="87" t="n">
        <f aca="false">(M136*L136)+O136</f>
        <v>0</v>
      </c>
      <c r="Q136" s="91"/>
    </row>
    <row r="137" customFormat="false" ht="14.25" hidden="false" customHeight="false" outlineLevel="0" collapsed="false">
      <c r="A137" s="77"/>
      <c r="B137" s="78"/>
      <c r="C137" s="79"/>
      <c r="D137" s="80" t="str">
        <f aca="false">_xlfn.IFNA(VLOOKUP(C137,'بيانات الآليات '!A:G,4,FALSE()),"")</f>
        <v/>
      </c>
      <c r="E137" s="81" t="str">
        <f aca="false">_xlfn.IFNA(VLOOKUP(C137,'بيانات الآليات '!A:G,2,FALSE()),"")</f>
        <v/>
      </c>
      <c r="F137" s="81" t="str">
        <f aca="false">_xlfn.IFNA(VLOOKUP(C137,'بيانات الآليات '!A:G,5,FALSE()),"")</f>
        <v/>
      </c>
      <c r="G137" s="82"/>
      <c r="H137" s="83" t="str">
        <f aca="false">_xlfn.IFNA(VLOOKUP(G137,Table14543[],2,FALSE()),"")</f>
        <v/>
      </c>
      <c r="I137" s="84" t="str">
        <f aca="false">_xlfn.IFNA(VLOOKUP(G137,Table14543[],3,FALSE()),"")</f>
        <v/>
      </c>
      <c r="J137" s="83" t="str">
        <f aca="false">CONCATENATE("",G137,""," ",H137," ",I137)</f>
        <v>  </v>
      </c>
      <c r="K137" s="85"/>
      <c r="L137" s="86"/>
      <c r="M137" s="86"/>
      <c r="N137" s="86" t="n">
        <f aca="false">L137*M137</f>
        <v>0</v>
      </c>
      <c r="O137" s="86"/>
      <c r="P137" s="87" t="n">
        <f aca="false">(M137*L137)+O137</f>
        <v>0</v>
      </c>
      <c r="Q137" s="91"/>
    </row>
    <row r="138" customFormat="false" ht="14.25" hidden="false" customHeight="false" outlineLevel="0" collapsed="false">
      <c r="A138" s="77"/>
      <c r="B138" s="78"/>
      <c r="C138" s="79"/>
      <c r="D138" s="80" t="str">
        <f aca="false">_xlfn.IFNA(VLOOKUP(C138,'بيانات الآليات '!A:G,4,FALSE()),"")</f>
        <v/>
      </c>
      <c r="E138" s="81" t="str">
        <f aca="false">_xlfn.IFNA(VLOOKUP(C138,'بيانات الآليات '!A:G,2,FALSE()),"")</f>
        <v/>
      </c>
      <c r="F138" s="81" t="str">
        <f aca="false">_xlfn.IFNA(VLOOKUP(C138,'بيانات الآليات '!A:G,5,FALSE()),"")</f>
        <v/>
      </c>
      <c r="G138" s="82"/>
      <c r="H138" s="83" t="str">
        <f aca="false">_xlfn.IFNA(VLOOKUP(G138,Table14543[],2,FALSE()),"")</f>
        <v/>
      </c>
      <c r="I138" s="84" t="str">
        <f aca="false">_xlfn.IFNA(VLOOKUP(G138,Table14543[],3,FALSE()),"")</f>
        <v/>
      </c>
      <c r="J138" s="83" t="str">
        <f aca="false">CONCATENATE("",G138,""," ",H138," ",I138)</f>
        <v>  </v>
      </c>
      <c r="K138" s="85"/>
      <c r="L138" s="86"/>
      <c r="M138" s="86"/>
      <c r="N138" s="86" t="n">
        <f aca="false">L138*M138</f>
        <v>0</v>
      </c>
      <c r="O138" s="86"/>
      <c r="P138" s="87" t="n">
        <f aca="false">(M138*L138)+O138</f>
        <v>0</v>
      </c>
      <c r="Q138" s="91"/>
    </row>
    <row r="139" customFormat="false" ht="14.25" hidden="false" customHeight="false" outlineLevel="0" collapsed="false">
      <c r="A139" s="77"/>
      <c r="B139" s="78"/>
      <c r="C139" s="79"/>
      <c r="D139" s="80" t="str">
        <f aca="false">_xlfn.IFNA(VLOOKUP(C139,'بيانات الآليات '!A:G,4,FALSE()),"")</f>
        <v/>
      </c>
      <c r="E139" s="81" t="str">
        <f aca="false">_xlfn.IFNA(VLOOKUP(C139,'بيانات الآليات '!A:G,2,FALSE()),"")</f>
        <v/>
      </c>
      <c r="F139" s="81" t="str">
        <f aca="false">_xlfn.IFNA(VLOOKUP(C139,'بيانات الآليات '!A:G,5,FALSE()),"")</f>
        <v/>
      </c>
      <c r="G139" s="82"/>
      <c r="H139" s="83" t="str">
        <f aca="false">_xlfn.IFNA(VLOOKUP(G139,Table14543[],2,FALSE()),"")</f>
        <v/>
      </c>
      <c r="I139" s="84" t="str">
        <f aca="false">_xlfn.IFNA(VLOOKUP(G139,Table14543[],3,FALSE()),"")</f>
        <v/>
      </c>
      <c r="J139" s="83" t="str">
        <f aca="false">CONCATENATE("",G139,""," ",H139," ",I139)</f>
        <v>  </v>
      </c>
      <c r="K139" s="85"/>
      <c r="L139" s="86"/>
      <c r="M139" s="86"/>
      <c r="N139" s="86" t="n">
        <f aca="false">L139*M139</f>
        <v>0</v>
      </c>
      <c r="O139" s="86"/>
      <c r="P139" s="87" t="n">
        <f aca="false">(M139*L139)+O139</f>
        <v>0</v>
      </c>
      <c r="Q139" s="91"/>
    </row>
    <row r="140" customFormat="false" ht="14.25" hidden="false" customHeight="false" outlineLevel="0" collapsed="false">
      <c r="A140" s="77"/>
      <c r="B140" s="78"/>
      <c r="C140" s="79"/>
      <c r="D140" s="80" t="str">
        <f aca="false">_xlfn.IFNA(VLOOKUP(C140,'بيانات الآليات '!A:G,4,FALSE()),"")</f>
        <v/>
      </c>
      <c r="E140" s="81" t="str">
        <f aca="false">_xlfn.IFNA(VLOOKUP(C140,'بيانات الآليات '!A:G,2,FALSE()),"")</f>
        <v/>
      </c>
      <c r="F140" s="81" t="str">
        <f aca="false">_xlfn.IFNA(VLOOKUP(C140,'بيانات الآليات '!A:G,5,FALSE()),"")</f>
        <v/>
      </c>
      <c r="G140" s="82"/>
      <c r="H140" s="83" t="str">
        <f aca="false">_xlfn.IFNA(VLOOKUP(G140,Table14543[],2,FALSE()),"")</f>
        <v/>
      </c>
      <c r="I140" s="84" t="str">
        <f aca="false">_xlfn.IFNA(VLOOKUP(G140,Table14543[],3,FALSE()),"")</f>
        <v/>
      </c>
      <c r="J140" s="83" t="str">
        <f aca="false">CONCATENATE("",G140,""," ",H140," ",I140)</f>
        <v>  </v>
      </c>
      <c r="K140" s="85"/>
      <c r="L140" s="86"/>
      <c r="M140" s="86"/>
      <c r="N140" s="86" t="n">
        <f aca="false">L140*M140</f>
        <v>0</v>
      </c>
      <c r="O140" s="86"/>
      <c r="P140" s="87" t="n">
        <f aca="false">(M140*L140)+O140</f>
        <v>0</v>
      </c>
      <c r="Q140" s="91"/>
    </row>
    <row r="141" customFormat="false" ht="14.25" hidden="false" customHeight="false" outlineLevel="0" collapsed="false">
      <c r="A141" s="77"/>
      <c r="B141" s="78"/>
      <c r="C141" s="79"/>
      <c r="D141" s="80" t="str">
        <f aca="false">_xlfn.IFNA(VLOOKUP(C141,'بيانات الآليات '!A:G,4,FALSE()),"")</f>
        <v/>
      </c>
      <c r="E141" s="81" t="str">
        <f aca="false">_xlfn.IFNA(VLOOKUP(C141,'بيانات الآليات '!A:G,2,FALSE()),"")</f>
        <v/>
      </c>
      <c r="F141" s="81" t="str">
        <f aca="false">_xlfn.IFNA(VLOOKUP(C141,'بيانات الآليات '!A:G,5,FALSE()),"")</f>
        <v/>
      </c>
      <c r="G141" s="82"/>
      <c r="H141" s="83" t="str">
        <f aca="false">_xlfn.IFNA(VLOOKUP(G141,Table14543[],2,FALSE()),"")</f>
        <v/>
      </c>
      <c r="I141" s="84" t="str">
        <f aca="false">_xlfn.IFNA(VLOOKUP(G141,Table14543[],3,FALSE()),"")</f>
        <v/>
      </c>
      <c r="J141" s="83" t="str">
        <f aca="false">CONCATENATE("",G141,""," ",H141," ",I141)</f>
        <v>  </v>
      </c>
      <c r="K141" s="85"/>
      <c r="L141" s="86"/>
      <c r="M141" s="86"/>
      <c r="N141" s="86" t="n">
        <f aca="false">L141*M141</f>
        <v>0</v>
      </c>
      <c r="O141" s="86"/>
      <c r="P141" s="87" t="n">
        <f aca="false">(M141*L141)+O141</f>
        <v>0</v>
      </c>
      <c r="Q141" s="91"/>
    </row>
    <row r="142" customFormat="false" ht="14.25" hidden="false" customHeight="false" outlineLevel="0" collapsed="false">
      <c r="A142" s="77"/>
      <c r="B142" s="78"/>
      <c r="C142" s="79"/>
      <c r="D142" s="80" t="str">
        <f aca="false">_xlfn.IFNA(VLOOKUP(C142,'بيانات الآليات '!A:G,4,FALSE()),"")</f>
        <v/>
      </c>
      <c r="E142" s="81" t="str">
        <f aca="false">_xlfn.IFNA(VLOOKUP(C142,'بيانات الآليات '!A:G,2,FALSE()),"")</f>
        <v/>
      </c>
      <c r="F142" s="81" t="str">
        <f aca="false">_xlfn.IFNA(VLOOKUP(C142,'بيانات الآليات '!A:G,5,FALSE()),"")</f>
        <v/>
      </c>
      <c r="G142" s="82"/>
      <c r="H142" s="83" t="str">
        <f aca="false">_xlfn.IFNA(VLOOKUP(G142,Table14543[],2,FALSE()),"")</f>
        <v/>
      </c>
      <c r="I142" s="84" t="str">
        <f aca="false">_xlfn.IFNA(VLOOKUP(G142,Table14543[],3,FALSE()),"")</f>
        <v/>
      </c>
      <c r="J142" s="83" t="str">
        <f aca="false">CONCATENATE("",G142,""," ",H142," ",I142)</f>
        <v>  </v>
      </c>
      <c r="K142" s="85"/>
      <c r="L142" s="86"/>
      <c r="M142" s="86"/>
      <c r="N142" s="86" t="n">
        <f aca="false">L142*M142</f>
        <v>0</v>
      </c>
      <c r="O142" s="86"/>
      <c r="P142" s="87" t="n">
        <f aca="false">(M142*L142)+O142</f>
        <v>0</v>
      </c>
      <c r="Q142" s="91"/>
    </row>
    <row r="143" customFormat="false" ht="14.25" hidden="false" customHeight="false" outlineLevel="0" collapsed="false">
      <c r="A143" s="77"/>
      <c r="B143" s="78"/>
      <c r="C143" s="79"/>
      <c r="D143" s="80" t="str">
        <f aca="false">_xlfn.IFNA(VLOOKUP(C143,'بيانات الآليات '!A:G,4,FALSE()),"")</f>
        <v/>
      </c>
      <c r="E143" s="81" t="str">
        <f aca="false">_xlfn.IFNA(VLOOKUP(C143,'بيانات الآليات '!A:G,2,FALSE()),"")</f>
        <v/>
      </c>
      <c r="F143" s="81" t="str">
        <f aca="false">_xlfn.IFNA(VLOOKUP(C143,'بيانات الآليات '!A:G,5,FALSE()),"")</f>
        <v/>
      </c>
      <c r="G143" s="82"/>
      <c r="H143" s="83" t="str">
        <f aca="false">_xlfn.IFNA(VLOOKUP(G143,Table14543[],2,FALSE()),"")</f>
        <v/>
      </c>
      <c r="I143" s="84" t="str">
        <f aca="false">_xlfn.IFNA(VLOOKUP(G143,Table14543[],3,FALSE()),"")</f>
        <v/>
      </c>
      <c r="J143" s="83" t="str">
        <f aca="false">CONCATENATE("",G143,""," ",H143," ",I143)</f>
        <v>  </v>
      </c>
      <c r="K143" s="85"/>
      <c r="L143" s="86"/>
      <c r="M143" s="86"/>
      <c r="N143" s="86" t="n">
        <f aca="false">L143*M143</f>
        <v>0</v>
      </c>
      <c r="O143" s="86"/>
      <c r="P143" s="87" t="n">
        <f aca="false">(M143*L143)+O143</f>
        <v>0</v>
      </c>
      <c r="Q143" s="91"/>
    </row>
    <row r="144" customFormat="false" ht="14.25" hidden="false" customHeight="false" outlineLevel="0" collapsed="false">
      <c r="A144" s="77"/>
      <c r="B144" s="78"/>
      <c r="C144" s="79"/>
      <c r="D144" s="80" t="str">
        <f aca="false">_xlfn.IFNA(VLOOKUP(C144,'بيانات الآليات '!A:G,4,FALSE()),"")</f>
        <v/>
      </c>
      <c r="E144" s="81" t="str">
        <f aca="false">_xlfn.IFNA(VLOOKUP(C144,'بيانات الآليات '!A:G,2,FALSE()),"")</f>
        <v/>
      </c>
      <c r="F144" s="81" t="str">
        <f aca="false">_xlfn.IFNA(VLOOKUP(C144,'بيانات الآليات '!A:G,5,FALSE()),"")</f>
        <v/>
      </c>
      <c r="G144" s="82"/>
      <c r="H144" s="83" t="str">
        <f aca="false">_xlfn.IFNA(VLOOKUP(G144,Table14543[],2,FALSE()),"")</f>
        <v/>
      </c>
      <c r="I144" s="84" t="str">
        <f aca="false">_xlfn.IFNA(VLOOKUP(G144,Table14543[],3,FALSE()),"")</f>
        <v/>
      </c>
      <c r="J144" s="83" t="str">
        <f aca="false">CONCATENATE("",G144,""," ",H144," ",I144)</f>
        <v>  </v>
      </c>
      <c r="K144" s="85"/>
      <c r="L144" s="86"/>
      <c r="M144" s="86"/>
      <c r="N144" s="86" t="n">
        <f aca="false">L144*M144</f>
        <v>0</v>
      </c>
      <c r="O144" s="86"/>
      <c r="P144" s="87" t="n">
        <f aca="false">(M144*L144)+O144</f>
        <v>0</v>
      </c>
      <c r="Q144" s="91"/>
    </row>
    <row r="145" customFormat="false" ht="14.25" hidden="false" customHeight="false" outlineLevel="0" collapsed="false">
      <c r="A145" s="77"/>
      <c r="B145" s="78"/>
      <c r="C145" s="79"/>
      <c r="D145" s="80" t="str">
        <f aca="false">_xlfn.IFNA(VLOOKUP(C145,'بيانات الآليات '!A:G,4,FALSE()),"")</f>
        <v/>
      </c>
      <c r="E145" s="81" t="str">
        <f aca="false">_xlfn.IFNA(VLOOKUP(C145,'بيانات الآليات '!A:G,2,FALSE()),"")</f>
        <v/>
      </c>
      <c r="F145" s="81" t="str">
        <f aca="false">_xlfn.IFNA(VLOOKUP(C145,'بيانات الآليات '!A:G,5,FALSE()),"")</f>
        <v/>
      </c>
      <c r="G145" s="82"/>
      <c r="H145" s="83" t="str">
        <f aca="false">_xlfn.IFNA(VLOOKUP(G145,Table14543[],2,FALSE()),"")</f>
        <v/>
      </c>
      <c r="I145" s="84" t="str">
        <f aca="false">_xlfn.IFNA(VLOOKUP(G145,Table14543[],3,FALSE()),"")</f>
        <v/>
      </c>
      <c r="J145" s="83" t="str">
        <f aca="false">CONCATENATE("",G145,""," ",H145," ",I145)</f>
        <v>  </v>
      </c>
      <c r="K145" s="85"/>
      <c r="L145" s="86"/>
      <c r="M145" s="86"/>
      <c r="N145" s="86" t="n">
        <f aca="false">L145*M145</f>
        <v>0</v>
      </c>
      <c r="O145" s="86"/>
      <c r="P145" s="87" t="n">
        <f aca="false">(M145*L145)+O145</f>
        <v>0</v>
      </c>
      <c r="Q145" s="91"/>
    </row>
    <row r="146" customFormat="false" ht="14.25" hidden="false" customHeight="false" outlineLevel="0" collapsed="false">
      <c r="A146" s="77"/>
      <c r="B146" s="78"/>
      <c r="C146" s="79"/>
      <c r="D146" s="80" t="str">
        <f aca="false">_xlfn.IFNA(VLOOKUP(C146,'بيانات الآليات '!A:G,4,FALSE()),"")</f>
        <v/>
      </c>
      <c r="E146" s="81" t="str">
        <f aca="false">_xlfn.IFNA(VLOOKUP(C146,'بيانات الآليات '!A:G,2,FALSE()),"")</f>
        <v/>
      </c>
      <c r="F146" s="81" t="str">
        <f aca="false">_xlfn.IFNA(VLOOKUP(C146,'بيانات الآليات '!A:G,5,FALSE()),"")</f>
        <v/>
      </c>
      <c r="G146" s="82"/>
      <c r="H146" s="83" t="str">
        <f aca="false">_xlfn.IFNA(VLOOKUP(G146,Table14543[],2,FALSE()),"")</f>
        <v/>
      </c>
      <c r="I146" s="84" t="str">
        <f aca="false">_xlfn.IFNA(VLOOKUP(G146,Table14543[],3,FALSE()),"")</f>
        <v/>
      </c>
      <c r="J146" s="83" t="str">
        <f aca="false">CONCATENATE("",G146,""," ",H146," ",I146)</f>
        <v>  </v>
      </c>
      <c r="K146" s="85"/>
      <c r="L146" s="86"/>
      <c r="M146" s="86"/>
      <c r="N146" s="86" t="n">
        <f aca="false">L146*M146</f>
        <v>0</v>
      </c>
      <c r="O146" s="86"/>
      <c r="P146" s="87" t="n">
        <f aca="false">(M146*L146)+O146</f>
        <v>0</v>
      </c>
      <c r="Q146" s="91"/>
    </row>
    <row r="147" customFormat="false" ht="14.25" hidden="false" customHeight="false" outlineLevel="0" collapsed="false">
      <c r="A147" s="77"/>
      <c r="B147" s="78"/>
      <c r="C147" s="79"/>
      <c r="D147" s="80" t="str">
        <f aca="false">_xlfn.IFNA(VLOOKUP(C147,'بيانات الآليات '!A:G,4,FALSE()),"")</f>
        <v/>
      </c>
      <c r="E147" s="81" t="str">
        <f aca="false">_xlfn.IFNA(VLOOKUP(C147,'بيانات الآليات '!A:G,2,FALSE()),"")</f>
        <v/>
      </c>
      <c r="F147" s="81" t="str">
        <f aca="false">_xlfn.IFNA(VLOOKUP(C147,'بيانات الآليات '!A:G,5,FALSE()),"")</f>
        <v/>
      </c>
      <c r="G147" s="82"/>
      <c r="H147" s="83" t="str">
        <f aca="false">_xlfn.IFNA(VLOOKUP(G147,Table14543[],2,FALSE()),"")</f>
        <v/>
      </c>
      <c r="I147" s="84" t="str">
        <f aca="false">_xlfn.IFNA(VLOOKUP(G147,Table14543[],3,FALSE()),"")</f>
        <v/>
      </c>
      <c r="J147" s="83" t="str">
        <f aca="false">CONCATENATE("",G147,""," ",H147," ",I147)</f>
        <v>  </v>
      </c>
      <c r="K147" s="85"/>
      <c r="L147" s="86"/>
      <c r="M147" s="86"/>
      <c r="N147" s="86" t="n">
        <f aca="false">L147*M147</f>
        <v>0</v>
      </c>
      <c r="O147" s="86"/>
      <c r="P147" s="87" t="n">
        <f aca="false">(M147*L147)+O147</f>
        <v>0</v>
      </c>
      <c r="Q147" s="91"/>
    </row>
    <row r="148" customFormat="false" ht="14.25" hidden="false" customHeight="false" outlineLevel="0" collapsed="false">
      <c r="A148" s="77"/>
      <c r="B148" s="78"/>
      <c r="C148" s="79"/>
      <c r="D148" s="80" t="str">
        <f aca="false">_xlfn.IFNA(VLOOKUP(C148,'بيانات الآليات '!A:G,4,FALSE()),"")</f>
        <v/>
      </c>
      <c r="E148" s="81" t="str">
        <f aca="false">_xlfn.IFNA(VLOOKUP(C148,'بيانات الآليات '!A:G,2,FALSE()),"")</f>
        <v/>
      </c>
      <c r="F148" s="81" t="str">
        <f aca="false">_xlfn.IFNA(VLOOKUP(C148,'بيانات الآليات '!A:G,5,FALSE()),"")</f>
        <v/>
      </c>
      <c r="G148" s="82"/>
      <c r="H148" s="83" t="str">
        <f aca="false">_xlfn.IFNA(VLOOKUP(G148,Table14543[],2,FALSE()),"")</f>
        <v/>
      </c>
      <c r="I148" s="84" t="str">
        <f aca="false">_xlfn.IFNA(VLOOKUP(G148,Table14543[],3,FALSE()),"")</f>
        <v/>
      </c>
      <c r="J148" s="83" t="str">
        <f aca="false">CONCATENATE("",G148,""," ",H148," ",I148)</f>
        <v>  </v>
      </c>
      <c r="K148" s="85"/>
      <c r="L148" s="86"/>
      <c r="M148" s="86"/>
      <c r="N148" s="86" t="n">
        <f aca="false">L148*M148</f>
        <v>0</v>
      </c>
      <c r="O148" s="86"/>
      <c r="P148" s="87" t="n">
        <f aca="false">(M148*L148)+O148</f>
        <v>0</v>
      </c>
      <c r="Q148" s="91"/>
    </row>
    <row r="149" customFormat="false" ht="14.25" hidden="false" customHeight="false" outlineLevel="0" collapsed="false">
      <c r="A149" s="77"/>
      <c r="B149" s="78"/>
      <c r="C149" s="79"/>
      <c r="D149" s="80" t="str">
        <f aca="false">_xlfn.IFNA(VLOOKUP(C149,'بيانات الآليات '!A:G,4,FALSE()),"")</f>
        <v/>
      </c>
      <c r="E149" s="81" t="str">
        <f aca="false">_xlfn.IFNA(VLOOKUP(C149,'بيانات الآليات '!A:G,2,FALSE()),"")</f>
        <v/>
      </c>
      <c r="F149" s="81" t="str">
        <f aca="false">_xlfn.IFNA(VLOOKUP(C149,'بيانات الآليات '!A:G,5,FALSE()),"")</f>
        <v/>
      </c>
      <c r="G149" s="82"/>
      <c r="H149" s="83" t="str">
        <f aca="false">_xlfn.IFNA(VLOOKUP(G149,Table14543[],2,FALSE()),"")</f>
        <v/>
      </c>
      <c r="I149" s="84" t="str">
        <f aca="false">_xlfn.IFNA(VLOOKUP(G149,Table14543[],3,FALSE()),"")</f>
        <v/>
      </c>
      <c r="J149" s="83" t="str">
        <f aca="false">CONCATENATE("",G149,""," ",H149," ",I149)</f>
        <v>  </v>
      </c>
      <c r="K149" s="85"/>
      <c r="L149" s="86"/>
      <c r="M149" s="86"/>
      <c r="N149" s="86" t="n">
        <f aca="false">L149*M149</f>
        <v>0</v>
      </c>
      <c r="O149" s="86"/>
      <c r="P149" s="87" t="n">
        <f aca="false">(M149*L149)+O149</f>
        <v>0</v>
      </c>
      <c r="Q149" s="91"/>
    </row>
    <row r="150" customFormat="false" ht="14.25" hidden="false" customHeight="false" outlineLevel="0" collapsed="false">
      <c r="A150" s="77"/>
      <c r="B150" s="78"/>
      <c r="C150" s="79"/>
      <c r="D150" s="80" t="str">
        <f aca="false">_xlfn.IFNA(VLOOKUP(C150,'بيانات الآليات '!A:G,4,FALSE()),"")</f>
        <v/>
      </c>
      <c r="E150" s="81" t="str">
        <f aca="false">_xlfn.IFNA(VLOOKUP(C150,'بيانات الآليات '!A:G,2,FALSE()),"")</f>
        <v/>
      </c>
      <c r="F150" s="81" t="str">
        <f aca="false">_xlfn.IFNA(VLOOKUP(C150,'بيانات الآليات '!A:G,5,FALSE()),"")</f>
        <v/>
      </c>
      <c r="G150" s="82"/>
      <c r="H150" s="83" t="str">
        <f aca="false">_xlfn.IFNA(VLOOKUP(G150,Table14543[],2,FALSE()),"")</f>
        <v/>
      </c>
      <c r="I150" s="84" t="str">
        <f aca="false">_xlfn.IFNA(VLOOKUP(G150,Table14543[],3,FALSE()),"")</f>
        <v/>
      </c>
      <c r="J150" s="83" t="str">
        <f aca="false">CONCATENATE("",G150,""," ",H150," ",I150)</f>
        <v>  </v>
      </c>
      <c r="K150" s="85"/>
      <c r="L150" s="86"/>
      <c r="M150" s="86"/>
      <c r="N150" s="86" t="n">
        <f aca="false">L150*M150</f>
        <v>0</v>
      </c>
      <c r="O150" s="86"/>
      <c r="P150" s="87" t="n">
        <f aca="false">(M150*L150)+O150</f>
        <v>0</v>
      </c>
      <c r="Q150" s="91"/>
    </row>
    <row r="151" customFormat="false" ht="14.25" hidden="false" customHeight="false" outlineLevel="0" collapsed="false">
      <c r="A151" s="77"/>
      <c r="B151" s="78"/>
      <c r="C151" s="79"/>
      <c r="D151" s="80" t="str">
        <f aca="false">_xlfn.IFNA(VLOOKUP(C151,'بيانات الآليات '!A:G,4,FALSE()),"")</f>
        <v/>
      </c>
      <c r="E151" s="81" t="str">
        <f aca="false">_xlfn.IFNA(VLOOKUP(C151,'بيانات الآليات '!A:G,2,FALSE()),"")</f>
        <v/>
      </c>
      <c r="F151" s="81" t="str">
        <f aca="false">_xlfn.IFNA(VLOOKUP(C151,'بيانات الآليات '!A:G,5,FALSE()),"")</f>
        <v/>
      </c>
      <c r="G151" s="82"/>
      <c r="H151" s="83" t="str">
        <f aca="false">_xlfn.IFNA(VLOOKUP(G151,Table14543[],2,FALSE()),"")</f>
        <v/>
      </c>
      <c r="I151" s="84" t="str">
        <f aca="false">_xlfn.IFNA(VLOOKUP(G151,Table14543[],3,FALSE()),"")</f>
        <v/>
      </c>
      <c r="J151" s="83" t="str">
        <f aca="false">CONCATENATE("",G151,""," ",H151," ",I151)</f>
        <v>  </v>
      </c>
      <c r="K151" s="85"/>
      <c r="L151" s="86"/>
      <c r="M151" s="86"/>
      <c r="N151" s="86" t="n">
        <f aca="false">L151*M151</f>
        <v>0</v>
      </c>
      <c r="O151" s="86"/>
      <c r="P151" s="87" t="n">
        <f aca="false">(M151*L151)+O151</f>
        <v>0</v>
      </c>
      <c r="Q151" s="91"/>
    </row>
    <row r="152" customFormat="false" ht="14.25" hidden="false" customHeight="false" outlineLevel="0" collapsed="false">
      <c r="A152" s="77"/>
      <c r="B152" s="78"/>
      <c r="C152" s="79"/>
      <c r="D152" s="80" t="str">
        <f aca="false">_xlfn.IFNA(VLOOKUP(C152,'بيانات الآليات '!A:G,4,FALSE()),"")</f>
        <v/>
      </c>
      <c r="E152" s="81" t="str">
        <f aca="false">_xlfn.IFNA(VLOOKUP(C152,'بيانات الآليات '!A:G,2,FALSE()),"")</f>
        <v/>
      </c>
      <c r="F152" s="81" t="str">
        <f aca="false">_xlfn.IFNA(VLOOKUP(C152,'بيانات الآليات '!A:G,5,FALSE()),"")</f>
        <v/>
      </c>
      <c r="G152" s="82"/>
      <c r="H152" s="83" t="str">
        <f aca="false">_xlfn.IFNA(VLOOKUP(G152,Table14543[],2,FALSE()),"")</f>
        <v/>
      </c>
      <c r="I152" s="84" t="str">
        <f aca="false">_xlfn.IFNA(VLOOKUP(G152,Table14543[],3,FALSE()),"")</f>
        <v/>
      </c>
      <c r="J152" s="83" t="str">
        <f aca="false">CONCATENATE("",G152,""," ",H152," ",I152)</f>
        <v>  </v>
      </c>
      <c r="K152" s="85"/>
      <c r="L152" s="86"/>
      <c r="M152" s="86"/>
      <c r="N152" s="86" t="n">
        <f aca="false">L152*M152</f>
        <v>0</v>
      </c>
      <c r="O152" s="86"/>
      <c r="P152" s="87" t="n">
        <f aca="false">(M152*L152)+O152</f>
        <v>0</v>
      </c>
      <c r="Q152" s="91"/>
    </row>
    <row r="153" customFormat="false" ht="14.25" hidden="false" customHeight="false" outlineLevel="0" collapsed="false">
      <c r="A153" s="77"/>
      <c r="B153" s="78"/>
      <c r="C153" s="79"/>
      <c r="D153" s="80" t="str">
        <f aca="false">_xlfn.IFNA(VLOOKUP(C153,'بيانات الآليات '!A:G,4,FALSE()),"")</f>
        <v/>
      </c>
      <c r="E153" s="81" t="str">
        <f aca="false">_xlfn.IFNA(VLOOKUP(C153,'بيانات الآليات '!A:G,2,FALSE()),"")</f>
        <v/>
      </c>
      <c r="F153" s="81" t="str">
        <f aca="false">_xlfn.IFNA(VLOOKUP(C153,'بيانات الآليات '!A:G,5,FALSE()),"")</f>
        <v/>
      </c>
      <c r="G153" s="82"/>
      <c r="H153" s="83" t="str">
        <f aca="false">_xlfn.IFNA(VLOOKUP(G153,Table14543[],2,FALSE()),"")</f>
        <v/>
      </c>
      <c r="I153" s="84" t="str">
        <f aca="false">_xlfn.IFNA(VLOOKUP(G153,Table14543[],3,FALSE()),"")</f>
        <v/>
      </c>
      <c r="J153" s="83" t="str">
        <f aca="false">CONCATENATE("",G153,""," ",H153," ",I153)</f>
        <v>  </v>
      </c>
      <c r="K153" s="85"/>
      <c r="L153" s="86"/>
      <c r="M153" s="86"/>
      <c r="N153" s="86" t="n">
        <f aca="false">L153*M153</f>
        <v>0</v>
      </c>
      <c r="O153" s="86"/>
      <c r="P153" s="87" t="n">
        <f aca="false">(M153*L153)+O153</f>
        <v>0</v>
      </c>
      <c r="Q153" s="91"/>
    </row>
    <row r="154" customFormat="false" ht="14.25" hidden="false" customHeight="false" outlineLevel="0" collapsed="false">
      <c r="A154" s="77"/>
      <c r="B154" s="78"/>
      <c r="C154" s="79"/>
      <c r="D154" s="80" t="str">
        <f aca="false">_xlfn.IFNA(VLOOKUP(C154,'بيانات الآليات '!A:G,4,FALSE()),"")</f>
        <v/>
      </c>
      <c r="E154" s="81" t="str">
        <f aca="false">_xlfn.IFNA(VLOOKUP(C154,'بيانات الآليات '!A:G,2,FALSE()),"")</f>
        <v/>
      </c>
      <c r="F154" s="81" t="str">
        <f aca="false">_xlfn.IFNA(VLOOKUP(C154,'بيانات الآليات '!A:G,5,FALSE()),"")</f>
        <v/>
      </c>
      <c r="G154" s="82"/>
      <c r="H154" s="83" t="str">
        <f aca="false">_xlfn.IFNA(VLOOKUP(G154,Table14543[],2,FALSE()),"")</f>
        <v/>
      </c>
      <c r="I154" s="84" t="str">
        <f aca="false">_xlfn.IFNA(VLOOKUP(G154,Table14543[],3,FALSE()),"")</f>
        <v/>
      </c>
      <c r="J154" s="83" t="str">
        <f aca="false">CONCATENATE("",G154,""," ",H154," ",I154)</f>
        <v>  </v>
      </c>
      <c r="K154" s="85"/>
      <c r="L154" s="86"/>
      <c r="M154" s="86"/>
      <c r="N154" s="86" t="n">
        <f aca="false">L154*M154</f>
        <v>0</v>
      </c>
      <c r="O154" s="86"/>
      <c r="P154" s="87" t="n">
        <f aca="false">(M154*L154)+O154</f>
        <v>0</v>
      </c>
      <c r="Q154" s="91"/>
    </row>
    <row r="155" customFormat="false" ht="14.25" hidden="false" customHeight="false" outlineLevel="0" collapsed="false">
      <c r="A155" s="77"/>
      <c r="B155" s="78"/>
      <c r="C155" s="79"/>
      <c r="D155" s="80" t="str">
        <f aca="false">_xlfn.IFNA(VLOOKUP(C155,'بيانات الآليات '!A:G,4,FALSE()),"")</f>
        <v/>
      </c>
      <c r="E155" s="81" t="str">
        <f aca="false">_xlfn.IFNA(VLOOKUP(C155,'بيانات الآليات '!A:G,2,FALSE()),"")</f>
        <v/>
      </c>
      <c r="F155" s="81" t="str">
        <f aca="false">_xlfn.IFNA(VLOOKUP(C155,'بيانات الآليات '!A:G,5,FALSE()),"")</f>
        <v/>
      </c>
      <c r="G155" s="82"/>
      <c r="H155" s="83" t="str">
        <f aca="false">_xlfn.IFNA(VLOOKUP(G155,Table14543[],2,FALSE()),"")</f>
        <v/>
      </c>
      <c r="I155" s="84" t="str">
        <f aca="false">_xlfn.IFNA(VLOOKUP(G155,Table14543[],3,FALSE()),"")</f>
        <v/>
      </c>
      <c r="J155" s="83" t="str">
        <f aca="false">CONCATENATE("",G155,""," ",H155," ",I155)</f>
        <v>  </v>
      </c>
      <c r="K155" s="85"/>
      <c r="L155" s="86"/>
      <c r="M155" s="86"/>
      <c r="N155" s="86" t="n">
        <f aca="false">L155*M155</f>
        <v>0</v>
      </c>
      <c r="O155" s="86"/>
      <c r="P155" s="87" t="n">
        <f aca="false">(M155*L155)+O155</f>
        <v>0</v>
      </c>
      <c r="Q155" s="91"/>
    </row>
    <row r="156" customFormat="false" ht="14.25" hidden="false" customHeight="false" outlineLevel="0" collapsed="false">
      <c r="A156" s="77"/>
      <c r="B156" s="78"/>
      <c r="C156" s="79"/>
      <c r="D156" s="80" t="str">
        <f aca="false">_xlfn.IFNA(VLOOKUP(C156,'بيانات الآليات '!A:G,4,FALSE()),"")</f>
        <v/>
      </c>
      <c r="E156" s="81" t="str">
        <f aca="false">_xlfn.IFNA(VLOOKUP(C156,'بيانات الآليات '!A:G,2,FALSE()),"")</f>
        <v/>
      </c>
      <c r="F156" s="81" t="str">
        <f aca="false">_xlfn.IFNA(VLOOKUP(C156,'بيانات الآليات '!A:G,5,FALSE()),"")</f>
        <v/>
      </c>
      <c r="G156" s="82"/>
      <c r="H156" s="83" t="str">
        <f aca="false">_xlfn.IFNA(VLOOKUP(G156,Table14543[],2,FALSE()),"")</f>
        <v/>
      </c>
      <c r="I156" s="84" t="str">
        <f aca="false">_xlfn.IFNA(VLOOKUP(G156,Table14543[],3,FALSE()),"")</f>
        <v/>
      </c>
      <c r="J156" s="83" t="str">
        <f aca="false">CONCATENATE("",G156,""," ",H156," ",I156)</f>
        <v>  </v>
      </c>
      <c r="K156" s="85"/>
      <c r="L156" s="86"/>
      <c r="M156" s="86"/>
      <c r="N156" s="86" t="n">
        <f aca="false">L156*M156</f>
        <v>0</v>
      </c>
      <c r="O156" s="86"/>
      <c r="P156" s="87" t="n">
        <f aca="false">(M156*L156)+O156</f>
        <v>0</v>
      </c>
      <c r="Q156" s="91"/>
    </row>
    <row r="157" customFormat="false" ht="14.25" hidden="false" customHeight="false" outlineLevel="0" collapsed="false">
      <c r="A157" s="77"/>
      <c r="B157" s="78"/>
      <c r="C157" s="79"/>
      <c r="D157" s="80" t="str">
        <f aca="false">_xlfn.IFNA(VLOOKUP(C157,'بيانات الآليات '!A:G,4,FALSE()),"")</f>
        <v/>
      </c>
      <c r="E157" s="81" t="str">
        <f aca="false">_xlfn.IFNA(VLOOKUP(C157,'بيانات الآليات '!A:G,2,FALSE()),"")</f>
        <v/>
      </c>
      <c r="F157" s="81" t="str">
        <f aca="false">_xlfn.IFNA(VLOOKUP(C157,'بيانات الآليات '!A:G,5,FALSE()),"")</f>
        <v/>
      </c>
      <c r="G157" s="82"/>
      <c r="H157" s="83" t="str">
        <f aca="false">_xlfn.IFNA(VLOOKUP(G157,Table14543[],2,FALSE()),"")</f>
        <v/>
      </c>
      <c r="I157" s="84" t="str">
        <f aca="false">_xlfn.IFNA(VLOOKUP(G157,Table14543[],3,FALSE()),"")</f>
        <v/>
      </c>
      <c r="J157" s="83" t="str">
        <f aca="false">CONCATENATE("",G157,""," ",H157," ",I157)</f>
        <v>  </v>
      </c>
      <c r="K157" s="85"/>
      <c r="L157" s="86"/>
      <c r="M157" s="86"/>
      <c r="N157" s="86" t="n">
        <f aca="false">L157*M157</f>
        <v>0</v>
      </c>
      <c r="O157" s="86"/>
      <c r="P157" s="87" t="n">
        <f aca="false">(M157*L157)+O157</f>
        <v>0</v>
      </c>
      <c r="Q157" s="91"/>
    </row>
    <row r="158" customFormat="false" ht="14.25" hidden="false" customHeight="false" outlineLevel="0" collapsed="false">
      <c r="A158" s="77"/>
      <c r="B158" s="78"/>
      <c r="C158" s="79"/>
      <c r="D158" s="80" t="str">
        <f aca="false">_xlfn.IFNA(VLOOKUP(C158,'بيانات الآليات '!A:G,4,FALSE()),"")</f>
        <v/>
      </c>
      <c r="E158" s="81" t="str">
        <f aca="false">_xlfn.IFNA(VLOOKUP(C158,'بيانات الآليات '!A:G,2,FALSE()),"")</f>
        <v/>
      </c>
      <c r="F158" s="81" t="str">
        <f aca="false">_xlfn.IFNA(VLOOKUP(C158,'بيانات الآليات '!A:G,5,FALSE()),"")</f>
        <v/>
      </c>
      <c r="G158" s="82"/>
      <c r="H158" s="83" t="str">
        <f aca="false">_xlfn.IFNA(VLOOKUP(G158,Table14543[],2,FALSE()),"")</f>
        <v/>
      </c>
      <c r="I158" s="84" t="str">
        <f aca="false">_xlfn.IFNA(VLOOKUP(G158,Table14543[],3,FALSE()),"")</f>
        <v/>
      </c>
      <c r="J158" s="83" t="str">
        <f aca="false">CONCATENATE("",G158,""," ",H158," ",I158)</f>
        <v>  </v>
      </c>
      <c r="K158" s="85"/>
      <c r="L158" s="86"/>
      <c r="M158" s="86"/>
      <c r="N158" s="86" t="n">
        <f aca="false">L158*M158</f>
        <v>0</v>
      </c>
      <c r="O158" s="86"/>
      <c r="P158" s="87" t="n">
        <f aca="false">(M158*L158)+O158</f>
        <v>0</v>
      </c>
      <c r="Q158" s="91"/>
    </row>
    <row r="159" customFormat="false" ht="14.25" hidden="false" customHeight="false" outlineLevel="0" collapsed="false">
      <c r="A159" s="77"/>
      <c r="B159" s="78"/>
      <c r="C159" s="79"/>
      <c r="D159" s="80" t="str">
        <f aca="false">_xlfn.IFNA(VLOOKUP(C159,'بيانات الآليات '!A:G,4,FALSE()),"")</f>
        <v/>
      </c>
      <c r="E159" s="81" t="str">
        <f aca="false">_xlfn.IFNA(VLOOKUP(C159,'بيانات الآليات '!A:G,2,FALSE()),"")</f>
        <v/>
      </c>
      <c r="F159" s="81" t="str">
        <f aca="false">_xlfn.IFNA(VLOOKUP(C159,'بيانات الآليات '!A:G,5,FALSE()),"")</f>
        <v/>
      </c>
      <c r="G159" s="82"/>
      <c r="H159" s="83" t="str">
        <f aca="false">_xlfn.IFNA(VLOOKUP(G159,Table14543[],2,FALSE()),"")</f>
        <v/>
      </c>
      <c r="I159" s="84" t="str">
        <f aca="false">_xlfn.IFNA(VLOOKUP(G159,Table14543[],3,FALSE()),"")</f>
        <v/>
      </c>
      <c r="J159" s="83" t="str">
        <f aca="false">CONCATENATE("",G159,""," ",H159," ",I159)</f>
        <v>  </v>
      </c>
      <c r="K159" s="85"/>
      <c r="L159" s="86"/>
      <c r="M159" s="86"/>
      <c r="N159" s="86" t="n">
        <f aca="false">L159*M159</f>
        <v>0</v>
      </c>
      <c r="O159" s="86"/>
      <c r="P159" s="87" t="n">
        <f aca="false">(M159*L159)+O159</f>
        <v>0</v>
      </c>
      <c r="Q159" s="91"/>
    </row>
    <row r="160" customFormat="false" ht="14.25" hidden="false" customHeight="false" outlineLevel="0" collapsed="false">
      <c r="A160" s="77"/>
      <c r="B160" s="78"/>
      <c r="C160" s="79"/>
      <c r="D160" s="80" t="str">
        <f aca="false">_xlfn.IFNA(VLOOKUP(C160,'بيانات الآليات '!A:G,4,FALSE()),"")</f>
        <v/>
      </c>
      <c r="E160" s="81" t="str">
        <f aca="false">_xlfn.IFNA(VLOOKUP(C160,'بيانات الآليات '!A:G,2,FALSE()),"")</f>
        <v/>
      </c>
      <c r="F160" s="81" t="str">
        <f aca="false">_xlfn.IFNA(VLOOKUP(C160,'بيانات الآليات '!A:G,5,FALSE()),"")</f>
        <v/>
      </c>
      <c r="G160" s="82"/>
      <c r="H160" s="83" t="str">
        <f aca="false">_xlfn.IFNA(VLOOKUP(G160,Table14543[],2,FALSE()),"")</f>
        <v/>
      </c>
      <c r="I160" s="84" t="str">
        <f aca="false">_xlfn.IFNA(VLOOKUP(G160,Table14543[],3,FALSE()),"")</f>
        <v/>
      </c>
      <c r="J160" s="83" t="str">
        <f aca="false">CONCATENATE("",G160,""," ",H160," ",I160)</f>
        <v>  </v>
      </c>
      <c r="K160" s="85"/>
      <c r="L160" s="86"/>
      <c r="M160" s="86"/>
      <c r="N160" s="86" t="n">
        <f aca="false">L160*M160</f>
        <v>0</v>
      </c>
      <c r="O160" s="86"/>
      <c r="P160" s="87" t="n">
        <f aca="false">(M160*L160)+O160</f>
        <v>0</v>
      </c>
      <c r="Q160" s="91"/>
    </row>
    <row r="161" customFormat="false" ht="14.25" hidden="false" customHeight="false" outlineLevel="0" collapsed="false">
      <c r="A161" s="77"/>
      <c r="B161" s="78"/>
      <c r="C161" s="79"/>
      <c r="D161" s="80" t="str">
        <f aca="false">_xlfn.IFNA(VLOOKUP(C161,'بيانات الآليات '!A:G,4,FALSE()),"")</f>
        <v/>
      </c>
      <c r="E161" s="81" t="str">
        <f aca="false">_xlfn.IFNA(VLOOKUP(C161,'بيانات الآليات '!A:G,2,FALSE()),"")</f>
        <v/>
      </c>
      <c r="F161" s="81" t="str">
        <f aca="false">_xlfn.IFNA(VLOOKUP(C161,'بيانات الآليات '!A:G,5,FALSE()),"")</f>
        <v/>
      </c>
      <c r="G161" s="82"/>
      <c r="H161" s="83" t="str">
        <f aca="false">_xlfn.IFNA(VLOOKUP(G161,Table14543[],2,FALSE()),"")</f>
        <v/>
      </c>
      <c r="I161" s="84" t="str">
        <f aca="false">_xlfn.IFNA(VLOOKUP(G161,Table14543[],3,FALSE()),"")</f>
        <v/>
      </c>
      <c r="J161" s="83" t="str">
        <f aca="false">CONCATENATE("",G161,""," ",H161," ",I161)</f>
        <v>  </v>
      </c>
      <c r="K161" s="85"/>
      <c r="L161" s="86"/>
      <c r="M161" s="86"/>
      <c r="N161" s="86" t="n">
        <f aca="false">L161*M161</f>
        <v>0</v>
      </c>
      <c r="O161" s="86"/>
      <c r="P161" s="87" t="n">
        <f aca="false">(M161*L161)+O161</f>
        <v>0</v>
      </c>
      <c r="Q161" s="91"/>
    </row>
    <row r="162" customFormat="false" ht="14.25" hidden="false" customHeight="false" outlineLevel="0" collapsed="false">
      <c r="A162" s="77"/>
      <c r="B162" s="78"/>
      <c r="C162" s="79"/>
      <c r="D162" s="80" t="str">
        <f aca="false">_xlfn.IFNA(VLOOKUP(C162,'بيانات الآليات '!A:G,4,FALSE()),"")</f>
        <v/>
      </c>
      <c r="E162" s="81" t="str">
        <f aca="false">_xlfn.IFNA(VLOOKUP(C162,'بيانات الآليات '!A:G,2,FALSE()),"")</f>
        <v/>
      </c>
      <c r="F162" s="81" t="str">
        <f aca="false">_xlfn.IFNA(VLOOKUP(C162,'بيانات الآليات '!A:G,5,FALSE()),"")</f>
        <v/>
      </c>
      <c r="G162" s="82"/>
      <c r="H162" s="83" t="str">
        <f aca="false">_xlfn.IFNA(VLOOKUP(G162,Table14543[],2,FALSE()),"")</f>
        <v/>
      </c>
      <c r="I162" s="84" t="str">
        <f aca="false">_xlfn.IFNA(VLOOKUP(G162,Table14543[],3,FALSE()),"")</f>
        <v/>
      </c>
      <c r="J162" s="83" t="str">
        <f aca="false">CONCATENATE("",G162,""," ",H162," ",I162)</f>
        <v>  </v>
      </c>
      <c r="K162" s="85"/>
      <c r="L162" s="86"/>
      <c r="M162" s="86"/>
      <c r="N162" s="86" t="n">
        <f aca="false">L162*M162</f>
        <v>0</v>
      </c>
      <c r="O162" s="86"/>
      <c r="P162" s="87" t="n">
        <f aca="false">(M162*L162)+O162</f>
        <v>0</v>
      </c>
      <c r="Q162" s="91"/>
    </row>
    <row r="163" customFormat="false" ht="14.25" hidden="false" customHeight="false" outlineLevel="0" collapsed="false">
      <c r="A163" s="77"/>
      <c r="B163" s="78"/>
      <c r="C163" s="79"/>
      <c r="D163" s="80" t="str">
        <f aca="false">_xlfn.IFNA(VLOOKUP(C163,'بيانات الآليات '!A:G,4,FALSE()),"")</f>
        <v/>
      </c>
      <c r="E163" s="81" t="str">
        <f aca="false">_xlfn.IFNA(VLOOKUP(C163,'بيانات الآليات '!A:G,2,FALSE()),"")</f>
        <v/>
      </c>
      <c r="F163" s="81" t="str">
        <f aca="false">_xlfn.IFNA(VLOOKUP(C163,'بيانات الآليات '!A:G,5,FALSE()),"")</f>
        <v/>
      </c>
      <c r="G163" s="82"/>
      <c r="H163" s="83" t="str">
        <f aca="false">_xlfn.IFNA(VLOOKUP(G163,Table14543[],2,FALSE()),"")</f>
        <v/>
      </c>
      <c r="I163" s="84" t="str">
        <f aca="false">_xlfn.IFNA(VLOOKUP(G163,Table14543[],3,FALSE()),"")</f>
        <v/>
      </c>
      <c r="J163" s="83" t="str">
        <f aca="false">CONCATENATE("",G163,""," ",H163," ",I163)</f>
        <v>  </v>
      </c>
      <c r="K163" s="85"/>
      <c r="L163" s="86"/>
      <c r="M163" s="86"/>
      <c r="N163" s="86" t="n">
        <f aca="false">L163*M163</f>
        <v>0</v>
      </c>
      <c r="O163" s="86"/>
      <c r="P163" s="87" t="n">
        <f aca="false">(M163*L163)+O163</f>
        <v>0</v>
      </c>
      <c r="Q163" s="91"/>
    </row>
    <row r="164" customFormat="false" ht="14.25" hidden="false" customHeight="false" outlineLevel="0" collapsed="false">
      <c r="A164" s="77"/>
      <c r="B164" s="78"/>
      <c r="C164" s="79"/>
      <c r="D164" s="80" t="str">
        <f aca="false">_xlfn.IFNA(VLOOKUP(C164,'بيانات الآليات '!A:G,4,FALSE()),"")</f>
        <v/>
      </c>
      <c r="E164" s="81" t="str">
        <f aca="false">_xlfn.IFNA(VLOOKUP(C164,'بيانات الآليات '!A:G,2,FALSE()),"")</f>
        <v/>
      </c>
      <c r="F164" s="81" t="str">
        <f aca="false">_xlfn.IFNA(VLOOKUP(C164,'بيانات الآليات '!A:G,5,FALSE()),"")</f>
        <v/>
      </c>
      <c r="G164" s="82"/>
      <c r="H164" s="83" t="str">
        <f aca="false">_xlfn.IFNA(VLOOKUP(G164,Table14543[],2,FALSE()),"")</f>
        <v/>
      </c>
      <c r="I164" s="84" t="str">
        <f aca="false">_xlfn.IFNA(VLOOKUP(G164,Table14543[],3,FALSE()),"")</f>
        <v/>
      </c>
      <c r="J164" s="83" t="str">
        <f aca="false">CONCATENATE("",G164,""," ",H164," ",I164)</f>
        <v>  </v>
      </c>
      <c r="K164" s="85"/>
      <c r="L164" s="86"/>
      <c r="M164" s="86"/>
      <c r="N164" s="86" t="n">
        <f aca="false">L164*M164</f>
        <v>0</v>
      </c>
      <c r="O164" s="86"/>
      <c r="P164" s="87" t="n">
        <f aca="false">(M164*L164)+O164</f>
        <v>0</v>
      </c>
      <c r="Q164" s="91"/>
    </row>
    <row r="165" customFormat="false" ht="14.25" hidden="false" customHeight="false" outlineLevel="0" collapsed="false">
      <c r="A165" s="77"/>
      <c r="B165" s="78"/>
      <c r="C165" s="79"/>
      <c r="D165" s="80" t="str">
        <f aca="false">_xlfn.IFNA(VLOOKUP(C165,'بيانات الآليات '!A:G,4,FALSE()),"")</f>
        <v/>
      </c>
      <c r="E165" s="81" t="str">
        <f aca="false">_xlfn.IFNA(VLOOKUP(C165,'بيانات الآليات '!A:G,2,FALSE()),"")</f>
        <v/>
      </c>
      <c r="F165" s="81" t="str">
        <f aca="false">_xlfn.IFNA(VLOOKUP(C165,'بيانات الآليات '!A:G,5,FALSE()),"")</f>
        <v/>
      </c>
      <c r="G165" s="82"/>
      <c r="H165" s="83" t="str">
        <f aca="false">_xlfn.IFNA(VLOOKUP(G165,Table14543[],2,FALSE()),"")</f>
        <v/>
      </c>
      <c r="I165" s="84" t="str">
        <f aca="false">_xlfn.IFNA(VLOOKUP(G165,Table14543[],3,FALSE()),"")</f>
        <v/>
      </c>
      <c r="J165" s="83" t="str">
        <f aca="false">CONCATENATE("",G165,""," ",H165," ",I165)</f>
        <v>  </v>
      </c>
      <c r="K165" s="85"/>
      <c r="L165" s="86"/>
      <c r="M165" s="86"/>
      <c r="N165" s="86" t="n">
        <f aca="false">L165*M165</f>
        <v>0</v>
      </c>
      <c r="O165" s="86"/>
      <c r="P165" s="87" t="n">
        <f aca="false">(M165*L165)+O165</f>
        <v>0</v>
      </c>
      <c r="Q165" s="91"/>
    </row>
    <row r="166" customFormat="false" ht="14.25" hidden="false" customHeight="false" outlineLevel="0" collapsed="false">
      <c r="A166" s="77"/>
      <c r="B166" s="78"/>
      <c r="C166" s="79"/>
      <c r="D166" s="80" t="str">
        <f aca="false">_xlfn.IFNA(VLOOKUP(C166,'بيانات الآليات '!A:G,4,FALSE()),"")</f>
        <v/>
      </c>
      <c r="E166" s="81" t="str">
        <f aca="false">_xlfn.IFNA(VLOOKUP(C166,'بيانات الآليات '!A:G,2,FALSE()),"")</f>
        <v/>
      </c>
      <c r="F166" s="81" t="str">
        <f aca="false">_xlfn.IFNA(VLOOKUP(C166,'بيانات الآليات '!A:G,5,FALSE()),"")</f>
        <v/>
      </c>
      <c r="G166" s="82"/>
      <c r="H166" s="83" t="str">
        <f aca="false">_xlfn.IFNA(VLOOKUP(G166,Table14543[],2,FALSE()),"")</f>
        <v/>
      </c>
      <c r="I166" s="84" t="str">
        <f aca="false">_xlfn.IFNA(VLOOKUP(G166,Table14543[],3,FALSE()),"")</f>
        <v/>
      </c>
      <c r="J166" s="83" t="str">
        <f aca="false">CONCATENATE("",G166,""," ",H166," ",I166)</f>
        <v>  </v>
      </c>
      <c r="K166" s="85"/>
      <c r="L166" s="86"/>
      <c r="M166" s="86"/>
      <c r="N166" s="86" t="n">
        <f aca="false">L166*M166</f>
        <v>0</v>
      </c>
      <c r="O166" s="86"/>
      <c r="P166" s="87" t="n">
        <f aca="false">(M166*L166)+O166</f>
        <v>0</v>
      </c>
      <c r="Q166" s="91"/>
    </row>
    <row r="167" customFormat="false" ht="14.25" hidden="false" customHeight="false" outlineLevel="0" collapsed="false">
      <c r="A167" s="77"/>
      <c r="B167" s="78"/>
      <c r="C167" s="79"/>
      <c r="D167" s="80" t="str">
        <f aca="false">_xlfn.IFNA(VLOOKUP(C167,'بيانات الآليات '!A:G,4,FALSE()),"")</f>
        <v/>
      </c>
      <c r="E167" s="81" t="str">
        <f aca="false">_xlfn.IFNA(VLOOKUP(C167,'بيانات الآليات '!A:G,2,FALSE()),"")</f>
        <v/>
      </c>
      <c r="F167" s="81" t="str">
        <f aca="false">_xlfn.IFNA(VLOOKUP(C167,'بيانات الآليات '!A:G,5,FALSE()),"")</f>
        <v/>
      </c>
      <c r="G167" s="82"/>
      <c r="H167" s="83" t="str">
        <f aca="false">_xlfn.IFNA(VLOOKUP(G167,Table14543[],2,FALSE()),"")</f>
        <v/>
      </c>
      <c r="I167" s="84" t="str">
        <f aca="false">_xlfn.IFNA(VLOOKUP(G167,Table14543[],3,FALSE()),"")</f>
        <v/>
      </c>
      <c r="J167" s="83" t="str">
        <f aca="false">CONCATENATE("",G167,""," ",H167," ",I167)</f>
        <v>  </v>
      </c>
      <c r="K167" s="85"/>
      <c r="L167" s="86"/>
      <c r="M167" s="86"/>
      <c r="N167" s="86" t="n">
        <f aca="false">L167*M167</f>
        <v>0</v>
      </c>
      <c r="O167" s="86"/>
      <c r="P167" s="87" t="n">
        <f aca="false">(M167*L167)+O167</f>
        <v>0</v>
      </c>
      <c r="Q167" s="91"/>
    </row>
    <row r="168" customFormat="false" ht="14.25" hidden="false" customHeight="false" outlineLevel="0" collapsed="false">
      <c r="A168" s="77"/>
      <c r="B168" s="78"/>
      <c r="C168" s="79"/>
      <c r="D168" s="80" t="str">
        <f aca="false">_xlfn.IFNA(VLOOKUP(C168,'بيانات الآليات '!A:G,4,FALSE()),"")</f>
        <v/>
      </c>
      <c r="E168" s="81" t="str">
        <f aca="false">_xlfn.IFNA(VLOOKUP(C168,'بيانات الآليات '!A:G,2,FALSE()),"")</f>
        <v/>
      </c>
      <c r="F168" s="81" t="str">
        <f aca="false">_xlfn.IFNA(VLOOKUP(C168,'بيانات الآليات '!A:G,5,FALSE()),"")</f>
        <v/>
      </c>
      <c r="G168" s="82"/>
      <c r="H168" s="83" t="str">
        <f aca="false">_xlfn.IFNA(VLOOKUP(G168,Table14543[],2,FALSE()),"")</f>
        <v/>
      </c>
      <c r="I168" s="84" t="str">
        <f aca="false">_xlfn.IFNA(VLOOKUP(G168,Table14543[],3,FALSE()),"")</f>
        <v/>
      </c>
      <c r="J168" s="83" t="str">
        <f aca="false">CONCATENATE("",G168,""," ",H168," ",I168)</f>
        <v>  </v>
      </c>
      <c r="K168" s="85"/>
      <c r="L168" s="86"/>
      <c r="M168" s="86"/>
      <c r="N168" s="86" t="n">
        <f aca="false">L168*M168</f>
        <v>0</v>
      </c>
      <c r="O168" s="86"/>
      <c r="P168" s="87" t="n">
        <f aca="false">(M168*L168)+O168</f>
        <v>0</v>
      </c>
      <c r="Q168" s="91"/>
    </row>
    <row r="169" customFormat="false" ht="14.25" hidden="false" customHeight="false" outlineLevel="0" collapsed="false">
      <c r="A169" s="77"/>
      <c r="B169" s="78"/>
      <c r="C169" s="79"/>
      <c r="D169" s="80" t="str">
        <f aca="false">_xlfn.IFNA(VLOOKUP(C169,'بيانات الآليات '!A:G,4,FALSE()),"")</f>
        <v/>
      </c>
      <c r="E169" s="81" t="str">
        <f aca="false">_xlfn.IFNA(VLOOKUP(C169,'بيانات الآليات '!A:G,2,FALSE()),"")</f>
        <v/>
      </c>
      <c r="F169" s="81" t="str">
        <f aca="false">_xlfn.IFNA(VLOOKUP(C169,'بيانات الآليات '!A:G,5,FALSE()),"")</f>
        <v/>
      </c>
      <c r="G169" s="82"/>
      <c r="H169" s="83" t="str">
        <f aca="false">_xlfn.IFNA(VLOOKUP(G169,Table14543[],2,FALSE()),"")</f>
        <v/>
      </c>
      <c r="I169" s="84" t="str">
        <f aca="false">_xlfn.IFNA(VLOOKUP(G169,Table14543[],3,FALSE()),"")</f>
        <v/>
      </c>
      <c r="J169" s="83" t="str">
        <f aca="false">CONCATENATE("",G169,""," ",H169," ",I169)</f>
        <v>  </v>
      </c>
      <c r="K169" s="85"/>
      <c r="L169" s="86"/>
      <c r="M169" s="86"/>
      <c r="N169" s="86" t="n">
        <f aca="false">L169*M169</f>
        <v>0</v>
      </c>
      <c r="O169" s="86"/>
      <c r="P169" s="87" t="n">
        <f aca="false">(M169*L169)+O169</f>
        <v>0</v>
      </c>
      <c r="Q169" s="91"/>
    </row>
    <row r="170" customFormat="false" ht="14.25" hidden="false" customHeight="false" outlineLevel="0" collapsed="false">
      <c r="A170" s="77"/>
      <c r="B170" s="78"/>
      <c r="C170" s="79"/>
      <c r="D170" s="80" t="str">
        <f aca="false">_xlfn.IFNA(VLOOKUP(C170,'بيانات الآليات '!A:G,4,FALSE()),"")</f>
        <v/>
      </c>
      <c r="E170" s="81" t="str">
        <f aca="false">_xlfn.IFNA(VLOOKUP(C170,'بيانات الآليات '!A:G,2,FALSE()),"")</f>
        <v/>
      </c>
      <c r="F170" s="81" t="str">
        <f aca="false">_xlfn.IFNA(VLOOKUP(C170,'بيانات الآليات '!A:G,5,FALSE()),"")</f>
        <v/>
      </c>
      <c r="G170" s="82"/>
      <c r="H170" s="83" t="str">
        <f aca="false">_xlfn.IFNA(VLOOKUP(G170,Table14543[],2,FALSE()),"")</f>
        <v/>
      </c>
      <c r="I170" s="84" t="str">
        <f aca="false">_xlfn.IFNA(VLOOKUP(G170,Table14543[],3,FALSE()),"")</f>
        <v/>
      </c>
      <c r="J170" s="83" t="str">
        <f aca="false">CONCATENATE("",G170,""," ",H170," ",I170)</f>
        <v>  </v>
      </c>
      <c r="K170" s="85"/>
      <c r="L170" s="86"/>
      <c r="M170" s="86"/>
      <c r="N170" s="86" t="n">
        <f aca="false">L170*M170</f>
        <v>0</v>
      </c>
      <c r="O170" s="86"/>
      <c r="P170" s="87" t="n">
        <f aca="false">(M170*L170)+O170</f>
        <v>0</v>
      </c>
      <c r="Q170" s="91"/>
    </row>
    <row r="171" customFormat="false" ht="14.25" hidden="false" customHeight="false" outlineLevel="0" collapsed="false">
      <c r="A171" s="77"/>
      <c r="B171" s="78"/>
      <c r="C171" s="79"/>
      <c r="D171" s="80" t="str">
        <f aca="false">_xlfn.IFNA(VLOOKUP(C171,'بيانات الآليات '!A:G,4,FALSE()),"")</f>
        <v/>
      </c>
      <c r="E171" s="81" t="str">
        <f aca="false">_xlfn.IFNA(VLOOKUP(C171,'بيانات الآليات '!A:G,2,FALSE()),"")</f>
        <v/>
      </c>
      <c r="F171" s="81" t="str">
        <f aca="false">_xlfn.IFNA(VLOOKUP(C171,'بيانات الآليات '!A:G,5,FALSE()),"")</f>
        <v/>
      </c>
      <c r="G171" s="82"/>
      <c r="H171" s="83" t="str">
        <f aca="false">_xlfn.IFNA(VLOOKUP(G171,Table14543[],2,FALSE()),"")</f>
        <v/>
      </c>
      <c r="I171" s="84" t="str">
        <f aca="false">_xlfn.IFNA(VLOOKUP(G171,Table14543[],3,FALSE()),"")</f>
        <v/>
      </c>
      <c r="J171" s="83" t="str">
        <f aca="false">CONCATENATE("",G171,""," ",H171," ",I171)</f>
        <v>  </v>
      </c>
      <c r="K171" s="85"/>
      <c r="L171" s="86"/>
      <c r="M171" s="86"/>
      <c r="N171" s="86" t="n">
        <f aca="false">L171*M171</f>
        <v>0</v>
      </c>
      <c r="O171" s="86"/>
      <c r="P171" s="87" t="n">
        <f aca="false">(M171*L171)+O171</f>
        <v>0</v>
      </c>
      <c r="Q171" s="91"/>
    </row>
    <row r="172" customFormat="false" ht="14.25" hidden="false" customHeight="false" outlineLevel="0" collapsed="false">
      <c r="A172" s="77"/>
      <c r="B172" s="78"/>
      <c r="C172" s="79"/>
      <c r="D172" s="80" t="str">
        <f aca="false">_xlfn.IFNA(VLOOKUP(C172,'بيانات الآليات '!A:G,4,FALSE()),"")</f>
        <v/>
      </c>
      <c r="E172" s="81" t="str">
        <f aca="false">_xlfn.IFNA(VLOOKUP(C172,'بيانات الآليات '!A:G,2,FALSE()),"")</f>
        <v/>
      </c>
      <c r="F172" s="81" t="str">
        <f aca="false">_xlfn.IFNA(VLOOKUP(C172,'بيانات الآليات '!A:G,5,FALSE()),"")</f>
        <v/>
      </c>
      <c r="G172" s="82"/>
      <c r="H172" s="83" t="str">
        <f aca="false">_xlfn.IFNA(VLOOKUP(G172,Table14543[],2,FALSE()),"")</f>
        <v/>
      </c>
      <c r="I172" s="84" t="str">
        <f aca="false">_xlfn.IFNA(VLOOKUP(G172,Table14543[],3,FALSE()),"")</f>
        <v/>
      </c>
      <c r="J172" s="83" t="str">
        <f aca="false">CONCATENATE("",G172,""," ",H172," ",I172)</f>
        <v>  </v>
      </c>
      <c r="K172" s="85"/>
      <c r="L172" s="86"/>
      <c r="M172" s="86"/>
      <c r="N172" s="86" t="n">
        <f aca="false">L172*M172</f>
        <v>0</v>
      </c>
      <c r="O172" s="86"/>
      <c r="P172" s="87" t="n">
        <f aca="false">(M172*L172)+O172</f>
        <v>0</v>
      </c>
      <c r="Q172" s="91"/>
    </row>
    <row r="173" customFormat="false" ht="14.25" hidden="false" customHeight="false" outlineLevel="0" collapsed="false">
      <c r="A173" s="77"/>
      <c r="B173" s="78"/>
      <c r="C173" s="79"/>
      <c r="D173" s="80" t="str">
        <f aca="false">_xlfn.IFNA(VLOOKUP(C173,'بيانات الآليات '!A:G,4,FALSE()),"")</f>
        <v/>
      </c>
      <c r="E173" s="81" t="str">
        <f aca="false">_xlfn.IFNA(VLOOKUP(C173,'بيانات الآليات '!A:G,2,FALSE()),"")</f>
        <v/>
      </c>
      <c r="F173" s="81" t="str">
        <f aca="false">_xlfn.IFNA(VLOOKUP(C173,'بيانات الآليات '!A:G,5,FALSE()),"")</f>
        <v/>
      </c>
      <c r="G173" s="82"/>
      <c r="H173" s="83" t="str">
        <f aca="false">_xlfn.IFNA(VLOOKUP(G173,Table14543[],2,FALSE()),"")</f>
        <v/>
      </c>
      <c r="I173" s="84" t="str">
        <f aca="false">_xlfn.IFNA(VLOOKUP(G173,Table14543[],3,FALSE()),"")</f>
        <v/>
      </c>
      <c r="J173" s="83" t="str">
        <f aca="false">CONCATENATE("",G173,""," ",H173," ",I173)</f>
        <v>  </v>
      </c>
      <c r="K173" s="85"/>
      <c r="L173" s="86"/>
      <c r="M173" s="86"/>
      <c r="N173" s="86" t="n">
        <f aca="false">L173*M173</f>
        <v>0</v>
      </c>
      <c r="O173" s="86"/>
      <c r="P173" s="87" t="n">
        <f aca="false">(M173*L173)+O173</f>
        <v>0</v>
      </c>
      <c r="Q173" s="91"/>
    </row>
    <row r="174" customFormat="false" ht="14.25" hidden="false" customHeight="false" outlineLevel="0" collapsed="false">
      <c r="A174" s="77"/>
      <c r="B174" s="78"/>
      <c r="C174" s="79"/>
      <c r="D174" s="80" t="str">
        <f aca="false">_xlfn.IFNA(VLOOKUP(C174,'بيانات الآليات '!A:G,4,FALSE()),"")</f>
        <v/>
      </c>
      <c r="E174" s="81" t="str">
        <f aca="false">_xlfn.IFNA(VLOOKUP(C174,'بيانات الآليات '!A:G,2,FALSE()),"")</f>
        <v/>
      </c>
      <c r="F174" s="81" t="str">
        <f aca="false">_xlfn.IFNA(VLOOKUP(C174,'بيانات الآليات '!A:G,5,FALSE()),"")</f>
        <v/>
      </c>
      <c r="G174" s="82"/>
      <c r="H174" s="83" t="str">
        <f aca="false">_xlfn.IFNA(VLOOKUP(G174,Table14543[],2,FALSE()),"")</f>
        <v/>
      </c>
      <c r="I174" s="84" t="str">
        <f aca="false">_xlfn.IFNA(VLOOKUP(G174,Table14543[],3,FALSE()),"")</f>
        <v/>
      </c>
      <c r="J174" s="83" t="str">
        <f aca="false">CONCATENATE("",G174,""," ",H174," ",I174)</f>
        <v>  </v>
      </c>
      <c r="K174" s="85"/>
      <c r="L174" s="86"/>
      <c r="M174" s="86"/>
      <c r="N174" s="86" t="n">
        <f aca="false">L174*M174</f>
        <v>0</v>
      </c>
      <c r="O174" s="86"/>
      <c r="P174" s="87" t="n">
        <f aca="false">(M174*L174)+O174</f>
        <v>0</v>
      </c>
      <c r="Q174" s="91"/>
    </row>
    <row r="175" customFormat="false" ht="14.25" hidden="false" customHeight="false" outlineLevel="0" collapsed="false">
      <c r="A175" s="77"/>
      <c r="B175" s="78"/>
      <c r="C175" s="79"/>
      <c r="D175" s="80" t="str">
        <f aca="false">_xlfn.IFNA(VLOOKUP(C175,'بيانات الآليات '!A:G,4,FALSE()),"")</f>
        <v/>
      </c>
      <c r="E175" s="81" t="str">
        <f aca="false">_xlfn.IFNA(VLOOKUP(C175,'بيانات الآليات '!A:G,2,FALSE()),"")</f>
        <v/>
      </c>
      <c r="F175" s="81" t="str">
        <f aca="false">_xlfn.IFNA(VLOOKUP(C175,'بيانات الآليات '!A:G,5,FALSE()),"")</f>
        <v/>
      </c>
      <c r="G175" s="82"/>
      <c r="H175" s="83" t="str">
        <f aca="false">_xlfn.IFNA(VLOOKUP(G175,Table14543[],2,FALSE()),"")</f>
        <v/>
      </c>
      <c r="I175" s="84" t="str">
        <f aca="false">_xlfn.IFNA(VLOOKUP(G175,Table14543[],3,FALSE()),"")</f>
        <v/>
      </c>
      <c r="J175" s="83" t="str">
        <f aca="false">CONCATENATE("",G175,""," ",H175," ",I175)</f>
        <v>  </v>
      </c>
      <c r="K175" s="85"/>
      <c r="L175" s="86"/>
      <c r="M175" s="86"/>
      <c r="N175" s="86" t="n">
        <f aca="false">L175*M175</f>
        <v>0</v>
      </c>
      <c r="O175" s="86"/>
      <c r="P175" s="87" t="n">
        <f aca="false">(M175*L175)+O175</f>
        <v>0</v>
      </c>
      <c r="Q175" s="91"/>
    </row>
    <row r="176" customFormat="false" ht="14.25" hidden="false" customHeight="false" outlineLevel="0" collapsed="false">
      <c r="A176" s="77"/>
      <c r="B176" s="78"/>
      <c r="C176" s="79"/>
      <c r="D176" s="80" t="str">
        <f aca="false">_xlfn.IFNA(VLOOKUP(C176,'بيانات الآليات '!A:G,4,FALSE()),"")</f>
        <v/>
      </c>
      <c r="E176" s="81" t="str">
        <f aca="false">_xlfn.IFNA(VLOOKUP(C176,'بيانات الآليات '!A:G,2,FALSE()),"")</f>
        <v/>
      </c>
      <c r="F176" s="81" t="str">
        <f aca="false">_xlfn.IFNA(VLOOKUP(C176,'بيانات الآليات '!A:G,5,FALSE()),"")</f>
        <v/>
      </c>
      <c r="G176" s="82"/>
      <c r="H176" s="83" t="str">
        <f aca="false">_xlfn.IFNA(VLOOKUP(G176,Table14543[],2,FALSE()),"")</f>
        <v/>
      </c>
      <c r="I176" s="84" t="str">
        <f aca="false">_xlfn.IFNA(VLOOKUP(G176,Table14543[],3,FALSE()),"")</f>
        <v/>
      </c>
      <c r="J176" s="83" t="str">
        <f aca="false">CONCATENATE("",G176,""," ",H176," ",I176)</f>
        <v>  </v>
      </c>
      <c r="K176" s="85"/>
      <c r="L176" s="86"/>
      <c r="M176" s="86"/>
      <c r="N176" s="86" t="n">
        <f aca="false">L176*M176</f>
        <v>0</v>
      </c>
      <c r="O176" s="86"/>
      <c r="P176" s="87" t="n">
        <f aca="false">(M176*L176)+O176</f>
        <v>0</v>
      </c>
      <c r="Q176" s="91"/>
    </row>
    <row r="177" customFormat="false" ht="14.25" hidden="false" customHeight="false" outlineLevel="0" collapsed="false">
      <c r="A177" s="77"/>
      <c r="B177" s="78"/>
      <c r="C177" s="79"/>
      <c r="D177" s="80" t="str">
        <f aca="false">_xlfn.IFNA(VLOOKUP(C177,'بيانات الآليات '!A:G,4,FALSE()),"")</f>
        <v/>
      </c>
      <c r="E177" s="81" t="str">
        <f aca="false">_xlfn.IFNA(VLOOKUP(C177,'بيانات الآليات '!A:G,2,FALSE()),"")</f>
        <v/>
      </c>
      <c r="F177" s="81" t="str">
        <f aca="false">_xlfn.IFNA(VLOOKUP(C177,'بيانات الآليات '!A:G,5,FALSE()),"")</f>
        <v/>
      </c>
      <c r="G177" s="82"/>
      <c r="H177" s="83" t="str">
        <f aca="false">_xlfn.IFNA(VLOOKUP(G177,Table14543[],2,FALSE()),"")</f>
        <v/>
      </c>
      <c r="I177" s="84" t="str">
        <f aca="false">_xlfn.IFNA(VLOOKUP(G177,Table14543[],3,FALSE()),"")</f>
        <v/>
      </c>
      <c r="J177" s="83" t="str">
        <f aca="false">CONCATENATE("",G177,""," ",H177," ",I177)</f>
        <v>  </v>
      </c>
      <c r="K177" s="85"/>
      <c r="L177" s="86"/>
      <c r="M177" s="86"/>
      <c r="N177" s="86" t="n">
        <f aca="false">L177*M177</f>
        <v>0</v>
      </c>
      <c r="O177" s="86"/>
      <c r="P177" s="87" t="n">
        <f aca="false">(M177*L177)+O177</f>
        <v>0</v>
      </c>
      <c r="Q177" s="91"/>
    </row>
    <row r="178" customFormat="false" ht="14.25" hidden="false" customHeight="false" outlineLevel="0" collapsed="false">
      <c r="A178" s="77"/>
      <c r="B178" s="78"/>
      <c r="C178" s="79"/>
      <c r="D178" s="80" t="str">
        <f aca="false">_xlfn.IFNA(VLOOKUP(C178,'بيانات الآليات '!A:G,4,FALSE()),"")</f>
        <v/>
      </c>
      <c r="E178" s="81" t="str">
        <f aca="false">_xlfn.IFNA(VLOOKUP(C178,'بيانات الآليات '!A:G,2,FALSE()),"")</f>
        <v/>
      </c>
      <c r="F178" s="81" t="str">
        <f aca="false">_xlfn.IFNA(VLOOKUP(C178,'بيانات الآليات '!A:G,5,FALSE()),"")</f>
        <v/>
      </c>
      <c r="G178" s="82"/>
      <c r="H178" s="83" t="str">
        <f aca="false">_xlfn.IFNA(VLOOKUP(G178,Table14543[],2,FALSE()),"")</f>
        <v/>
      </c>
      <c r="I178" s="84" t="str">
        <f aca="false">_xlfn.IFNA(VLOOKUP(G178,Table14543[],3,FALSE()),"")</f>
        <v/>
      </c>
      <c r="J178" s="83" t="str">
        <f aca="false">CONCATENATE("",G178,""," ",H178," ",I178)</f>
        <v>  </v>
      </c>
      <c r="K178" s="85"/>
      <c r="L178" s="86"/>
      <c r="M178" s="86"/>
      <c r="N178" s="86" t="n">
        <f aca="false">L178*M178</f>
        <v>0</v>
      </c>
      <c r="O178" s="86"/>
      <c r="P178" s="87" t="n">
        <f aca="false">(M178*L178)+O178</f>
        <v>0</v>
      </c>
      <c r="Q178" s="91"/>
    </row>
    <row r="179" customFormat="false" ht="14.25" hidden="false" customHeight="false" outlineLevel="0" collapsed="false">
      <c r="A179" s="77"/>
      <c r="B179" s="78"/>
      <c r="C179" s="79"/>
      <c r="D179" s="80" t="str">
        <f aca="false">_xlfn.IFNA(VLOOKUP(C179,'بيانات الآليات '!A:G,4,FALSE()),"")</f>
        <v/>
      </c>
      <c r="E179" s="81" t="str">
        <f aca="false">_xlfn.IFNA(VLOOKUP(C179,'بيانات الآليات '!A:G,2,FALSE()),"")</f>
        <v/>
      </c>
      <c r="F179" s="81" t="str">
        <f aca="false">_xlfn.IFNA(VLOOKUP(C179,'بيانات الآليات '!A:G,5,FALSE()),"")</f>
        <v/>
      </c>
      <c r="G179" s="82"/>
      <c r="H179" s="83" t="str">
        <f aca="false">_xlfn.IFNA(VLOOKUP(G179,Table14543[],2,FALSE()),"")</f>
        <v/>
      </c>
      <c r="I179" s="84" t="str">
        <f aca="false">_xlfn.IFNA(VLOOKUP(G179,Table14543[],3,FALSE()),"")</f>
        <v/>
      </c>
      <c r="J179" s="83" t="str">
        <f aca="false">CONCATENATE("",G179,""," ",H179," ",I179)</f>
        <v>  </v>
      </c>
      <c r="K179" s="85"/>
      <c r="L179" s="86"/>
      <c r="M179" s="86"/>
      <c r="N179" s="86" t="n">
        <f aca="false">L179*M179</f>
        <v>0</v>
      </c>
      <c r="O179" s="86"/>
      <c r="P179" s="87" t="n">
        <f aca="false">(M179*L179)+O179</f>
        <v>0</v>
      </c>
      <c r="Q179" s="91"/>
    </row>
    <row r="180" customFormat="false" ht="14.25" hidden="false" customHeight="false" outlineLevel="0" collapsed="false">
      <c r="A180" s="77"/>
      <c r="B180" s="78"/>
      <c r="C180" s="79"/>
      <c r="D180" s="80" t="str">
        <f aca="false">_xlfn.IFNA(VLOOKUP(C180,'بيانات الآليات '!A:G,4,FALSE()),"")</f>
        <v/>
      </c>
      <c r="E180" s="81" t="str">
        <f aca="false">_xlfn.IFNA(VLOOKUP(C180,'بيانات الآليات '!A:G,2,FALSE()),"")</f>
        <v/>
      </c>
      <c r="F180" s="81" t="str">
        <f aca="false">_xlfn.IFNA(VLOOKUP(C180,'بيانات الآليات '!A:G,5,FALSE()),"")</f>
        <v/>
      </c>
      <c r="G180" s="82"/>
      <c r="H180" s="83" t="str">
        <f aca="false">_xlfn.IFNA(VLOOKUP(G180,Table14543[],2,FALSE()),"")</f>
        <v/>
      </c>
      <c r="I180" s="84" t="str">
        <f aca="false">_xlfn.IFNA(VLOOKUP(G180,Table14543[],3,FALSE()),"")</f>
        <v/>
      </c>
      <c r="J180" s="83" t="str">
        <f aca="false">CONCATENATE("",G180,""," ",H180," ",I180)</f>
        <v>  </v>
      </c>
      <c r="K180" s="85"/>
      <c r="L180" s="86"/>
      <c r="M180" s="86"/>
      <c r="N180" s="86" t="n">
        <f aca="false">L180*M180</f>
        <v>0</v>
      </c>
      <c r="O180" s="86"/>
      <c r="P180" s="87" t="n">
        <f aca="false">(M180*L180)+O180</f>
        <v>0</v>
      </c>
      <c r="Q180" s="91"/>
    </row>
    <row r="181" customFormat="false" ht="14.25" hidden="false" customHeight="false" outlineLevel="0" collapsed="false">
      <c r="A181" s="77"/>
      <c r="B181" s="78"/>
      <c r="C181" s="79"/>
      <c r="D181" s="80" t="str">
        <f aca="false">_xlfn.IFNA(VLOOKUP(C181,'بيانات الآليات '!A:G,4,FALSE()),"")</f>
        <v/>
      </c>
      <c r="E181" s="81" t="str">
        <f aca="false">_xlfn.IFNA(VLOOKUP(C181,'بيانات الآليات '!A:G,2,FALSE()),"")</f>
        <v/>
      </c>
      <c r="F181" s="81" t="str">
        <f aca="false">_xlfn.IFNA(VLOOKUP(C181,'بيانات الآليات '!A:G,5,FALSE()),"")</f>
        <v/>
      </c>
      <c r="G181" s="82"/>
      <c r="H181" s="83" t="str">
        <f aca="false">_xlfn.IFNA(VLOOKUP(G181,Table14543[],2,FALSE()),"")</f>
        <v/>
      </c>
      <c r="I181" s="84" t="str">
        <f aca="false">_xlfn.IFNA(VLOOKUP(G181,Table14543[],3,FALSE()),"")</f>
        <v/>
      </c>
      <c r="J181" s="83" t="str">
        <f aca="false">CONCATENATE("",G181,""," ",H181," ",I181)</f>
        <v>  </v>
      </c>
      <c r="K181" s="85"/>
      <c r="L181" s="86"/>
      <c r="M181" s="86"/>
      <c r="N181" s="86" t="n">
        <f aca="false">L181*M181</f>
        <v>0</v>
      </c>
      <c r="O181" s="86"/>
      <c r="P181" s="87" t="n">
        <f aca="false">(M181*L181)+O181</f>
        <v>0</v>
      </c>
      <c r="Q181" s="91"/>
    </row>
    <row r="182" customFormat="false" ht="14.25" hidden="false" customHeight="false" outlineLevel="0" collapsed="false">
      <c r="A182" s="77"/>
      <c r="B182" s="78"/>
      <c r="C182" s="79"/>
      <c r="D182" s="80" t="str">
        <f aca="false">_xlfn.IFNA(VLOOKUP(C182,'بيانات الآليات '!A:G,4,FALSE()),"")</f>
        <v/>
      </c>
      <c r="E182" s="81" t="str">
        <f aca="false">_xlfn.IFNA(VLOOKUP(C182,'بيانات الآليات '!A:G,2,FALSE()),"")</f>
        <v/>
      </c>
      <c r="F182" s="81" t="str">
        <f aca="false">_xlfn.IFNA(VLOOKUP(C182,'بيانات الآليات '!A:G,5,FALSE()),"")</f>
        <v/>
      </c>
      <c r="G182" s="82"/>
      <c r="H182" s="83" t="str">
        <f aca="false">_xlfn.IFNA(VLOOKUP(G182,Table14543[],2,FALSE()),"")</f>
        <v/>
      </c>
      <c r="I182" s="84" t="str">
        <f aca="false">_xlfn.IFNA(VLOOKUP(G182,Table14543[],3,FALSE()),"")</f>
        <v/>
      </c>
      <c r="J182" s="83" t="str">
        <f aca="false">CONCATENATE("",G182,""," ",H182," ",I182)</f>
        <v>  </v>
      </c>
      <c r="K182" s="85"/>
      <c r="L182" s="86"/>
      <c r="M182" s="86"/>
      <c r="N182" s="86" t="n">
        <f aca="false">L182*M182</f>
        <v>0</v>
      </c>
      <c r="O182" s="86"/>
      <c r="P182" s="87" t="n">
        <f aca="false">(M182*L182)+O182</f>
        <v>0</v>
      </c>
      <c r="Q182" s="91"/>
    </row>
    <row r="183" customFormat="false" ht="14.25" hidden="false" customHeight="false" outlineLevel="0" collapsed="false">
      <c r="A183" s="77"/>
      <c r="B183" s="78"/>
      <c r="C183" s="79"/>
      <c r="D183" s="80" t="str">
        <f aca="false">_xlfn.IFNA(VLOOKUP(C183,'بيانات الآليات '!A:G,4,FALSE()),"")</f>
        <v/>
      </c>
      <c r="E183" s="81" t="str">
        <f aca="false">_xlfn.IFNA(VLOOKUP(C183,'بيانات الآليات '!A:G,2,FALSE()),"")</f>
        <v/>
      </c>
      <c r="F183" s="81" t="str">
        <f aca="false">_xlfn.IFNA(VLOOKUP(C183,'بيانات الآليات '!A:G,5,FALSE()),"")</f>
        <v/>
      </c>
      <c r="G183" s="82"/>
      <c r="H183" s="83" t="str">
        <f aca="false">_xlfn.IFNA(VLOOKUP(G183,Table14543[],2,FALSE()),"")</f>
        <v/>
      </c>
      <c r="I183" s="84" t="str">
        <f aca="false">_xlfn.IFNA(VLOOKUP(G183,Table14543[],3,FALSE()),"")</f>
        <v/>
      </c>
      <c r="J183" s="83" t="str">
        <f aca="false">CONCATENATE("",G183,""," ",H183," ",I183)</f>
        <v>  </v>
      </c>
      <c r="K183" s="85"/>
      <c r="L183" s="86"/>
      <c r="M183" s="86"/>
      <c r="N183" s="86" t="n">
        <f aca="false">L183*M183</f>
        <v>0</v>
      </c>
      <c r="O183" s="86"/>
      <c r="P183" s="87" t="n">
        <f aca="false">(M183*L183)+O183</f>
        <v>0</v>
      </c>
      <c r="Q183" s="91"/>
    </row>
    <row r="184" customFormat="false" ht="14.25" hidden="false" customHeight="false" outlineLevel="0" collapsed="false">
      <c r="A184" s="77"/>
      <c r="B184" s="78"/>
      <c r="C184" s="79"/>
      <c r="D184" s="80" t="str">
        <f aca="false">_xlfn.IFNA(VLOOKUP(C184,'بيانات الآليات '!A:G,4,FALSE()),"")</f>
        <v/>
      </c>
      <c r="E184" s="81" t="str">
        <f aca="false">_xlfn.IFNA(VLOOKUP(C184,'بيانات الآليات '!A:G,2,FALSE()),"")</f>
        <v/>
      </c>
      <c r="F184" s="81" t="str">
        <f aca="false">_xlfn.IFNA(VLOOKUP(C184,'بيانات الآليات '!A:G,5,FALSE()),"")</f>
        <v/>
      </c>
      <c r="G184" s="82"/>
      <c r="H184" s="83" t="str">
        <f aca="false">_xlfn.IFNA(VLOOKUP(G184,Table14543[],2,FALSE()),"")</f>
        <v/>
      </c>
      <c r="I184" s="84" t="str">
        <f aca="false">_xlfn.IFNA(VLOOKUP(G184,Table14543[],3,FALSE()),"")</f>
        <v/>
      </c>
      <c r="J184" s="83" t="str">
        <f aca="false">CONCATENATE("",G184,""," ",H184," ",I184)</f>
        <v>  </v>
      </c>
      <c r="K184" s="85"/>
      <c r="L184" s="86"/>
      <c r="M184" s="86"/>
      <c r="N184" s="86" t="n">
        <f aca="false">L184*M184</f>
        <v>0</v>
      </c>
      <c r="O184" s="86"/>
      <c r="P184" s="87" t="n">
        <f aca="false">(M184*L184)+O184</f>
        <v>0</v>
      </c>
      <c r="Q184" s="91"/>
    </row>
    <row r="185" customFormat="false" ht="14.25" hidden="false" customHeight="false" outlineLevel="0" collapsed="false">
      <c r="A185" s="77"/>
      <c r="B185" s="78"/>
      <c r="C185" s="79"/>
      <c r="D185" s="80" t="str">
        <f aca="false">_xlfn.IFNA(VLOOKUP(C185,'بيانات الآليات '!A:G,4,FALSE()),"")</f>
        <v/>
      </c>
      <c r="E185" s="81" t="str">
        <f aca="false">_xlfn.IFNA(VLOOKUP(C185,'بيانات الآليات '!A:G,2,FALSE()),"")</f>
        <v/>
      </c>
      <c r="F185" s="81" t="str">
        <f aca="false">_xlfn.IFNA(VLOOKUP(C185,'بيانات الآليات '!A:G,5,FALSE()),"")</f>
        <v/>
      </c>
      <c r="G185" s="82"/>
      <c r="H185" s="83" t="str">
        <f aca="false">_xlfn.IFNA(VLOOKUP(G185,Table14543[],2,FALSE()),"")</f>
        <v/>
      </c>
      <c r="I185" s="84" t="str">
        <f aca="false">_xlfn.IFNA(VLOOKUP(G185,Table14543[],3,FALSE()),"")</f>
        <v/>
      </c>
      <c r="J185" s="83" t="str">
        <f aca="false">CONCATENATE("",G185,""," ",H185," ",I185)</f>
        <v>  </v>
      </c>
      <c r="K185" s="85"/>
      <c r="L185" s="86"/>
      <c r="M185" s="86"/>
      <c r="N185" s="86" t="n">
        <f aca="false">L185*M185</f>
        <v>0</v>
      </c>
      <c r="O185" s="86"/>
      <c r="P185" s="87" t="n">
        <f aca="false">(M185*L185)+O185</f>
        <v>0</v>
      </c>
      <c r="Q185" s="91"/>
    </row>
    <row r="186" customFormat="false" ht="14.25" hidden="false" customHeight="false" outlineLevel="0" collapsed="false">
      <c r="A186" s="77"/>
      <c r="B186" s="78"/>
      <c r="C186" s="79"/>
      <c r="D186" s="80" t="str">
        <f aca="false">_xlfn.IFNA(VLOOKUP(C186,'بيانات الآليات '!A:G,4,FALSE()),"")</f>
        <v/>
      </c>
      <c r="E186" s="81" t="str">
        <f aca="false">_xlfn.IFNA(VLOOKUP(C186,'بيانات الآليات '!A:G,2,FALSE()),"")</f>
        <v/>
      </c>
      <c r="F186" s="81" t="str">
        <f aca="false">_xlfn.IFNA(VLOOKUP(C186,'بيانات الآليات '!A:G,5,FALSE()),"")</f>
        <v/>
      </c>
      <c r="G186" s="82"/>
      <c r="H186" s="83" t="str">
        <f aca="false">_xlfn.IFNA(VLOOKUP(G186,Table14543[],2,FALSE()),"")</f>
        <v/>
      </c>
      <c r="I186" s="84" t="str">
        <f aca="false">_xlfn.IFNA(VLOOKUP(G186,Table14543[],3,FALSE()),"")</f>
        <v/>
      </c>
      <c r="J186" s="83" t="str">
        <f aca="false">CONCATENATE("",G186,""," ",H186," ",I186)</f>
        <v>  </v>
      </c>
      <c r="K186" s="85"/>
      <c r="L186" s="86"/>
      <c r="M186" s="86"/>
      <c r="N186" s="86" t="n">
        <f aca="false">L186*M186</f>
        <v>0</v>
      </c>
      <c r="O186" s="86"/>
      <c r="P186" s="87" t="n">
        <f aca="false">(M186*L186)+O186</f>
        <v>0</v>
      </c>
      <c r="Q186" s="91"/>
    </row>
    <row r="187" customFormat="false" ht="14.25" hidden="false" customHeight="false" outlineLevel="0" collapsed="false">
      <c r="A187" s="77"/>
      <c r="B187" s="78"/>
      <c r="C187" s="79"/>
      <c r="D187" s="80" t="str">
        <f aca="false">_xlfn.IFNA(VLOOKUP(C187,'بيانات الآليات '!A:G,4,FALSE()),"")</f>
        <v/>
      </c>
      <c r="E187" s="81" t="str">
        <f aca="false">_xlfn.IFNA(VLOOKUP(C187,'بيانات الآليات '!A:G,2,FALSE()),"")</f>
        <v/>
      </c>
      <c r="F187" s="81" t="str">
        <f aca="false">_xlfn.IFNA(VLOOKUP(C187,'بيانات الآليات '!A:G,5,FALSE()),"")</f>
        <v/>
      </c>
      <c r="G187" s="82"/>
      <c r="H187" s="83" t="str">
        <f aca="false">_xlfn.IFNA(VLOOKUP(G187,Table14543[],2,FALSE()),"")</f>
        <v/>
      </c>
      <c r="I187" s="84" t="str">
        <f aca="false">_xlfn.IFNA(VLOOKUP(G187,Table14543[],3,FALSE()),"")</f>
        <v/>
      </c>
      <c r="J187" s="83" t="str">
        <f aca="false">CONCATENATE("",G187,""," ",H187," ",I187)</f>
        <v>  </v>
      </c>
      <c r="K187" s="85"/>
      <c r="L187" s="86"/>
      <c r="M187" s="86"/>
      <c r="N187" s="86" t="n">
        <f aca="false">L187*M187</f>
        <v>0</v>
      </c>
      <c r="O187" s="86"/>
      <c r="P187" s="87" t="n">
        <f aca="false">(M187*L187)+O187</f>
        <v>0</v>
      </c>
      <c r="Q187" s="91"/>
    </row>
    <row r="188" customFormat="false" ht="14.25" hidden="false" customHeight="false" outlineLevel="0" collapsed="false">
      <c r="A188" s="77"/>
      <c r="B188" s="78"/>
      <c r="C188" s="79"/>
      <c r="D188" s="80" t="str">
        <f aca="false">_xlfn.IFNA(VLOOKUP(C188,'بيانات الآليات '!A:G,4,FALSE()),"")</f>
        <v/>
      </c>
      <c r="E188" s="81" t="str">
        <f aca="false">_xlfn.IFNA(VLOOKUP(C188,'بيانات الآليات '!A:G,2,FALSE()),"")</f>
        <v/>
      </c>
      <c r="F188" s="81" t="str">
        <f aca="false">_xlfn.IFNA(VLOOKUP(C188,'بيانات الآليات '!A:G,5,FALSE()),"")</f>
        <v/>
      </c>
      <c r="G188" s="82"/>
      <c r="H188" s="83" t="str">
        <f aca="false">_xlfn.IFNA(VLOOKUP(G188,Table14543[],2,FALSE()),"")</f>
        <v/>
      </c>
      <c r="I188" s="84" t="str">
        <f aca="false">_xlfn.IFNA(VLOOKUP(G188,Table14543[],3,FALSE()),"")</f>
        <v/>
      </c>
      <c r="J188" s="83" t="str">
        <f aca="false">CONCATENATE("",G188,""," ",H188," ",I188)</f>
        <v>  </v>
      </c>
      <c r="K188" s="85"/>
      <c r="L188" s="86"/>
      <c r="M188" s="86"/>
      <c r="N188" s="86" t="n">
        <f aca="false">L188*M188</f>
        <v>0</v>
      </c>
      <c r="O188" s="86"/>
      <c r="P188" s="87" t="n">
        <f aca="false">(M188*L188)+O188</f>
        <v>0</v>
      </c>
      <c r="Q188" s="91"/>
    </row>
    <row r="189" customFormat="false" ht="14.25" hidden="false" customHeight="false" outlineLevel="0" collapsed="false">
      <c r="A189" s="77"/>
      <c r="B189" s="78"/>
      <c r="C189" s="79"/>
      <c r="D189" s="80" t="str">
        <f aca="false">_xlfn.IFNA(VLOOKUP(C189,'بيانات الآليات '!A:G,4,FALSE()),"")</f>
        <v/>
      </c>
      <c r="E189" s="81" t="str">
        <f aca="false">_xlfn.IFNA(VLOOKUP(C189,'بيانات الآليات '!A:G,2,FALSE()),"")</f>
        <v/>
      </c>
      <c r="F189" s="81" t="str">
        <f aca="false">_xlfn.IFNA(VLOOKUP(C189,'بيانات الآليات '!A:G,5,FALSE()),"")</f>
        <v/>
      </c>
      <c r="G189" s="82"/>
      <c r="H189" s="83" t="str">
        <f aca="false">_xlfn.IFNA(VLOOKUP(G189,Table14543[],2,FALSE()),"")</f>
        <v/>
      </c>
      <c r="I189" s="84" t="str">
        <f aca="false">_xlfn.IFNA(VLOOKUP(G189,Table14543[],3,FALSE()),"")</f>
        <v/>
      </c>
      <c r="J189" s="83" t="str">
        <f aca="false">CONCATENATE("",G189,""," ",H189," ",I189)</f>
        <v>  </v>
      </c>
      <c r="K189" s="85"/>
      <c r="L189" s="86"/>
      <c r="M189" s="86"/>
      <c r="N189" s="86" t="n">
        <f aca="false">L189*M189</f>
        <v>0</v>
      </c>
      <c r="O189" s="86"/>
      <c r="P189" s="87" t="n">
        <f aca="false">(M189*L189)+O189</f>
        <v>0</v>
      </c>
      <c r="Q189" s="91"/>
    </row>
    <row r="190" customFormat="false" ht="14.25" hidden="false" customHeight="false" outlineLevel="0" collapsed="false">
      <c r="A190" s="77"/>
      <c r="B190" s="78"/>
      <c r="C190" s="79"/>
      <c r="D190" s="80" t="str">
        <f aca="false">_xlfn.IFNA(VLOOKUP(C190,'بيانات الآليات '!A:G,4,FALSE()),"")</f>
        <v/>
      </c>
      <c r="E190" s="81" t="str">
        <f aca="false">_xlfn.IFNA(VLOOKUP(C190,'بيانات الآليات '!A:G,2,FALSE()),"")</f>
        <v/>
      </c>
      <c r="F190" s="81" t="str">
        <f aca="false">_xlfn.IFNA(VLOOKUP(C190,'بيانات الآليات '!A:G,5,FALSE()),"")</f>
        <v/>
      </c>
      <c r="G190" s="82"/>
      <c r="H190" s="83" t="str">
        <f aca="false">_xlfn.IFNA(VLOOKUP(G190,Table14543[],2,FALSE()),"")</f>
        <v/>
      </c>
      <c r="I190" s="84" t="str">
        <f aca="false">_xlfn.IFNA(VLOOKUP(G190,Table14543[],3,FALSE()),"")</f>
        <v/>
      </c>
      <c r="J190" s="83" t="str">
        <f aca="false">CONCATENATE("",G190,""," ",H190," ",I190)</f>
        <v>  </v>
      </c>
      <c r="K190" s="85"/>
      <c r="L190" s="86"/>
      <c r="M190" s="86"/>
      <c r="N190" s="86" t="n">
        <f aca="false">L190*M190</f>
        <v>0</v>
      </c>
      <c r="O190" s="86"/>
      <c r="P190" s="87" t="n">
        <f aca="false">(M190*L190)+O190</f>
        <v>0</v>
      </c>
      <c r="Q190" s="91"/>
    </row>
    <row r="191" customFormat="false" ht="14.25" hidden="false" customHeight="false" outlineLevel="0" collapsed="false">
      <c r="A191" s="77"/>
      <c r="B191" s="78"/>
      <c r="C191" s="79"/>
      <c r="D191" s="80" t="str">
        <f aca="false">_xlfn.IFNA(VLOOKUP(C191,'بيانات الآليات '!A:G,4,FALSE()),"")</f>
        <v/>
      </c>
      <c r="E191" s="81" t="str">
        <f aca="false">_xlfn.IFNA(VLOOKUP(C191,'بيانات الآليات '!A:G,2,FALSE()),"")</f>
        <v/>
      </c>
      <c r="F191" s="81" t="str">
        <f aca="false">_xlfn.IFNA(VLOOKUP(C191,'بيانات الآليات '!A:G,5,FALSE()),"")</f>
        <v/>
      </c>
      <c r="G191" s="82"/>
      <c r="H191" s="83" t="str">
        <f aca="false">_xlfn.IFNA(VLOOKUP(G191,Table14543[],2,FALSE()),"")</f>
        <v/>
      </c>
      <c r="I191" s="84" t="str">
        <f aca="false">_xlfn.IFNA(VLOOKUP(G191,Table14543[],3,FALSE()),"")</f>
        <v/>
      </c>
      <c r="J191" s="83" t="str">
        <f aca="false">CONCATENATE("",G191,""," ",H191," ",I191)</f>
        <v>  </v>
      </c>
      <c r="K191" s="85"/>
      <c r="L191" s="86"/>
      <c r="M191" s="86"/>
      <c r="N191" s="86" t="n">
        <f aca="false">L191*M191</f>
        <v>0</v>
      </c>
      <c r="O191" s="86"/>
      <c r="P191" s="87" t="n">
        <f aca="false">(M191*L191)+O191</f>
        <v>0</v>
      </c>
      <c r="Q191" s="91"/>
    </row>
    <row r="192" customFormat="false" ht="14.25" hidden="false" customHeight="false" outlineLevel="0" collapsed="false">
      <c r="A192" s="77"/>
      <c r="B192" s="78"/>
      <c r="C192" s="79"/>
      <c r="D192" s="80" t="str">
        <f aca="false">_xlfn.IFNA(VLOOKUP(C192,'بيانات الآليات '!A:G,4,FALSE()),"")</f>
        <v/>
      </c>
      <c r="E192" s="81" t="str">
        <f aca="false">_xlfn.IFNA(VLOOKUP(C192,'بيانات الآليات '!A:G,2,FALSE()),"")</f>
        <v/>
      </c>
      <c r="F192" s="81" t="str">
        <f aca="false">_xlfn.IFNA(VLOOKUP(C192,'بيانات الآليات '!A:G,5,FALSE()),"")</f>
        <v/>
      </c>
      <c r="G192" s="82"/>
      <c r="H192" s="83" t="str">
        <f aca="false">_xlfn.IFNA(VLOOKUP(G192,Table14543[],2,FALSE()),"")</f>
        <v/>
      </c>
      <c r="I192" s="84" t="str">
        <f aca="false">_xlfn.IFNA(VLOOKUP(G192,Table14543[],3,FALSE()),"")</f>
        <v/>
      </c>
      <c r="J192" s="83" t="str">
        <f aca="false">CONCATENATE("",G192,""," ",H192," ",I192)</f>
        <v>  </v>
      </c>
      <c r="K192" s="85"/>
      <c r="L192" s="86"/>
      <c r="M192" s="86"/>
      <c r="N192" s="86" t="n">
        <f aca="false">L192*M192</f>
        <v>0</v>
      </c>
      <c r="O192" s="86"/>
      <c r="P192" s="87" t="n">
        <f aca="false">(M192*L192)+O192</f>
        <v>0</v>
      </c>
      <c r="Q192" s="91"/>
    </row>
    <row r="193" customFormat="false" ht="14.25" hidden="false" customHeight="false" outlineLevel="0" collapsed="false">
      <c r="A193" s="77"/>
      <c r="B193" s="78"/>
      <c r="C193" s="79"/>
      <c r="D193" s="80" t="str">
        <f aca="false">_xlfn.IFNA(VLOOKUP(C193,'بيانات الآليات '!A:G,4,FALSE()),"")</f>
        <v/>
      </c>
      <c r="E193" s="81" t="str">
        <f aca="false">_xlfn.IFNA(VLOOKUP(C193,'بيانات الآليات '!A:G,2,FALSE()),"")</f>
        <v/>
      </c>
      <c r="F193" s="81" t="str">
        <f aca="false">_xlfn.IFNA(VLOOKUP(C193,'بيانات الآليات '!A:G,5,FALSE()),"")</f>
        <v/>
      </c>
      <c r="G193" s="82"/>
      <c r="H193" s="83" t="str">
        <f aca="false">_xlfn.IFNA(VLOOKUP(G193,Table14543[],2,FALSE()),"")</f>
        <v/>
      </c>
      <c r="I193" s="84" t="str">
        <f aca="false">_xlfn.IFNA(VLOOKUP(G193,Table14543[],3,FALSE()),"")</f>
        <v/>
      </c>
      <c r="J193" s="83" t="str">
        <f aca="false">CONCATENATE("",G193,""," ",H193," ",I193)</f>
        <v>  </v>
      </c>
      <c r="K193" s="85"/>
      <c r="L193" s="86"/>
      <c r="M193" s="86"/>
      <c r="N193" s="86" t="n">
        <f aca="false">L193*M193</f>
        <v>0</v>
      </c>
      <c r="O193" s="86"/>
      <c r="P193" s="87" t="n">
        <f aca="false">(M193*L193)+O193</f>
        <v>0</v>
      </c>
      <c r="Q193" s="91"/>
    </row>
    <row r="194" customFormat="false" ht="14.25" hidden="false" customHeight="false" outlineLevel="0" collapsed="false">
      <c r="A194" s="77"/>
      <c r="B194" s="78"/>
      <c r="C194" s="79"/>
      <c r="D194" s="80" t="str">
        <f aca="false">_xlfn.IFNA(VLOOKUP(C194,'بيانات الآليات '!A:G,4,FALSE()),"")</f>
        <v/>
      </c>
      <c r="E194" s="81" t="str">
        <f aca="false">_xlfn.IFNA(VLOOKUP(C194,'بيانات الآليات '!A:G,2,FALSE()),"")</f>
        <v/>
      </c>
      <c r="F194" s="81" t="str">
        <f aca="false">_xlfn.IFNA(VLOOKUP(C194,'بيانات الآليات '!A:G,5,FALSE()),"")</f>
        <v/>
      </c>
      <c r="G194" s="82"/>
      <c r="H194" s="83" t="str">
        <f aca="false">_xlfn.IFNA(VLOOKUP(G194,Table14543[],2,FALSE()),"")</f>
        <v/>
      </c>
      <c r="I194" s="84" t="str">
        <f aca="false">_xlfn.IFNA(VLOOKUP(G194,Table14543[],3,FALSE()),"")</f>
        <v/>
      </c>
      <c r="J194" s="83" t="str">
        <f aca="false">CONCATENATE("",G194,""," ",H194," ",I194)</f>
        <v>  </v>
      </c>
      <c r="K194" s="85"/>
      <c r="L194" s="86"/>
      <c r="M194" s="86"/>
      <c r="N194" s="86" t="n">
        <f aca="false">L194*M194</f>
        <v>0</v>
      </c>
      <c r="O194" s="86"/>
      <c r="P194" s="87" t="n">
        <f aca="false">(M194*L194)+O194</f>
        <v>0</v>
      </c>
      <c r="Q194" s="91"/>
    </row>
    <row r="195" customFormat="false" ht="14.25" hidden="false" customHeight="false" outlineLevel="0" collapsed="false">
      <c r="A195" s="77"/>
      <c r="B195" s="78"/>
      <c r="C195" s="79"/>
      <c r="D195" s="80" t="str">
        <f aca="false">_xlfn.IFNA(VLOOKUP(C195,'بيانات الآليات '!A:G,4,FALSE()),"")</f>
        <v/>
      </c>
      <c r="E195" s="81" t="str">
        <f aca="false">_xlfn.IFNA(VLOOKUP(C195,'بيانات الآليات '!A:G,2,FALSE()),"")</f>
        <v/>
      </c>
      <c r="F195" s="81" t="str">
        <f aca="false">_xlfn.IFNA(VLOOKUP(C195,'بيانات الآليات '!A:G,5,FALSE()),"")</f>
        <v/>
      </c>
      <c r="G195" s="82"/>
      <c r="H195" s="83" t="str">
        <f aca="false">_xlfn.IFNA(VLOOKUP(G195,Table14543[],2,FALSE()),"")</f>
        <v/>
      </c>
      <c r="I195" s="84" t="str">
        <f aca="false">_xlfn.IFNA(VLOOKUP(G195,Table14543[],3,FALSE()),"")</f>
        <v/>
      </c>
      <c r="J195" s="83" t="str">
        <f aca="false">CONCATENATE("",G195,""," ",H195," ",I195)</f>
        <v>  </v>
      </c>
      <c r="K195" s="85"/>
      <c r="L195" s="86"/>
      <c r="M195" s="86"/>
      <c r="N195" s="86" t="n">
        <f aca="false">L195*M195</f>
        <v>0</v>
      </c>
      <c r="O195" s="86"/>
      <c r="P195" s="87" t="n">
        <f aca="false">(M195*L195)+O195</f>
        <v>0</v>
      </c>
      <c r="Q195" s="91"/>
    </row>
    <row r="196" customFormat="false" ht="14.25" hidden="false" customHeight="false" outlineLevel="0" collapsed="false">
      <c r="A196" s="77"/>
      <c r="B196" s="78"/>
      <c r="C196" s="79"/>
      <c r="D196" s="80" t="str">
        <f aca="false">_xlfn.IFNA(VLOOKUP(C196,'بيانات الآليات '!A:G,4,FALSE()),"")</f>
        <v/>
      </c>
      <c r="E196" s="81" t="str">
        <f aca="false">_xlfn.IFNA(VLOOKUP(C196,'بيانات الآليات '!A:G,2,FALSE()),"")</f>
        <v/>
      </c>
      <c r="F196" s="81" t="str">
        <f aca="false">_xlfn.IFNA(VLOOKUP(C196,'بيانات الآليات '!A:G,5,FALSE()),"")</f>
        <v/>
      </c>
      <c r="G196" s="82"/>
      <c r="H196" s="83" t="str">
        <f aca="false">_xlfn.IFNA(VLOOKUP(G196,Table14543[],2,FALSE()),"")</f>
        <v/>
      </c>
      <c r="I196" s="84" t="str">
        <f aca="false">_xlfn.IFNA(VLOOKUP(G196,Table14543[],3,FALSE()),"")</f>
        <v/>
      </c>
      <c r="J196" s="83" t="str">
        <f aca="false">CONCATENATE("",G196,""," ",H196," ",I196)</f>
        <v>  </v>
      </c>
      <c r="K196" s="85"/>
      <c r="L196" s="86"/>
      <c r="M196" s="86"/>
      <c r="N196" s="86" t="n">
        <f aca="false">L196*M196</f>
        <v>0</v>
      </c>
      <c r="O196" s="86"/>
      <c r="P196" s="87" t="n">
        <f aca="false">(M196*L196)+O196</f>
        <v>0</v>
      </c>
      <c r="Q196" s="91"/>
    </row>
    <row r="197" customFormat="false" ht="14.25" hidden="false" customHeight="false" outlineLevel="0" collapsed="false">
      <c r="A197" s="77"/>
      <c r="B197" s="78"/>
      <c r="C197" s="79"/>
      <c r="D197" s="80" t="str">
        <f aca="false">_xlfn.IFNA(VLOOKUP(C197,'بيانات الآليات '!A:G,4,FALSE()),"")</f>
        <v/>
      </c>
      <c r="E197" s="81" t="str">
        <f aca="false">_xlfn.IFNA(VLOOKUP(C197,'بيانات الآليات '!A:G,2,FALSE()),"")</f>
        <v/>
      </c>
      <c r="F197" s="81" t="str">
        <f aca="false">_xlfn.IFNA(VLOOKUP(C197,'بيانات الآليات '!A:G,5,FALSE()),"")</f>
        <v/>
      </c>
      <c r="G197" s="82"/>
      <c r="H197" s="83" t="str">
        <f aca="false">_xlfn.IFNA(VLOOKUP(G197,Table14543[],2,FALSE()),"")</f>
        <v/>
      </c>
      <c r="I197" s="84" t="str">
        <f aca="false">_xlfn.IFNA(VLOOKUP(G197,Table14543[],3,FALSE()),"")</f>
        <v/>
      </c>
      <c r="J197" s="83" t="str">
        <f aca="false">CONCATENATE("",G197,""," ",H197," ",I197)</f>
        <v>  </v>
      </c>
      <c r="K197" s="85"/>
      <c r="L197" s="86"/>
      <c r="M197" s="86"/>
      <c r="N197" s="86" t="n">
        <f aca="false">L197*M197</f>
        <v>0</v>
      </c>
      <c r="O197" s="86"/>
      <c r="P197" s="87" t="n">
        <f aca="false">(M197*L197)+O197</f>
        <v>0</v>
      </c>
      <c r="Q197" s="91"/>
    </row>
    <row r="198" customFormat="false" ht="14.25" hidden="false" customHeight="false" outlineLevel="0" collapsed="false">
      <c r="A198" s="77"/>
      <c r="B198" s="78"/>
      <c r="C198" s="79"/>
      <c r="D198" s="80" t="str">
        <f aca="false">_xlfn.IFNA(VLOOKUP(C198,'بيانات الآليات '!A:G,4,FALSE()),"")</f>
        <v/>
      </c>
      <c r="E198" s="81" t="str">
        <f aca="false">_xlfn.IFNA(VLOOKUP(C198,'بيانات الآليات '!A:G,2,FALSE()),"")</f>
        <v/>
      </c>
      <c r="F198" s="81" t="str">
        <f aca="false">_xlfn.IFNA(VLOOKUP(C198,'بيانات الآليات '!A:G,5,FALSE()),"")</f>
        <v/>
      </c>
      <c r="G198" s="82"/>
      <c r="H198" s="83" t="str">
        <f aca="false">_xlfn.IFNA(VLOOKUP(G198,Table14543[],2,FALSE()),"")</f>
        <v/>
      </c>
      <c r="I198" s="84" t="str">
        <f aca="false">_xlfn.IFNA(VLOOKUP(G198,Table14543[],3,FALSE()),"")</f>
        <v/>
      </c>
      <c r="J198" s="83" t="str">
        <f aca="false">CONCATENATE("",G198,""," ",H198," ",I198)</f>
        <v>  </v>
      </c>
      <c r="K198" s="85"/>
      <c r="L198" s="86"/>
      <c r="M198" s="86"/>
      <c r="N198" s="86" t="n">
        <f aca="false">L198*M198</f>
        <v>0</v>
      </c>
      <c r="O198" s="86"/>
      <c r="P198" s="87" t="n">
        <f aca="false">(M198*L198)+O198</f>
        <v>0</v>
      </c>
      <c r="Q198" s="91"/>
    </row>
    <row r="199" customFormat="false" ht="14.25" hidden="false" customHeight="false" outlineLevel="0" collapsed="false">
      <c r="A199" s="77"/>
      <c r="B199" s="78"/>
      <c r="C199" s="79"/>
      <c r="D199" s="80" t="str">
        <f aca="false">_xlfn.IFNA(VLOOKUP(C199,'بيانات الآليات '!A:G,4,FALSE()),"")</f>
        <v/>
      </c>
      <c r="E199" s="81" t="str">
        <f aca="false">_xlfn.IFNA(VLOOKUP(C199,'بيانات الآليات '!A:G,2,FALSE()),"")</f>
        <v/>
      </c>
      <c r="F199" s="81" t="str">
        <f aca="false">_xlfn.IFNA(VLOOKUP(C199,'بيانات الآليات '!A:G,5,FALSE()),"")</f>
        <v/>
      </c>
      <c r="G199" s="82"/>
      <c r="H199" s="83" t="str">
        <f aca="false">_xlfn.IFNA(VLOOKUP(G199,Table14543[],2,FALSE()),"")</f>
        <v/>
      </c>
      <c r="I199" s="84" t="str">
        <f aca="false">_xlfn.IFNA(VLOOKUP(G199,Table14543[],3,FALSE()),"")</f>
        <v/>
      </c>
      <c r="J199" s="83" t="str">
        <f aca="false">CONCATENATE("",G199,""," ",H199," ",I199)</f>
        <v>  </v>
      </c>
      <c r="K199" s="85"/>
      <c r="L199" s="86"/>
      <c r="M199" s="86"/>
      <c r="N199" s="86" t="n">
        <f aca="false">L199*M199</f>
        <v>0</v>
      </c>
      <c r="O199" s="86"/>
      <c r="P199" s="87" t="n">
        <f aca="false">(M199*L199)+O199</f>
        <v>0</v>
      </c>
      <c r="Q199" s="91"/>
    </row>
    <row r="200" customFormat="false" ht="14.25" hidden="false" customHeight="false" outlineLevel="0" collapsed="false">
      <c r="A200" s="77"/>
      <c r="B200" s="78"/>
      <c r="C200" s="79"/>
      <c r="D200" s="80" t="str">
        <f aca="false">_xlfn.IFNA(VLOOKUP(C200,'بيانات الآليات '!A:G,4,FALSE()),"")</f>
        <v/>
      </c>
      <c r="E200" s="81" t="str">
        <f aca="false">_xlfn.IFNA(VLOOKUP(C200,'بيانات الآليات '!A:G,2,FALSE()),"")</f>
        <v/>
      </c>
      <c r="F200" s="81" t="str">
        <f aca="false">_xlfn.IFNA(VLOOKUP(C200,'بيانات الآليات '!A:G,5,FALSE()),"")</f>
        <v/>
      </c>
      <c r="G200" s="82"/>
      <c r="H200" s="83" t="str">
        <f aca="false">_xlfn.IFNA(VLOOKUP(G200,Table14543[],2,FALSE()),"")</f>
        <v/>
      </c>
      <c r="I200" s="84" t="str">
        <f aca="false">_xlfn.IFNA(VLOOKUP(G200,Table14543[],3,FALSE()),"")</f>
        <v/>
      </c>
      <c r="J200" s="83" t="str">
        <f aca="false">CONCATENATE("",G200,""," ",H200," ",I200)</f>
        <v>  </v>
      </c>
      <c r="K200" s="85"/>
      <c r="L200" s="86"/>
      <c r="M200" s="86"/>
      <c r="N200" s="86" t="n">
        <f aca="false">L200*M200</f>
        <v>0</v>
      </c>
      <c r="O200" s="86"/>
      <c r="P200" s="87" t="n">
        <f aca="false">(M200*L200)+O200</f>
        <v>0</v>
      </c>
      <c r="Q200" s="91"/>
    </row>
    <row r="201" customFormat="false" ht="14.25" hidden="false" customHeight="false" outlineLevel="0" collapsed="false">
      <c r="A201" s="77"/>
      <c r="B201" s="78"/>
      <c r="C201" s="79"/>
      <c r="D201" s="80" t="str">
        <f aca="false">_xlfn.IFNA(VLOOKUP(C201,'بيانات الآليات '!A:G,4,FALSE()),"")</f>
        <v/>
      </c>
      <c r="E201" s="81" t="str">
        <f aca="false">_xlfn.IFNA(VLOOKUP(C201,'بيانات الآليات '!A:G,2,FALSE()),"")</f>
        <v/>
      </c>
      <c r="F201" s="81" t="str">
        <f aca="false">_xlfn.IFNA(VLOOKUP(C201,'بيانات الآليات '!A:G,5,FALSE()),"")</f>
        <v/>
      </c>
      <c r="G201" s="82"/>
      <c r="H201" s="83" t="str">
        <f aca="false">_xlfn.IFNA(VLOOKUP(G201,Table14543[],2,FALSE()),"")</f>
        <v/>
      </c>
      <c r="I201" s="84" t="str">
        <f aca="false">_xlfn.IFNA(VLOOKUP(G201,Table14543[],3,FALSE()),"")</f>
        <v/>
      </c>
      <c r="J201" s="83" t="str">
        <f aca="false">CONCATENATE("",G201,""," ",H201," ",I201)</f>
        <v>  </v>
      </c>
      <c r="K201" s="85"/>
      <c r="L201" s="86"/>
      <c r="M201" s="86"/>
      <c r="N201" s="86" t="n">
        <f aca="false">L201*M201</f>
        <v>0</v>
      </c>
      <c r="O201" s="86"/>
      <c r="P201" s="87" t="n">
        <f aca="false">(M201*L201)+O201</f>
        <v>0</v>
      </c>
      <c r="Q201" s="91"/>
    </row>
    <row r="202" customFormat="false" ht="14.25" hidden="false" customHeight="false" outlineLevel="0" collapsed="false">
      <c r="A202" s="77"/>
      <c r="B202" s="78"/>
      <c r="C202" s="79"/>
      <c r="D202" s="80" t="str">
        <f aca="false">_xlfn.IFNA(VLOOKUP(C202,'بيانات الآليات '!A:G,4,FALSE()),"")</f>
        <v/>
      </c>
      <c r="E202" s="81" t="str">
        <f aca="false">_xlfn.IFNA(VLOOKUP(C202,'بيانات الآليات '!A:G,2,FALSE()),"")</f>
        <v/>
      </c>
      <c r="F202" s="81" t="str">
        <f aca="false">_xlfn.IFNA(VLOOKUP(C202,'بيانات الآليات '!A:G,5,FALSE()),"")</f>
        <v/>
      </c>
      <c r="G202" s="82"/>
      <c r="H202" s="83" t="str">
        <f aca="false">_xlfn.IFNA(VLOOKUP(G202,Table14543[],2,FALSE()),"")</f>
        <v/>
      </c>
      <c r="I202" s="84" t="str">
        <f aca="false">_xlfn.IFNA(VLOOKUP(G202,Table14543[],3,FALSE()),"")</f>
        <v/>
      </c>
      <c r="J202" s="83" t="str">
        <f aca="false">CONCATENATE("",G202,""," ",H202," ",I202)</f>
        <v>  </v>
      </c>
      <c r="K202" s="85"/>
      <c r="L202" s="86"/>
      <c r="M202" s="86"/>
      <c r="N202" s="86" t="n">
        <f aca="false">L202*M202</f>
        <v>0</v>
      </c>
      <c r="O202" s="86"/>
      <c r="P202" s="87" t="n">
        <f aca="false">(M202*L202)+O202</f>
        <v>0</v>
      </c>
      <c r="Q202" s="91"/>
    </row>
    <row r="203" customFormat="false" ht="14.25" hidden="false" customHeight="false" outlineLevel="0" collapsed="false">
      <c r="A203" s="77"/>
      <c r="B203" s="78"/>
      <c r="C203" s="79"/>
      <c r="D203" s="80" t="str">
        <f aca="false">_xlfn.IFNA(VLOOKUP(C203,'بيانات الآليات '!A:G,4,FALSE()),"")</f>
        <v/>
      </c>
      <c r="E203" s="81" t="str">
        <f aca="false">_xlfn.IFNA(VLOOKUP(C203,'بيانات الآليات '!A:G,2,FALSE()),"")</f>
        <v/>
      </c>
      <c r="F203" s="81" t="str">
        <f aca="false">_xlfn.IFNA(VLOOKUP(C203,'بيانات الآليات '!A:G,5,FALSE()),"")</f>
        <v/>
      </c>
      <c r="G203" s="82"/>
      <c r="H203" s="83" t="str">
        <f aca="false">_xlfn.IFNA(VLOOKUP(G203,Table14543[],2,FALSE()),"")</f>
        <v/>
      </c>
      <c r="I203" s="84" t="str">
        <f aca="false">_xlfn.IFNA(VLOOKUP(G203,Table14543[],3,FALSE()),"")</f>
        <v/>
      </c>
      <c r="J203" s="83" t="str">
        <f aca="false">CONCATENATE("",G203,""," ",H203," ",I203)</f>
        <v>  </v>
      </c>
      <c r="K203" s="85"/>
      <c r="L203" s="86"/>
      <c r="M203" s="86"/>
      <c r="N203" s="86" t="n">
        <f aca="false">L203*M203</f>
        <v>0</v>
      </c>
      <c r="O203" s="86"/>
      <c r="P203" s="87" t="n">
        <f aca="false">(M203*L203)+O203</f>
        <v>0</v>
      </c>
      <c r="Q203" s="91"/>
    </row>
    <row r="204" customFormat="false" ht="14.25" hidden="false" customHeight="false" outlineLevel="0" collapsed="false">
      <c r="A204" s="77"/>
      <c r="B204" s="78"/>
      <c r="C204" s="79"/>
      <c r="D204" s="80" t="str">
        <f aca="false">_xlfn.IFNA(VLOOKUP(C204,'بيانات الآليات '!A:G,4,FALSE()),"")</f>
        <v/>
      </c>
      <c r="E204" s="81" t="str">
        <f aca="false">_xlfn.IFNA(VLOOKUP(C204,'بيانات الآليات '!A:G,2,FALSE()),"")</f>
        <v/>
      </c>
      <c r="F204" s="81" t="str">
        <f aca="false">_xlfn.IFNA(VLOOKUP(C204,'بيانات الآليات '!A:G,5,FALSE()),"")</f>
        <v/>
      </c>
      <c r="G204" s="82"/>
      <c r="H204" s="83" t="str">
        <f aca="false">_xlfn.IFNA(VLOOKUP(G204,Table14543[],2,FALSE()),"")</f>
        <v/>
      </c>
      <c r="I204" s="84" t="str">
        <f aca="false">_xlfn.IFNA(VLOOKUP(G204,Table14543[],3,FALSE()),"")</f>
        <v/>
      </c>
      <c r="J204" s="83" t="str">
        <f aca="false">CONCATENATE("",G204,""," ",H204," ",I204)</f>
        <v>  </v>
      </c>
      <c r="K204" s="85"/>
      <c r="L204" s="86"/>
      <c r="M204" s="86"/>
      <c r="N204" s="86" t="n">
        <f aca="false">L204*M204</f>
        <v>0</v>
      </c>
      <c r="O204" s="86"/>
      <c r="P204" s="87" t="n">
        <f aca="false">(M204*L204)+O204</f>
        <v>0</v>
      </c>
      <c r="Q204" s="91"/>
    </row>
    <row r="205" customFormat="false" ht="14.25" hidden="false" customHeight="false" outlineLevel="0" collapsed="false">
      <c r="A205" s="77"/>
      <c r="B205" s="78"/>
      <c r="C205" s="79"/>
      <c r="D205" s="80" t="str">
        <f aca="false">_xlfn.IFNA(VLOOKUP(C205,'بيانات الآليات '!A:G,4,FALSE()),"")</f>
        <v/>
      </c>
      <c r="E205" s="81" t="str">
        <f aca="false">_xlfn.IFNA(VLOOKUP(C205,'بيانات الآليات '!A:G,2,FALSE()),"")</f>
        <v/>
      </c>
      <c r="F205" s="81" t="str">
        <f aca="false">_xlfn.IFNA(VLOOKUP(C205,'بيانات الآليات '!A:G,5,FALSE()),"")</f>
        <v/>
      </c>
      <c r="G205" s="82"/>
      <c r="H205" s="83" t="str">
        <f aca="false">_xlfn.IFNA(VLOOKUP(G205,Table14543[],2,FALSE()),"")</f>
        <v/>
      </c>
      <c r="I205" s="84" t="str">
        <f aca="false">_xlfn.IFNA(VLOOKUP(G205,Table14543[],3,FALSE()),"")</f>
        <v/>
      </c>
      <c r="J205" s="83" t="str">
        <f aca="false">CONCATENATE("",G205,""," ",H205," ",I205)</f>
        <v>  </v>
      </c>
      <c r="K205" s="85"/>
      <c r="L205" s="86"/>
      <c r="M205" s="86"/>
      <c r="N205" s="86" t="n">
        <f aca="false">L205*M205</f>
        <v>0</v>
      </c>
      <c r="O205" s="86"/>
      <c r="P205" s="87" t="n">
        <f aca="false">(M205*L205)+O205</f>
        <v>0</v>
      </c>
      <c r="Q205" s="91"/>
    </row>
    <row r="206" customFormat="false" ht="14.25" hidden="false" customHeight="false" outlineLevel="0" collapsed="false">
      <c r="A206" s="77"/>
      <c r="B206" s="78"/>
      <c r="C206" s="79"/>
      <c r="D206" s="80" t="str">
        <f aca="false">_xlfn.IFNA(VLOOKUP(C206,'بيانات الآليات '!A:G,4,FALSE()),"")</f>
        <v/>
      </c>
      <c r="E206" s="81" t="str">
        <f aca="false">_xlfn.IFNA(VLOOKUP(C206,'بيانات الآليات '!A:G,2,FALSE()),"")</f>
        <v/>
      </c>
      <c r="F206" s="81" t="str">
        <f aca="false">_xlfn.IFNA(VLOOKUP(C206,'بيانات الآليات '!A:G,5,FALSE()),"")</f>
        <v/>
      </c>
      <c r="G206" s="82"/>
      <c r="H206" s="83" t="str">
        <f aca="false">_xlfn.IFNA(VLOOKUP(G206,Table14543[],2,FALSE()),"")</f>
        <v/>
      </c>
      <c r="I206" s="84" t="str">
        <f aca="false">_xlfn.IFNA(VLOOKUP(G206,Table14543[],3,FALSE()),"")</f>
        <v/>
      </c>
      <c r="J206" s="83" t="str">
        <f aca="false">CONCATENATE("",G206,""," ",H206," ",I206)</f>
        <v>  </v>
      </c>
      <c r="K206" s="85"/>
      <c r="L206" s="86"/>
      <c r="M206" s="86"/>
      <c r="N206" s="86" t="n">
        <f aca="false">L206*M206</f>
        <v>0</v>
      </c>
      <c r="O206" s="86"/>
      <c r="P206" s="87" t="n">
        <f aca="false">(M206*L206)+O206</f>
        <v>0</v>
      </c>
      <c r="Q206" s="91"/>
    </row>
    <row r="207" customFormat="false" ht="14.25" hidden="false" customHeight="false" outlineLevel="0" collapsed="false">
      <c r="A207" s="77"/>
      <c r="B207" s="78"/>
      <c r="C207" s="79"/>
      <c r="D207" s="80" t="str">
        <f aca="false">_xlfn.IFNA(VLOOKUP(C207,'بيانات الآليات '!A:G,4,FALSE()),"")</f>
        <v/>
      </c>
      <c r="E207" s="81" t="str">
        <f aca="false">_xlfn.IFNA(VLOOKUP(C207,'بيانات الآليات '!A:G,2,FALSE()),"")</f>
        <v/>
      </c>
      <c r="F207" s="81" t="str">
        <f aca="false">_xlfn.IFNA(VLOOKUP(C207,'بيانات الآليات '!A:G,5,FALSE()),"")</f>
        <v/>
      </c>
      <c r="G207" s="82"/>
      <c r="H207" s="83" t="str">
        <f aca="false">_xlfn.IFNA(VLOOKUP(G207,Table14543[],2,FALSE()),"")</f>
        <v/>
      </c>
      <c r="I207" s="84" t="str">
        <f aca="false">_xlfn.IFNA(VLOOKUP(G207,Table14543[],3,FALSE()),"")</f>
        <v/>
      </c>
      <c r="J207" s="83" t="str">
        <f aca="false">CONCATENATE("",G207,""," ",H207," ",I207)</f>
        <v>  </v>
      </c>
      <c r="K207" s="85"/>
      <c r="L207" s="86"/>
      <c r="M207" s="86"/>
      <c r="N207" s="86" t="n">
        <f aca="false">L207*M207</f>
        <v>0</v>
      </c>
      <c r="O207" s="86"/>
      <c r="P207" s="87" t="n">
        <f aca="false">(M207*L207)+O207</f>
        <v>0</v>
      </c>
      <c r="Q207" s="91"/>
    </row>
    <row r="208" customFormat="false" ht="14.25" hidden="false" customHeight="false" outlineLevel="0" collapsed="false">
      <c r="A208" s="77"/>
      <c r="B208" s="78"/>
      <c r="C208" s="79"/>
      <c r="D208" s="80" t="str">
        <f aca="false">_xlfn.IFNA(VLOOKUP(C208,'بيانات الآليات '!A:G,4,FALSE()),"")</f>
        <v/>
      </c>
      <c r="E208" s="81" t="str">
        <f aca="false">_xlfn.IFNA(VLOOKUP(C208,'بيانات الآليات '!A:G,2,FALSE()),"")</f>
        <v/>
      </c>
      <c r="F208" s="81" t="str">
        <f aca="false">_xlfn.IFNA(VLOOKUP(C208,'بيانات الآليات '!A:G,5,FALSE()),"")</f>
        <v/>
      </c>
      <c r="G208" s="82"/>
      <c r="H208" s="83" t="str">
        <f aca="false">_xlfn.IFNA(VLOOKUP(G208,Table14543[],2,FALSE()),"")</f>
        <v/>
      </c>
      <c r="I208" s="84" t="str">
        <f aca="false">_xlfn.IFNA(VLOOKUP(G208,Table14543[],3,FALSE()),"")</f>
        <v/>
      </c>
      <c r="J208" s="83" t="str">
        <f aca="false">CONCATENATE("",G208,""," ",H208," ",I208)</f>
        <v>  </v>
      </c>
      <c r="K208" s="85"/>
      <c r="L208" s="86"/>
      <c r="M208" s="86"/>
      <c r="N208" s="86" t="n">
        <f aca="false">L208*M208</f>
        <v>0</v>
      </c>
      <c r="O208" s="86"/>
      <c r="P208" s="87" t="n">
        <f aca="false">(M208*L208)+O208</f>
        <v>0</v>
      </c>
      <c r="Q208" s="91"/>
    </row>
    <row r="209" customFormat="false" ht="14.25" hidden="false" customHeight="false" outlineLevel="0" collapsed="false">
      <c r="A209" s="77"/>
      <c r="B209" s="78"/>
      <c r="C209" s="79"/>
      <c r="D209" s="80" t="str">
        <f aca="false">_xlfn.IFNA(VLOOKUP(C209,'بيانات الآليات '!A:G,4,FALSE()),"")</f>
        <v/>
      </c>
      <c r="E209" s="81" t="str">
        <f aca="false">_xlfn.IFNA(VLOOKUP(C209,'بيانات الآليات '!A:G,2,FALSE()),"")</f>
        <v/>
      </c>
      <c r="F209" s="81" t="str">
        <f aca="false">_xlfn.IFNA(VLOOKUP(C209,'بيانات الآليات '!A:G,5,FALSE()),"")</f>
        <v/>
      </c>
      <c r="G209" s="82"/>
      <c r="H209" s="83" t="str">
        <f aca="false">_xlfn.IFNA(VLOOKUP(G209,Table14543[],2,FALSE()),"")</f>
        <v/>
      </c>
      <c r="I209" s="84" t="str">
        <f aca="false">_xlfn.IFNA(VLOOKUP(G209,Table14543[],3,FALSE()),"")</f>
        <v/>
      </c>
      <c r="J209" s="83" t="str">
        <f aca="false">CONCATENATE("",G209,""," ",H209," ",I209)</f>
        <v>  </v>
      </c>
      <c r="K209" s="85"/>
      <c r="L209" s="86"/>
      <c r="M209" s="86"/>
      <c r="N209" s="86" t="n">
        <f aca="false">L209*M209</f>
        <v>0</v>
      </c>
      <c r="O209" s="86"/>
      <c r="P209" s="87" t="n">
        <f aca="false">(M209*L209)+O209</f>
        <v>0</v>
      </c>
      <c r="Q209" s="91"/>
    </row>
    <row r="210" customFormat="false" ht="14.25" hidden="false" customHeight="false" outlineLevel="0" collapsed="false">
      <c r="A210" s="77"/>
      <c r="B210" s="78"/>
      <c r="C210" s="79"/>
      <c r="D210" s="80" t="str">
        <f aca="false">_xlfn.IFNA(VLOOKUP(C210,'بيانات الآليات '!A:G,4,FALSE()),"")</f>
        <v/>
      </c>
      <c r="E210" s="81" t="str">
        <f aca="false">_xlfn.IFNA(VLOOKUP(C210,'بيانات الآليات '!A:G,2,FALSE()),"")</f>
        <v/>
      </c>
      <c r="F210" s="81" t="str">
        <f aca="false">_xlfn.IFNA(VLOOKUP(C210,'بيانات الآليات '!A:G,5,FALSE()),"")</f>
        <v/>
      </c>
      <c r="G210" s="82"/>
      <c r="H210" s="83" t="str">
        <f aca="false">_xlfn.IFNA(VLOOKUP(G210,Table14543[],2,FALSE()),"")</f>
        <v/>
      </c>
      <c r="I210" s="84" t="str">
        <f aca="false">_xlfn.IFNA(VLOOKUP(G210,Table14543[],3,FALSE()),"")</f>
        <v/>
      </c>
      <c r="J210" s="83" t="str">
        <f aca="false">CONCATENATE("",G210,""," ",H210," ",I210)</f>
        <v>  </v>
      </c>
      <c r="K210" s="85"/>
      <c r="L210" s="86"/>
      <c r="M210" s="86"/>
      <c r="N210" s="86" t="n">
        <f aca="false">L210*M210</f>
        <v>0</v>
      </c>
      <c r="O210" s="86"/>
      <c r="P210" s="87" t="n">
        <f aca="false">(M210*L210)+O210</f>
        <v>0</v>
      </c>
      <c r="Q210" s="91"/>
    </row>
    <row r="211" customFormat="false" ht="14.25" hidden="false" customHeight="false" outlineLevel="0" collapsed="false">
      <c r="A211" s="77"/>
      <c r="B211" s="78"/>
      <c r="C211" s="79"/>
      <c r="D211" s="80" t="str">
        <f aca="false">_xlfn.IFNA(VLOOKUP(C211,'بيانات الآليات '!A:G,4,FALSE()),"")</f>
        <v/>
      </c>
      <c r="E211" s="81" t="str">
        <f aca="false">_xlfn.IFNA(VLOOKUP(C211,'بيانات الآليات '!A:G,2,FALSE()),"")</f>
        <v/>
      </c>
      <c r="F211" s="81" t="str">
        <f aca="false">_xlfn.IFNA(VLOOKUP(C211,'بيانات الآليات '!A:G,5,FALSE()),"")</f>
        <v/>
      </c>
      <c r="G211" s="82"/>
      <c r="H211" s="83" t="str">
        <f aca="false">_xlfn.IFNA(VLOOKUP(G211,Table14543[],2,FALSE()),"")</f>
        <v/>
      </c>
      <c r="I211" s="84" t="str">
        <f aca="false">_xlfn.IFNA(VLOOKUP(G211,Table14543[],3,FALSE()),"")</f>
        <v/>
      </c>
      <c r="J211" s="83" t="str">
        <f aca="false">CONCATENATE("",G211,""," ",H211," ",I211)</f>
        <v>  </v>
      </c>
      <c r="K211" s="85"/>
      <c r="L211" s="86"/>
      <c r="M211" s="86"/>
      <c r="N211" s="86" t="n">
        <f aca="false">L211*M211</f>
        <v>0</v>
      </c>
      <c r="O211" s="86"/>
      <c r="P211" s="87" t="n">
        <f aca="false">(M211*L211)+O211</f>
        <v>0</v>
      </c>
      <c r="Q211" s="91"/>
    </row>
    <row r="212" customFormat="false" ht="14.25" hidden="false" customHeight="false" outlineLevel="0" collapsed="false">
      <c r="A212" s="77"/>
      <c r="B212" s="78"/>
      <c r="C212" s="79"/>
      <c r="D212" s="80" t="str">
        <f aca="false">_xlfn.IFNA(VLOOKUP(C212,'بيانات الآليات '!A:G,4,FALSE()),"")</f>
        <v/>
      </c>
      <c r="E212" s="81" t="str">
        <f aca="false">_xlfn.IFNA(VLOOKUP(C212,'بيانات الآليات '!A:G,2,FALSE()),"")</f>
        <v/>
      </c>
      <c r="F212" s="81" t="str">
        <f aca="false">_xlfn.IFNA(VLOOKUP(C212,'بيانات الآليات '!A:G,5,FALSE()),"")</f>
        <v/>
      </c>
      <c r="G212" s="82"/>
      <c r="H212" s="83" t="str">
        <f aca="false">_xlfn.IFNA(VLOOKUP(G212,Table14543[],2,FALSE()),"")</f>
        <v/>
      </c>
      <c r="I212" s="84" t="str">
        <f aca="false">_xlfn.IFNA(VLOOKUP(G212,Table14543[],3,FALSE()),"")</f>
        <v/>
      </c>
      <c r="J212" s="83" t="str">
        <f aca="false">CONCATENATE("",G212,""," ",H212," ",I212)</f>
        <v>  </v>
      </c>
      <c r="K212" s="85"/>
      <c r="L212" s="86"/>
      <c r="M212" s="86"/>
      <c r="N212" s="86" t="n">
        <f aca="false">L212*M212</f>
        <v>0</v>
      </c>
      <c r="O212" s="86"/>
      <c r="P212" s="87" t="n">
        <f aca="false">(M212*L212)+O212</f>
        <v>0</v>
      </c>
      <c r="Q212" s="91"/>
    </row>
    <row r="213" customFormat="false" ht="14.25" hidden="false" customHeight="false" outlineLevel="0" collapsed="false">
      <c r="A213" s="77"/>
      <c r="B213" s="78"/>
      <c r="C213" s="79"/>
      <c r="D213" s="80" t="str">
        <f aca="false">_xlfn.IFNA(VLOOKUP(C213,'بيانات الآليات '!A:G,4,FALSE()),"")</f>
        <v/>
      </c>
      <c r="E213" s="81" t="str">
        <f aca="false">_xlfn.IFNA(VLOOKUP(C213,'بيانات الآليات '!A:G,2,FALSE()),"")</f>
        <v/>
      </c>
      <c r="F213" s="81" t="str">
        <f aca="false">_xlfn.IFNA(VLOOKUP(C213,'بيانات الآليات '!A:G,5,FALSE()),"")</f>
        <v/>
      </c>
      <c r="G213" s="82"/>
      <c r="H213" s="83" t="str">
        <f aca="false">_xlfn.IFNA(VLOOKUP(G213,Table14543[],2,FALSE()),"")</f>
        <v/>
      </c>
      <c r="I213" s="84" t="str">
        <f aca="false">_xlfn.IFNA(VLOOKUP(G213,Table14543[],3,FALSE()),"")</f>
        <v/>
      </c>
      <c r="J213" s="83" t="str">
        <f aca="false">CONCATENATE("",G213,""," ",H213," ",I213)</f>
        <v>  </v>
      </c>
      <c r="K213" s="85"/>
      <c r="L213" s="86"/>
      <c r="M213" s="86"/>
      <c r="N213" s="86" t="n">
        <f aca="false">L213*M213</f>
        <v>0</v>
      </c>
      <c r="O213" s="86"/>
      <c r="P213" s="87" t="n">
        <f aca="false">(M213*L213)+O213</f>
        <v>0</v>
      </c>
      <c r="Q213" s="91"/>
    </row>
    <row r="214" customFormat="false" ht="14.25" hidden="false" customHeight="false" outlineLevel="0" collapsed="false">
      <c r="A214" s="77"/>
      <c r="B214" s="78"/>
      <c r="C214" s="79"/>
      <c r="D214" s="80" t="str">
        <f aca="false">_xlfn.IFNA(VLOOKUP(C214,'بيانات الآليات '!A:G,4,FALSE()),"")</f>
        <v/>
      </c>
      <c r="E214" s="81" t="str">
        <f aca="false">_xlfn.IFNA(VLOOKUP(C214,'بيانات الآليات '!A:G,2,FALSE()),"")</f>
        <v/>
      </c>
      <c r="F214" s="81" t="str">
        <f aca="false">_xlfn.IFNA(VLOOKUP(C214,'بيانات الآليات '!A:G,5,FALSE()),"")</f>
        <v/>
      </c>
      <c r="G214" s="82"/>
      <c r="H214" s="83" t="str">
        <f aca="false">_xlfn.IFNA(VLOOKUP(G214,Table14543[],2,FALSE()),"")</f>
        <v/>
      </c>
      <c r="I214" s="84" t="str">
        <f aca="false">_xlfn.IFNA(VLOOKUP(G214,Table14543[],3,FALSE()),"")</f>
        <v/>
      </c>
      <c r="J214" s="83" t="str">
        <f aca="false">CONCATENATE("",G214,""," ",H214," ",I214)</f>
        <v>  </v>
      </c>
      <c r="K214" s="85"/>
      <c r="L214" s="86"/>
      <c r="M214" s="86"/>
      <c r="N214" s="86" t="n">
        <f aca="false">L214*M214</f>
        <v>0</v>
      </c>
      <c r="O214" s="86"/>
      <c r="P214" s="87" t="n">
        <f aca="false">(M214*L214)+O214</f>
        <v>0</v>
      </c>
      <c r="Q214" s="91"/>
    </row>
    <row r="215" customFormat="false" ht="14.25" hidden="false" customHeight="false" outlineLevel="0" collapsed="false">
      <c r="A215" s="77"/>
      <c r="B215" s="78"/>
      <c r="C215" s="79"/>
      <c r="D215" s="80" t="str">
        <f aca="false">_xlfn.IFNA(VLOOKUP(C215,'بيانات الآليات '!A:G,4,FALSE()),"")</f>
        <v/>
      </c>
      <c r="E215" s="81" t="str">
        <f aca="false">_xlfn.IFNA(VLOOKUP(C215,'بيانات الآليات '!A:G,2,FALSE()),"")</f>
        <v/>
      </c>
      <c r="F215" s="81" t="str">
        <f aca="false">_xlfn.IFNA(VLOOKUP(C215,'بيانات الآليات '!A:G,5,FALSE()),"")</f>
        <v/>
      </c>
      <c r="G215" s="82"/>
      <c r="H215" s="83" t="str">
        <f aca="false">_xlfn.IFNA(VLOOKUP(G215,Table14543[],2,FALSE()),"")</f>
        <v/>
      </c>
      <c r="I215" s="84" t="str">
        <f aca="false">_xlfn.IFNA(VLOOKUP(G215,Table14543[],3,FALSE()),"")</f>
        <v/>
      </c>
      <c r="J215" s="83" t="str">
        <f aca="false">CONCATENATE("",G215,""," ",H215," ",I215)</f>
        <v>  </v>
      </c>
      <c r="K215" s="85"/>
      <c r="L215" s="86"/>
      <c r="M215" s="86"/>
      <c r="N215" s="86" t="n">
        <f aca="false">L215*M215</f>
        <v>0</v>
      </c>
      <c r="O215" s="86"/>
      <c r="P215" s="87" t="n">
        <f aca="false">(M215*L215)+O215</f>
        <v>0</v>
      </c>
      <c r="Q215" s="91"/>
    </row>
    <row r="216" customFormat="false" ht="14.25" hidden="false" customHeight="false" outlineLevel="0" collapsed="false">
      <c r="A216" s="77"/>
      <c r="B216" s="78"/>
      <c r="C216" s="79"/>
      <c r="D216" s="80" t="str">
        <f aca="false">_xlfn.IFNA(VLOOKUP(C216,'بيانات الآليات '!A:G,4,FALSE()),"")</f>
        <v/>
      </c>
      <c r="E216" s="81" t="str">
        <f aca="false">_xlfn.IFNA(VLOOKUP(C216,'بيانات الآليات '!A:G,2,FALSE()),"")</f>
        <v/>
      </c>
      <c r="F216" s="81" t="str">
        <f aca="false">_xlfn.IFNA(VLOOKUP(C216,'بيانات الآليات '!A:G,5,FALSE()),"")</f>
        <v/>
      </c>
      <c r="G216" s="82"/>
      <c r="H216" s="83" t="str">
        <f aca="false">_xlfn.IFNA(VLOOKUP(G216,Table14543[],2,FALSE()),"")</f>
        <v/>
      </c>
      <c r="I216" s="84" t="str">
        <f aca="false">_xlfn.IFNA(VLOOKUP(G216,Table14543[],3,FALSE()),"")</f>
        <v/>
      </c>
      <c r="J216" s="83" t="str">
        <f aca="false">CONCATENATE("",G216,""," ",H216," ",I216)</f>
        <v>  </v>
      </c>
      <c r="K216" s="85"/>
      <c r="L216" s="86"/>
      <c r="M216" s="86"/>
      <c r="N216" s="86" t="n">
        <f aca="false">L216*M216</f>
        <v>0</v>
      </c>
      <c r="O216" s="86"/>
      <c r="P216" s="87" t="n">
        <f aca="false">(M216*L216)+O216</f>
        <v>0</v>
      </c>
      <c r="Q216" s="91"/>
    </row>
    <row r="217" customFormat="false" ht="14.25" hidden="false" customHeight="false" outlineLevel="0" collapsed="false">
      <c r="A217" s="77"/>
      <c r="B217" s="78"/>
      <c r="C217" s="79"/>
      <c r="D217" s="80" t="str">
        <f aca="false">_xlfn.IFNA(VLOOKUP(C217,'بيانات الآليات '!A:G,4,FALSE()),"")</f>
        <v/>
      </c>
      <c r="E217" s="81" t="str">
        <f aca="false">_xlfn.IFNA(VLOOKUP(C217,'بيانات الآليات '!A:G,2,FALSE()),"")</f>
        <v/>
      </c>
      <c r="F217" s="81" t="str">
        <f aca="false">_xlfn.IFNA(VLOOKUP(C217,'بيانات الآليات '!A:G,5,FALSE()),"")</f>
        <v/>
      </c>
      <c r="G217" s="82"/>
      <c r="H217" s="83" t="str">
        <f aca="false">_xlfn.IFNA(VLOOKUP(G217,Table14543[],2,FALSE()),"")</f>
        <v/>
      </c>
      <c r="I217" s="84" t="str">
        <f aca="false">_xlfn.IFNA(VLOOKUP(G217,Table14543[],3,FALSE()),"")</f>
        <v/>
      </c>
      <c r="J217" s="83" t="str">
        <f aca="false">CONCATENATE("",G217,""," ",H217," ",I217)</f>
        <v>  </v>
      </c>
      <c r="K217" s="85"/>
      <c r="L217" s="86"/>
      <c r="M217" s="86"/>
      <c r="N217" s="86" t="n">
        <f aca="false">L217*M217</f>
        <v>0</v>
      </c>
      <c r="O217" s="86"/>
      <c r="P217" s="87" t="n">
        <f aca="false">(M217*L217)+O217</f>
        <v>0</v>
      </c>
      <c r="Q217" s="91"/>
    </row>
    <row r="218" customFormat="false" ht="14.25" hidden="false" customHeight="false" outlineLevel="0" collapsed="false">
      <c r="A218" s="77"/>
      <c r="B218" s="78"/>
      <c r="C218" s="79"/>
      <c r="D218" s="80" t="str">
        <f aca="false">_xlfn.IFNA(VLOOKUP(C218,'بيانات الآليات '!A:G,4,FALSE()),"")</f>
        <v/>
      </c>
      <c r="E218" s="81" t="str">
        <f aca="false">_xlfn.IFNA(VLOOKUP(C218,'بيانات الآليات '!A:G,2,FALSE()),"")</f>
        <v/>
      </c>
      <c r="F218" s="81" t="str">
        <f aca="false">_xlfn.IFNA(VLOOKUP(C218,'بيانات الآليات '!A:G,5,FALSE()),"")</f>
        <v/>
      </c>
      <c r="G218" s="82"/>
      <c r="H218" s="83" t="str">
        <f aca="false">_xlfn.IFNA(VLOOKUP(G218,Table14543[],2,FALSE()),"")</f>
        <v/>
      </c>
      <c r="I218" s="84" t="str">
        <f aca="false">_xlfn.IFNA(VLOOKUP(G218,Table14543[],3,FALSE()),"")</f>
        <v/>
      </c>
      <c r="J218" s="83" t="str">
        <f aca="false">CONCATENATE("",G218,""," ",H218," ",I218)</f>
        <v>  </v>
      </c>
      <c r="K218" s="85"/>
      <c r="L218" s="86"/>
      <c r="M218" s="86"/>
      <c r="N218" s="86" t="n">
        <f aca="false">L218*M218</f>
        <v>0</v>
      </c>
      <c r="O218" s="86"/>
      <c r="P218" s="87" t="n">
        <f aca="false">(M218*L218)+O218</f>
        <v>0</v>
      </c>
      <c r="Q218" s="91"/>
    </row>
    <row r="219" customFormat="false" ht="14.25" hidden="false" customHeight="false" outlineLevel="0" collapsed="false">
      <c r="A219" s="77"/>
      <c r="B219" s="78"/>
      <c r="C219" s="79"/>
      <c r="D219" s="80" t="str">
        <f aca="false">_xlfn.IFNA(VLOOKUP(C219,'بيانات الآليات '!A:G,4,FALSE()),"")</f>
        <v/>
      </c>
      <c r="E219" s="81" t="str">
        <f aca="false">_xlfn.IFNA(VLOOKUP(C219,'بيانات الآليات '!A:G,2,FALSE()),"")</f>
        <v/>
      </c>
      <c r="F219" s="81" t="str">
        <f aca="false">_xlfn.IFNA(VLOOKUP(C219,'بيانات الآليات '!A:G,5,FALSE()),"")</f>
        <v/>
      </c>
      <c r="G219" s="82"/>
      <c r="H219" s="83" t="str">
        <f aca="false">_xlfn.IFNA(VLOOKUP(G219,Table14543[],2,FALSE()),"")</f>
        <v/>
      </c>
      <c r="I219" s="84" t="str">
        <f aca="false">_xlfn.IFNA(VLOOKUP(G219,Table14543[],3,FALSE()),"")</f>
        <v/>
      </c>
      <c r="J219" s="83" t="str">
        <f aca="false">CONCATENATE("",G219,""," ",H219," ",I219)</f>
        <v>  </v>
      </c>
      <c r="K219" s="85"/>
      <c r="L219" s="86"/>
      <c r="M219" s="86"/>
      <c r="N219" s="86" t="n">
        <f aca="false">L219*M219</f>
        <v>0</v>
      </c>
      <c r="O219" s="86"/>
      <c r="P219" s="87" t="n">
        <f aca="false">(M219*L219)+O219</f>
        <v>0</v>
      </c>
      <c r="Q219" s="91"/>
    </row>
    <row r="220" customFormat="false" ht="14.25" hidden="false" customHeight="false" outlineLevel="0" collapsed="false">
      <c r="A220" s="77"/>
      <c r="B220" s="78"/>
      <c r="C220" s="79"/>
      <c r="D220" s="80" t="str">
        <f aca="false">_xlfn.IFNA(VLOOKUP(C220,'بيانات الآليات '!A:G,4,FALSE()),"")</f>
        <v/>
      </c>
      <c r="E220" s="81" t="str">
        <f aca="false">_xlfn.IFNA(VLOOKUP(C220,'بيانات الآليات '!A:G,2,FALSE()),"")</f>
        <v/>
      </c>
      <c r="F220" s="81" t="str">
        <f aca="false">_xlfn.IFNA(VLOOKUP(C220,'بيانات الآليات '!A:G,5,FALSE()),"")</f>
        <v/>
      </c>
      <c r="G220" s="82"/>
      <c r="H220" s="83" t="str">
        <f aca="false">_xlfn.IFNA(VLOOKUP(G220,Table14543[],2,FALSE()),"")</f>
        <v/>
      </c>
      <c r="I220" s="84" t="str">
        <f aca="false">_xlfn.IFNA(VLOOKUP(G220,Table14543[],3,FALSE()),"")</f>
        <v/>
      </c>
      <c r="J220" s="83" t="str">
        <f aca="false">CONCATENATE("",G220,""," ",H220," ",I220)</f>
        <v>  </v>
      </c>
      <c r="K220" s="85"/>
      <c r="L220" s="86"/>
      <c r="M220" s="86"/>
      <c r="N220" s="86" t="n">
        <f aca="false">L220*M220</f>
        <v>0</v>
      </c>
      <c r="O220" s="86"/>
      <c r="P220" s="87" t="n">
        <f aca="false">(M220*L220)+O220</f>
        <v>0</v>
      </c>
      <c r="Q220" s="91"/>
    </row>
    <row r="221" customFormat="false" ht="14.25" hidden="false" customHeight="false" outlineLevel="0" collapsed="false">
      <c r="A221" s="77"/>
      <c r="B221" s="78"/>
      <c r="C221" s="79"/>
      <c r="D221" s="80" t="str">
        <f aca="false">_xlfn.IFNA(VLOOKUP(C221,'بيانات الآليات '!A:G,4,FALSE()),"")</f>
        <v/>
      </c>
      <c r="E221" s="81" t="str">
        <f aca="false">_xlfn.IFNA(VLOOKUP(C221,'بيانات الآليات '!A:G,2,FALSE()),"")</f>
        <v/>
      </c>
      <c r="F221" s="81" t="str">
        <f aca="false">_xlfn.IFNA(VLOOKUP(C221,'بيانات الآليات '!A:G,5,FALSE()),"")</f>
        <v/>
      </c>
      <c r="G221" s="82"/>
      <c r="H221" s="83" t="str">
        <f aca="false">_xlfn.IFNA(VLOOKUP(G221,Table14543[],2,FALSE()),"")</f>
        <v/>
      </c>
      <c r="I221" s="84" t="str">
        <f aca="false">_xlfn.IFNA(VLOOKUP(G221,Table14543[],3,FALSE()),"")</f>
        <v/>
      </c>
      <c r="J221" s="83" t="str">
        <f aca="false">CONCATENATE("",G221,""," ",H221," ",I221)</f>
        <v>  </v>
      </c>
      <c r="K221" s="85"/>
      <c r="L221" s="86"/>
      <c r="M221" s="86"/>
      <c r="N221" s="86" t="n">
        <f aca="false">L221*M221</f>
        <v>0</v>
      </c>
      <c r="O221" s="86"/>
      <c r="P221" s="87" t="n">
        <f aca="false">(M221*L221)+O221</f>
        <v>0</v>
      </c>
      <c r="Q221" s="91"/>
    </row>
    <row r="222" customFormat="false" ht="14.25" hidden="false" customHeight="false" outlineLevel="0" collapsed="false">
      <c r="A222" s="77"/>
      <c r="B222" s="78"/>
      <c r="C222" s="79"/>
      <c r="D222" s="80" t="str">
        <f aca="false">_xlfn.IFNA(VLOOKUP(C222,'بيانات الآليات '!A:G,4,FALSE()),"")</f>
        <v/>
      </c>
      <c r="E222" s="81" t="str">
        <f aca="false">_xlfn.IFNA(VLOOKUP(C222,'بيانات الآليات '!A:G,2,FALSE()),"")</f>
        <v/>
      </c>
      <c r="F222" s="81" t="str">
        <f aca="false">_xlfn.IFNA(VLOOKUP(C222,'بيانات الآليات '!A:G,5,FALSE()),"")</f>
        <v/>
      </c>
      <c r="G222" s="82"/>
      <c r="H222" s="83" t="str">
        <f aca="false">_xlfn.IFNA(VLOOKUP(G222,Table14543[],2,FALSE()),"")</f>
        <v/>
      </c>
      <c r="I222" s="84" t="str">
        <f aca="false">_xlfn.IFNA(VLOOKUP(G222,Table14543[],3,FALSE()),"")</f>
        <v/>
      </c>
      <c r="J222" s="83" t="str">
        <f aca="false">CONCATENATE("",G222,""," ",H222," ",I222)</f>
        <v>  </v>
      </c>
      <c r="K222" s="85"/>
      <c r="L222" s="86"/>
      <c r="M222" s="86"/>
      <c r="N222" s="86" t="n">
        <f aca="false">L222*M222</f>
        <v>0</v>
      </c>
      <c r="O222" s="86"/>
      <c r="P222" s="87" t="n">
        <f aca="false">(M222*L222)+O222</f>
        <v>0</v>
      </c>
      <c r="Q222" s="91"/>
    </row>
    <row r="223" customFormat="false" ht="14.25" hidden="false" customHeight="false" outlineLevel="0" collapsed="false">
      <c r="A223" s="77"/>
      <c r="B223" s="78"/>
      <c r="C223" s="79"/>
      <c r="D223" s="80" t="str">
        <f aca="false">_xlfn.IFNA(VLOOKUP(C223,'بيانات الآليات '!A:G,4,FALSE()),"")</f>
        <v/>
      </c>
      <c r="E223" s="81" t="str">
        <f aca="false">_xlfn.IFNA(VLOOKUP(C223,'بيانات الآليات '!A:G,2,FALSE()),"")</f>
        <v/>
      </c>
      <c r="F223" s="81" t="str">
        <f aca="false">_xlfn.IFNA(VLOOKUP(C223,'بيانات الآليات '!A:G,5,FALSE()),"")</f>
        <v/>
      </c>
      <c r="G223" s="82"/>
      <c r="H223" s="83" t="str">
        <f aca="false">_xlfn.IFNA(VLOOKUP(G223,Table14543[],2,FALSE()),"")</f>
        <v/>
      </c>
      <c r="I223" s="84" t="str">
        <f aca="false">_xlfn.IFNA(VLOOKUP(G223,Table14543[],3,FALSE()),"")</f>
        <v/>
      </c>
      <c r="J223" s="83" t="str">
        <f aca="false">CONCATENATE("",G223,""," ",H223," ",I223)</f>
        <v>  </v>
      </c>
      <c r="K223" s="85"/>
      <c r="L223" s="86"/>
      <c r="M223" s="86"/>
      <c r="N223" s="86" t="n">
        <f aca="false">L223*M223</f>
        <v>0</v>
      </c>
      <c r="O223" s="86"/>
      <c r="P223" s="87" t="n">
        <f aca="false">(M223*L223)+O223</f>
        <v>0</v>
      </c>
      <c r="Q223" s="91"/>
    </row>
    <row r="224" customFormat="false" ht="14.25" hidden="false" customHeight="false" outlineLevel="0" collapsed="false">
      <c r="A224" s="77"/>
      <c r="B224" s="78"/>
      <c r="C224" s="79"/>
      <c r="D224" s="80" t="str">
        <f aca="false">_xlfn.IFNA(VLOOKUP(C224,'بيانات الآليات '!A:G,4,FALSE()),"")</f>
        <v/>
      </c>
      <c r="E224" s="81" t="str">
        <f aca="false">_xlfn.IFNA(VLOOKUP(C224,'بيانات الآليات '!A:G,2,FALSE()),"")</f>
        <v/>
      </c>
      <c r="F224" s="81" t="str">
        <f aca="false">_xlfn.IFNA(VLOOKUP(C224,'بيانات الآليات '!A:G,5,FALSE()),"")</f>
        <v/>
      </c>
      <c r="G224" s="82"/>
      <c r="H224" s="83" t="str">
        <f aca="false">_xlfn.IFNA(VLOOKUP(G224,Table14543[],2,FALSE()),"")</f>
        <v/>
      </c>
      <c r="I224" s="84" t="str">
        <f aca="false">_xlfn.IFNA(VLOOKUP(G224,Table14543[],3,FALSE()),"")</f>
        <v/>
      </c>
      <c r="J224" s="83" t="str">
        <f aca="false">CONCATENATE("",G224,""," ",H224," ",I224)</f>
        <v>  </v>
      </c>
      <c r="K224" s="85"/>
      <c r="L224" s="86"/>
      <c r="M224" s="86"/>
      <c r="N224" s="86" t="n">
        <f aca="false">L224*M224</f>
        <v>0</v>
      </c>
      <c r="O224" s="86"/>
      <c r="P224" s="87" t="n">
        <f aca="false">(M224*L224)+O224</f>
        <v>0</v>
      </c>
      <c r="Q224" s="91"/>
    </row>
    <row r="225" customFormat="false" ht="14.25" hidden="false" customHeight="false" outlineLevel="0" collapsed="false">
      <c r="A225" s="77"/>
      <c r="B225" s="78"/>
      <c r="C225" s="79"/>
      <c r="D225" s="80" t="str">
        <f aca="false">_xlfn.IFNA(VLOOKUP(C225,'بيانات الآليات '!A:G,4,FALSE()),"")</f>
        <v/>
      </c>
      <c r="E225" s="81" t="str">
        <f aca="false">_xlfn.IFNA(VLOOKUP(C225,'بيانات الآليات '!A:G,2,FALSE()),"")</f>
        <v/>
      </c>
      <c r="F225" s="81" t="str">
        <f aca="false">_xlfn.IFNA(VLOOKUP(C225,'بيانات الآليات '!A:G,5,FALSE()),"")</f>
        <v/>
      </c>
      <c r="G225" s="82"/>
      <c r="H225" s="83" t="str">
        <f aca="false">_xlfn.IFNA(VLOOKUP(G225,Table14543[],2,FALSE()),"")</f>
        <v/>
      </c>
      <c r="I225" s="84" t="str">
        <f aca="false">_xlfn.IFNA(VLOOKUP(G225,Table14543[],3,FALSE()),"")</f>
        <v/>
      </c>
      <c r="J225" s="83" t="str">
        <f aca="false">CONCATENATE("",G225,""," ",H225," ",I225)</f>
        <v>  </v>
      </c>
      <c r="K225" s="85"/>
      <c r="L225" s="86"/>
      <c r="M225" s="86"/>
      <c r="N225" s="86" t="n">
        <f aca="false">L225*M225</f>
        <v>0</v>
      </c>
      <c r="O225" s="86"/>
      <c r="P225" s="87" t="n">
        <f aca="false">(M225*L225)+O225</f>
        <v>0</v>
      </c>
      <c r="Q225" s="91"/>
    </row>
    <row r="226" customFormat="false" ht="14.25" hidden="false" customHeight="false" outlineLevel="0" collapsed="false">
      <c r="A226" s="77"/>
      <c r="B226" s="78"/>
      <c r="C226" s="79"/>
      <c r="D226" s="80" t="str">
        <f aca="false">_xlfn.IFNA(VLOOKUP(C226,'بيانات الآليات '!A:G,4,FALSE()),"")</f>
        <v/>
      </c>
      <c r="E226" s="81" t="str">
        <f aca="false">_xlfn.IFNA(VLOOKUP(C226,'بيانات الآليات '!A:G,2,FALSE()),"")</f>
        <v/>
      </c>
      <c r="F226" s="81" t="str">
        <f aca="false">_xlfn.IFNA(VLOOKUP(C226,'بيانات الآليات '!A:G,5,FALSE()),"")</f>
        <v/>
      </c>
      <c r="G226" s="82"/>
      <c r="H226" s="83" t="str">
        <f aca="false">_xlfn.IFNA(VLOOKUP(G226,Table14543[],2,FALSE()),"")</f>
        <v/>
      </c>
      <c r="I226" s="84" t="str">
        <f aca="false">_xlfn.IFNA(VLOOKUP(G226,Table14543[],3,FALSE()),"")</f>
        <v/>
      </c>
      <c r="J226" s="83" t="str">
        <f aca="false">CONCATENATE("",G226,""," ",H226," ",I226)</f>
        <v>  </v>
      </c>
      <c r="K226" s="85"/>
      <c r="L226" s="86"/>
      <c r="M226" s="86"/>
      <c r="N226" s="86" t="n">
        <f aca="false">L226*M226</f>
        <v>0</v>
      </c>
      <c r="O226" s="86"/>
      <c r="P226" s="87" t="n">
        <f aca="false">(M226*L226)+O226</f>
        <v>0</v>
      </c>
      <c r="Q226" s="91"/>
    </row>
    <row r="227" customFormat="false" ht="14.25" hidden="false" customHeight="false" outlineLevel="0" collapsed="false">
      <c r="A227" s="77"/>
      <c r="B227" s="78"/>
      <c r="C227" s="79"/>
      <c r="D227" s="80" t="str">
        <f aca="false">_xlfn.IFNA(VLOOKUP(C227,'بيانات الآليات '!A:G,4,FALSE()),"")</f>
        <v/>
      </c>
      <c r="E227" s="81" t="str">
        <f aca="false">_xlfn.IFNA(VLOOKUP(C227,'بيانات الآليات '!A:G,2,FALSE()),"")</f>
        <v/>
      </c>
      <c r="F227" s="81" t="str">
        <f aca="false">_xlfn.IFNA(VLOOKUP(C227,'بيانات الآليات '!A:G,5,FALSE()),"")</f>
        <v/>
      </c>
      <c r="G227" s="82"/>
      <c r="H227" s="83" t="str">
        <f aca="false">_xlfn.IFNA(VLOOKUP(G227,Table14543[],2,FALSE()),"")</f>
        <v/>
      </c>
      <c r="I227" s="84" t="str">
        <f aca="false">_xlfn.IFNA(VLOOKUP(G227,Table14543[],3,FALSE()),"")</f>
        <v/>
      </c>
      <c r="J227" s="83" t="str">
        <f aca="false">CONCATENATE("",G227,""," ",H227," ",I227)</f>
        <v>  </v>
      </c>
      <c r="K227" s="85"/>
      <c r="L227" s="86"/>
      <c r="M227" s="86"/>
      <c r="N227" s="86" t="n">
        <f aca="false">L227*M227</f>
        <v>0</v>
      </c>
      <c r="O227" s="86"/>
      <c r="P227" s="87" t="n">
        <f aca="false">(M227*L227)+O227</f>
        <v>0</v>
      </c>
      <c r="Q227" s="91"/>
    </row>
    <row r="228" customFormat="false" ht="14.25" hidden="false" customHeight="false" outlineLevel="0" collapsed="false">
      <c r="A228" s="77"/>
      <c r="B228" s="78"/>
      <c r="C228" s="79"/>
      <c r="D228" s="80" t="str">
        <f aca="false">_xlfn.IFNA(VLOOKUP(C228,'بيانات الآليات '!A:G,4,FALSE()),"")</f>
        <v/>
      </c>
      <c r="E228" s="81" t="str">
        <f aca="false">_xlfn.IFNA(VLOOKUP(C228,'بيانات الآليات '!A:G,2,FALSE()),"")</f>
        <v/>
      </c>
      <c r="F228" s="81" t="str">
        <f aca="false">_xlfn.IFNA(VLOOKUP(C228,'بيانات الآليات '!A:G,5,FALSE()),"")</f>
        <v/>
      </c>
      <c r="G228" s="82"/>
      <c r="H228" s="83" t="str">
        <f aca="false">_xlfn.IFNA(VLOOKUP(G228,Table14543[],2,FALSE()),"")</f>
        <v/>
      </c>
      <c r="I228" s="84" t="str">
        <f aca="false">_xlfn.IFNA(VLOOKUP(G228,Table14543[],3,FALSE()),"")</f>
        <v/>
      </c>
      <c r="J228" s="83" t="str">
        <f aca="false">CONCATENATE("",G228,""," ",H228," ",I228)</f>
        <v>  </v>
      </c>
      <c r="K228" s="85"/>
      <c r="L228" s="86"/>
      <c r="M228" s="86"/>
      <c r="N228" s="86" t="n">
        <f aca="false">L228*M228</f>
        <v>0</v>
      </c>
      <c r="O228" s="86"/>
      <c r="P228" s="87" t="n">
        <f aca="false">(M228*L228)+O228</f>
        <v>0</v>
      </c>
      <c r="Q228" s="91"/>
    </row>
    <row r="229" customFormat="false" ht="14.25" hidden="false" customHeight="false" outlineLevel="0" collapsed="false">
      <c r="A229" s="77"/>
      <c r="B229" s="78"/>
      <c r="C229" s="79"/>
      <c r="D229" s="80" t="str">
        <f aca="false">_xlfn.IFNA(VLOOKUP(C229,'بيانات الآليات '!A:G,4,FALSE()),"")</f>
        <v/>
      </c>
      <c r="E229" s="81" t="str">
        <f aca="false">_xlfn.IFNA(VLOOKUP(C229,'بيانات الآليات '!A:G,2,FALSE()),"")</f>
        <v/>
      </c>
      <c r="F229" s="81" t="str">
        <f aca="false">_xlfn.IFNA(VLOOKUP(C229,'بيانات الآليات '!A:G,5,FALSE()),"")</f>
        <v/>
      </c>
      <c r="G229" s="82"/>
      <c r="H229" s="83" t="str">
        <f aca="false">_xlfn.IFNA(VLOOKUP(G229,Table14543[],2,FALSE()),"")</f>
        <v/>
      </c>
      <c r="I229" s="84" t="str">
        <f aca="false">_xlfn.IFNA(VLOOKUP(G229,Table14543[],3,FALSE()),"")</f>
        <v/>
      </c>
      <c r="J229" s="83" t="str">
        <f aca="false">CONCATENATE("",G229,""," ",H229," ",I229)</f>
        <v>  </v>
      </c>
      <c r="K229" s="85"/>
      <c r="L229" s="86"/>
      <c r="M229" s="86"/>
      <c r="N229" s="86" t="n">
        <f aca="false">L229*M229</f>
        <v>0</v>
      </c>
      <c r="O229" s="86"/>
      <c r="P229" s="87" t="n">
        <f aca="false">(M229*L229)+O229</f>
        <v>0</v>
      </c>
      <c r="Q229" s="91"/>
    </row>
    <row r="230" customFormat="false" ht="14.25" hidden="false" customHeight="false" outlineLevel="0" collapsed="false">
      <c r="A230" s="77"/>
      <c r="B230" s="78"/>
      <c r="C230" s="79"/>
      <c r="D230" s="80" t="str">
        <f aca="false">_xlfn.IFNA(VLOOKUP(C230,'بيانات الآليات '!A:G,4,FALSE()),"")</f>
        <v/>
      </c>
      <c r="E230" s="81" t="str">
        <f aca="false">_xlfn.IFNA(VLOOKUP(C230,'بيانات الآليات '!A:G,2,FALSE()),"")</f>
        <v/>
      </c>
      <c r="F230" s="81" t="str">
        <f aca="false">_xlfn.IFNA(VLOOKUP(C230,'بيانات الآليات '!A:G,5,FALSE()),"")</f>
        <v/>
      </c>
      <c r="G230" s="82"/>
      <c r="H230" s="83" t="str">
        <f aca="false">_xlfn.IFNA(VLOOKUP(G230,Table14543[],2,FALSE()),"")</f>
        <v/>
      </c>
      <c r="I230" s="84" t="str">
        <f aca="false">_xlfn.IFNA(VLOOKUP(G230,Table14543[],3,FALSE()),"")</f>
        <v/>
      </c>
      <c r="J230" s="83" t="str">
        <f aca="false">CONCATENATE("",G230,""," ",H230," ",I230)</f>
        <v>  </v>
      </c>
      <c r="K230" s="85"/>
      <c r="L230" s="86"/>
      <c r="M230" s="86"/>
      <c r="N230" s="86" t="n">
        <f aca="false">L230*M230</f>
        <v>0</v>
      </c>
      <c r="O230" s="86"/>
      <c r="P230" s="87" t="n">
        <f aca="false">(M230*L230)+O230</f>
        <v>0</v>
      </c>
      <c r="Q230" s="91"/>
    </row>
    <row r="231" customFormat="false" ht="14.25" hidden="false" customHeight="false" outlineLevel="0" collapsed="false">
      <c r="A231" s="77"/>
      <c r="B231" s="78"/>
      <c r="C231" s="79"/>
      <c r="D231" s="80" t="str">
        <f aca="false">_xlfn.IFNA(VLOOKUP(C231,'بيانات الآليات '!A:G,4,FALSE()),"")</f>
        <v/>
      </c>
      <c r="E231" s="81" t="str">
        <f aca="false">_xlfn.IFNA(VLOOKUP(C231,'بيانات الآليات '!A:G,2,FALSE()),"")</f>
        <v/>
      </c>
      <c r="F231" s="81" t="str">
        <f aca="false">_xlfn.IFNA(VLOOKUP(C231,'بيانات الآليات '!A:G,5,FALSE()),"")</f>
        <v/>
      </c>
      <c r="G231" s="82"/>
      <c r="H231" s="83" t="str">
        <f aca="false">_xlfn.IFNA(VLOOKUP(G231,Table14543[],2,FALSE()),"")</f>
        <v/>
      </c>
      <c r="I231" s="84" t="str">
        <f aca="false">_xlfn.IFNA(VLOOKUP(G231,Table14543[],3,FALSE()),"")</f>
        <v/>
      </c>
      <c r="J231" s="83" t="str">
        <f aca="false">CONCATENATE("",G231,""," ",H231," ",I231)</f>
        <v>  </v>
      </c>
      <c r="K231" s="85"/>
      <c r="L231" s="86"/>
      <c r="M231" s="86"/>
      <c r="N231" s="86" t="n">
        <f aca="false">L231*M231</f>
        <v>0</v>
      </c>
      <c r="O231" s="86"/>
      <c r="P231" s="87" t="n">
        <f aca="false">(M231*L231)+O231</f>
        <v>0</v>
      </c>
      <c r="Q231" s="91"/>
    </row>
    <row r="232" customFormat="false" ht="14.25" hidden="false" customHeight="false" outlineLevel="0" collapsed="false">
      <c r="A232" s="77"/>
      <c r="B232" s="78"/>
      <c r="C232" s="79"/>
      <c r="D232" s="80" t="str">
        <f aca="false">_xlfn.IFNA(VLOOKUP(C232,'بيانات الآليات '!A:G,4,FALSE()),"")</f>
        <v/>
      </c>
      <c r="E232" s="81" t="str">
        <f aca="false">_xlfn.IFNA(VLOOKUP(C232,'بيانات الآليات '!A:G,2,FALSE()),"")</f>
        <v/>
      </c>
      <c r="F232" s="81" t="str">
        <f aca="false">_xlfn.IFNA(VLOOKUP(C232,'بيانات الآليات '!A:G,5,FALSE()),"")</f>
        <v/>
      </c>
      <c r="G232" s="82"/>
      <c r="H232" s="83" t="str">
        <f aca="false">_xlfn.IFNA(VLOOKUP(G232,Table14543[],2,FALSE()),"")</f>
        <v/>
      </c>
      <c r="I232" s="84" t="str">
        <f aca="false">_xlfn.IFNA(VLOOKUP(G232,Table14543[],3,FALSE()),"")</f>
        <v/>
      </c>
      <c r="J232" s="83" t="str">
        <f aca="false">CONCATENATE("",G232,""," ",H232," ",I232)</f>
        <v>  </v>
      </c>
      <c r="K232" s="85"/>
      <c r="L232" s="86"/>
      <c r="M232" s="86"/>
      <c r="N232" s="86" t="n">
        <f aca="false">L232*M232</f>
        <v>0</v>
      </c>
      <c r="O232" s="86"/>
      <c r="P232" s="87" t="n">
        <f aca="false">(M232*L232)+O232</f>
        <v>0</v>
      </c>
      <c r="Q232" s="91"/>
    </row>
    <row r="233" customFormat="false" ht="14.25" hidden="false" customHeight="false" outlineLevel="0" collapsed="false">
      <c r="A233" s="77"/>
      <c r="B233" s="78"/>
      <c r="C233" s="79"/>
      <c r="D233" s="80" t="str">
        <f aca="false">_xlfn.IFNA(VLOOKUP(C233,'بيانات الآليات '!A:G,4,FALSE()),"")</f>
        <v/>
      </c>
      <c r="E233" s="81" t="str">
        <f aca="false">_xlfn.IFNA(VLOOKUP(C233,'بيانات الآليات '!A:G,2,FALSE()),"")</f>
        <v/>
      </c>
      <c r="F233" s="81" t="str">
        <f aca="false">_xlfn.IFNA(VLOOKUP(C233,'بيانات الآليات '!A:G,5,FALSE()),"")</f>
        <v/>
      </c>
      <c r="G233" s="82"/>
      <c r="H233" s="83" t="str">
        <f aca="false">_xlfn.IFNA(VLOOKUP(G233,Table14543[],2,FALSE()),"")</f>
        <v/>
      </c>
      <c r="I233" s="84" t="str">
        <f aca="false">_xlfn.IFNA(VLOOKUP(G233,Table14543[],3,FALSE()),"")</f>
        <v/>
      </c>
      <c r="J233" s="83" t="str">
        <f aca="false">CONCATENATE("",G233,""," ",H233," ",I233)</f>
        <v>  </v>
      </c>
      <c r="K233" s="85"/>
      <c r="L233" s="86"/>
      <c r="M233" s="86"/>
      <c r="N233" s="86" t="n">
        <f aca="false">L233*M233</f>
        <v>0</v>
      </c>
      <c r="O233" s="86"/>
      <c r="P233" s="87" t="n">
        <f aca="false">(M233*L233)+O233</f>
        <v>0</v>
      </c>
      <c r="Q233" s="91"/>
    </row>
    <row r="234" customFormat="false" ht="14.25" hidden="false" customHeight="false" outlineLevel="0" collapsed="false">
      <c r="A234" s="77"/>
      <c r="B234" s="78"/>
      <c r="C234" s="79"/>
      <c r="D234" s="80" t="str">
        <f aca="false">_xlfn.IFNA(VLOOKUP(C234,'بيانات الآليات '!A:G,4,FALSE()),"")</f>
        <v/>
      </c>
      <c r="E234" s="81" t="str">
        <f aca="false">_xlfn.IFNA(VLOOKUP(C234,'بيانات الآليات '!A:G,2,FALSE()),"")</f>
        <v/>
      </c>
      <c r="F234" s="81" t="str">
        <f aca="false">_xlfn.IFNA(VLOOKUP(C234,'بيانات الآليات '!A:G,5,FALSE()),"")</f>
        <v/>
      </c>
      <c r="G234" s="82"/>
      <c r="H234" s="83" t="str">
        <f aca="false">_xlfn.IFNA(VLOOKUP(G234,Table14543[],2,FALSE()),"")</f>
        <v/>
      </c>
      <c r="I234" s="84" t="str">
        <f aca="false">_xlfn.IFNA(VLOOKUP(G234,Table14543[],3,FALSE()),"")</f>
        <v/>
      </c>
      <c r="J234" s="83" t="str">
        <f aca="false">CONCATENATE("",G234,""," ",H234," ",I234)</f>
        <v>  </v>
      </c>
      <c r="K234" s="85"/>
      <c r="L234" s="86"/>
      <c r="M234" s="86"/>
      <c r="N234" s="86" t="n">
        <f aca="false">L234*M234</f>
        <v>0</v>
      </c>
      <c r="O234" s="86"/>
      <c r="P234" s="87" t="n">
        <f aca="false">(M234*L234)+O234</f>
        <v>0</v>
      </c>
      <c r="Q234" s="91"/>
    </row>
    <row r="235" customFormat="false" ht="14.25" hidden="false" customHeight="false" outlineLevel="0" collapsed="false">
      <c r="A235" s="77"/>
      <c r="B235" s="78"/>
      <c r="C235" s="79"/>
      <c r="D235" s="80" t="str">
        <f aca="false">_xlfn.IFNA(VLOOKUP(C235,'بيانات الآليات '!A:G,4,FALSE()),"")</f>
        <v/>
      </c>
      <c r="E235" s="81" t="str">
        <f aca="false">_xlfn.IFNA(VLOOKUP(C235,'بيانات الآليات '!A:G,2,FALSE()),"")</f>
        <v/>
      </c>
      <c r="F235" s="81" t="str">
        <f aca="false">_xlfn.IFNA(VLOOKUP(C235,'بيانات الآليات '!A:G,5,FALSE()),"")</f>
        <v/>
      </c>
      <c r="G235" s="82"/>
      <c r="H235" s="83" t="str">
        <f aca="false">_xlfn.IFNA(VLOOKUP(G235,Table14543[],2,FALSE()),"")</f>
        <v/>
      </c>
      <c r="I235" s="84" t="str">
        <f aca="false">_xlfn.IFNA(VLOOKUP(G235,Table14543[],3,FALSE()),"")</f>
        <v/>
      </c>
      <c r="J235" s="83" t="str">
        <f aca="false">CONCATENATE("",G235,""," ",H235," ",I235)</f>
        <v>  </v>
      </c>
      <c r="K235" s="85"/>
      <c r="L235" s="86"/>
      <c r="M235" s="86"/>
      <c r="N235" s="86" t="n">
        <f aca="false">L235*M235</f>
        <v>0</v>
      </c>
      <c r="O235" s="86"/>
      <c r="P235" s="87" t="n">
        <f aca="false">(M235*L235)+O235</f>
        <v>0</v>
      </c>
      <c r="Q235" s="91"/>
    </row>
    <row r="236" customFormat="false" ht="14.25" hidden="false" customHeight="false" outlineLevel="0" collapsed="false">
      <c r="A236" s="77"/>
      <c r="B236" s="78"/>
      <c r="C236" s="79"/>
      <c r="D236" s="80" t="str">
        <f aca="false">_xlfn.IFNA(VLOOKUP(C236,'بيانات الآليات '!A:G,4,FALSE()),"")</f>
        <v/>
      </c>
      <c r="E236" s="81" t="str">
        <f aca="false">_xlfn.IFNA(VLOOKUP(C236,'بيانات الآليات '!A:G,2,FALSE()),"")</f>
        <v/>
      </c>
      <c r="F236" s="81" t="str">
        <f aca="false">_xlfn.IFNA(VLOOKUP(C236,'بيانات الآليات '!A:G,5,FALSE()),"")</f>
        <v/>
      </c>
      <c r="G236" s="82"/>
      <c r="H236" s="83" t="str">
        <f aca="false">_xlfn.IFNA(VLOOKUP(G236,Table14543[],2,FALSE()),"")</f>
        <v/>
      </c>
      <c r="I236" s="84" t="str">
        <f aca="false">_xlfn.IFNA(VLOOKUP(G236,Table14543[],3,FALSE()),"")</f>
        <v/>
      </c>
      <c r="J236" s="83" t="str">
        <f aca="false">CONCATENATE("",G236,""," ",H236," ",I236)</f>
        <v>  </v>
      </c>
      <c r="K236" s="85"/>
      <c r="L236" s="86"/>
      <c r="M236" s="86"/>
      <c r="N236" s="86" t="n">
        <f aca="false">L236*M236</f>
        <v>0</v>
      </c>
      <c r="O236" s="86"/>
      <c r="P236" s="87" t="n">
        <f aca="false">(M236*L236)+O236</f>
        <v>0</v>
      </c>
      <c r="Q236" s="91"/>
    </row>
    <row r="237" customFormat="false" ht="14.25" hidden="false" customHeight="false" outlineLevel="0" collapsed="false">
      <c r="A237" s="77"/>
      <c r="B237" s="78"/>
      <c r="C237" s="79"/>
      <c r="D237" s="80" t="str">
        <f aca="false">_xlfn.IFNA(VLOOKUP(C237,'بيانات الآليات '!A:G,4,FALSE()),"")</f>
        <v/>
      </c>
      <c r="E237" s="81" t="str">
        <f aca="false">_xlfn.IFNA(VLOOKUP(C237,'بيانات الآليات '!A:G,2,FALSE()),"")</f>
        <v/>
      </c>
      <c r="F237" s="81" t="str">
        <f aca="false">_xlfn.IFNA(VLOOKUP(C237,'بيانات الآليات '!A:G,5,FALSE()),"")</f>
        <v/>
      </c>
      <c r="G237" s="82"/>
      <c r="H237" s="83" t="str">
        <f aca="false">_xlfn.IFNA(VLOOKUP(G237,Table14543[],2,FALSE()),"")</f>
        <v/>
      </c>
      <c r="I237" s="84" t="str">
        <f aca="false">_xlfn.IFNA(VLOOKUP(G237,Table14543[],3,FALSE()),"")</f>
        <v/>
      </c>
      <c r="J237" s="83" t="str">
        <f aca="false">CONCATENATE("",G237,""," ",H237," ",I237)</f>
        <v>  </v>
      </c>
      <c r="K237" s="85"/>
      <c r="L237" s="86"/>
      <c r="M237" s="86"/>
      <c r="N237" s="86" t="n">
        <f aca="false">L237*M237</f>
        <v>0</v>
      </c>
      <c r="O237" s="86"/>
      <c r="P237" s="87" t="n">
        <f aca="false">(M237*L237)+O237</f>
        <v>0</v>
      </c>
      <c r="Q237" s="91"/>
    </row>
    <row r="238" customFormat="false" ht="14.25" hidden="false" customHeight="false" outlineLevel="0" collapsed="false">
      <c r="A238" s="77"/>
      <c r="B238" s="78"/>
      <c r="C238" s="79"/>
      <c r="D238" s="80" t="str">
        <f aca="false">_xlfn.IFNA(VLOOKUP(C238,'بيانات الآليات '!A:G,4,FALSE()),"")</f>
        <v/>
      </c>
      <c r="E238" s="81" t="str">
        <f aca="false">_xlfn.IFNA(VLOOKUP(C238,'بيانات الآليات '!A:G,2,FALSE()),"")</f>
        <v/>
      </c>
      <c r="F238" s="81" t="str">
        <f aca="false">_xlfn.IFNA(VLOOKUP(C238,'بيانات الآليات '!A:G,5,FALSE()),"")</f>
        <v/>
      </c>
      <c r="G238" s="82"/>
      <c r="H238" s="83" t="str">
        <f aca="false">_xlfn.IFNA(VLOOKUP(G238,Table14543[],2,FALSE()),"")</f>
        <v/>
      </c>
      <c r="I238" s="84" t="str">
        <f aca="false">_xlfn.IFNA(VLOOKUP(G238,Table14543[],3,FALSE()),"")</f>
        <v/>
      </c>
      <c r="J238" s="83" t="str">
        <f aca="false">CONCATENATE("",G238,""," ",H238," ",I238)</f>
        <v>  </v>
      </c>
      <c r="K238" s="85"/>
      <c r="L238" s="86"/>
      <c r="M238" s="86"/>
      <c r="N238" s="86" t="n">
        <f aca="false">L238*M238</f>
        <v>0</v>
      </c>
      <c r="O238" s="86"/>
      <c r="P238" s="87" t="n">
        <f aca="false">(M238*L238)+O238</f>
        <v>0</v>
      </c>
      <c r="Q238" s="91"/>
    </row>
    <row r="239" customFormat="false" ht="14.25" hidden="false" customHeight="false" outlineLevel="0" collapsed="false">
      <c r="A239" s="77"/>
      <c r="B239" s="78"/>
      <c r="C239" s="79"/>
      <c r="D239" s="80" t="str">
        <f aca="false">_xlfn.IFNA(VLOOKUP(C239,'بيانات الآليات '!A:G,4,FALSE()),"")</f>
        <v/>
      </c>
      <c r="E239" s="81" t="str">
        <f aca="false">_xlfn.IFNA(VLOOKUP(C239,'بيانات الآليات '!A:G,2,FALSE()),"")</f>
        <v/>
      </c>
      <c r="F239" s="81" t="str">
        <f aca="false">_xlfn.IFNA(VLOOKUP(C239,'بيانات الآليات '!A:G,5,FALSE()),"")</f>
        <v/>
      </c>
      <c r="G239" s="82"/>
      <c r="H239" s="83" t="str">
        <f aca="false">_xlfn.IFNA(VLOOKUP(G239,Table14543[],2,FALSE()),"")</f>
        <v/>
      </c>
      <c r="I239" s="84" t="str">
        <f aca="false">_xlfn.IFNA(VLOOKUP(G239,Table14543[],3,FALSE()),"")</f>
        <v/>
      </c>
      <c r="J239" s="83" t="str">
        <f aca="false">CONCATENATE("",G239,""," ",H239," ",I239)</f>
        <v>  </v>
      </c>
      <c r="K239" s="85"/>
      <c r="L239" s="86"/>
      <c r="M239" s="86"/>
      <c r="N239" s="86" t="n">
        <f aca="false">L239*M239</f>
        <v>0</v>
      </c>
      <c r="O239" s="86"/>
      <c r="P239" s="87" t="n">
        <f aca="false">(M239*L239)+O239</f>
        <v>0</v>
      </c>
      <c r="Q239" s="91"/>
    </row>
    <row r="240" customFormat="false" ht="14.25" hidden="false" customHeight="false" outlineLevel="0" collapsed="false">
      <c r="A240" s="77"/>
      <c r="B240" s="78"/>
      <c r="C240" s="79"/>
      <c r="D240" s="80" t="str">
        <f aca="false">_xlfn.IFNA(VLOOKUP(C240,'بيانات الآليات '!A:G,4,FALSE()),"")</f>
        <v/>
      </c>
      <c r="E240" s="81" t="str">
        <f aca="false">_xlfn.IFNA(VLOOKUP(C240,'بيانات الآليات '!A:G,2,FALSE()),"")</f>
        <v/>
      </c>
      <c r="F240" s="81" t="str">
        <f aca="false">_xlfn.IFNA(VLOOKUP(C240,'بيانات الآليات '!A:G,5,FALSE()),"")</f>
        <v/>
      </c>
      <c r="G240" s="82"/>
      <c r="H240" s="83" t="str">
        <f aca="false">_xlfn.IFNA(VLOOKUP(G240,Table14543[],2,FALSE()),"")</f>
        <v/>
      </c>
      <c r="I240" s="84" t="str">
        <f aca="false">_xlfn.IFNA(VLOOKUP(G240,Table14543[],3,FALSE()),"")</f>
        <v/>
      </c>
      <c r="J240" s="83" t="str">
        <f aca="false">CONCATENATE("",G240,""," ",H240," ",I240)</f>
        <v>  </v>
      </c>
      <c r="K240" s="85"/>
      <c r="L240" s="86"/>
      <c r="M240" s="86"/>
      <c r="N240" s="86" t="n">
        <f aca="false">L240*M240</f>
        <v>0</v>
      </c>
      <c r="O240" s="86"/>
      <c r="P240" s="87" t="n">
        <f aca="false">(M240*L240)+O240</f>
        <v>0</v>
      </c>
      <c r="Q240" s="91"/>
    </row>
    <row r="241" customFormat="false" ht="14.25" hidden="false" customHeight="false" outlineLevel="0" collapsed="false">
      <c r="A241" s="77"/>
      <c r="B241" s="78"/>
      <c r="C241" s="79"/>
      <c r="D241" s="80" t="str">
        <f aca="false">_xlfn.IFNA(VLOOKUP(C241,'بيانات الآليات '!A:G,4,FALSE()),"")</f>
        <v/>
      </c>
      <c r="E241" s="81" t="str">
        <f aca="false">_xlfn.IFNA(VLOOKUP(C241,'بيانات الآليات '!A:G,2,FALSE()),"")</f>
        <v/>
      </c>
      <c r="F241" s="81" t="str">
        <f aca="false">_xlfn.IFNA(VLOOKUP(C241,'بيانات الآليات '!A:G,5,FALSE()),"")</f>
        <v/>
      </c>
      <c r="G241" s="82"/>
      <c r="H241" s="83" t="str">
        <f aca="false">_xlfn.IFNA(VLOOKUP(G241,Table14543[],2,FALSE()),"")</f>
        <v/>
      </c>
      <c r="I241" s="84" t="str">
        <f aca="false">_xlfn.IFNA(VLOOKUP(G241,Table14543[],3,FALSE()),"")</f>
        <v/>
      </c>
      <c r="J241" s="83" t="str">
        <f aca="false">CONCATENATE("",G241,""," ",H241," ",I241)</f>
        <v>  </v>
      </c>
      <c r="K241" s="85"/>
      <c r="L241" s="86"/>
      <c r="M241" s="86"/>
      <c r="N241" s="86" t="n">
        <f aca="false">L241*M241</f>
        <v>0</v>
      </c>
      <c r="O241" s="86"/>
      <c r="P241" s="87" t="n">
        <f aca="false">(M241*L241)+O241</f>
        <v>0</v>
      </c>
      <c r="Q241" s="91"/>
    </row>
    <row r="242" customFormat="false" ht="14.25" hidden="false" customHeight="false" outlineLevel="0" collapsed="false">
      <c r="A242" s="77"/>
      <c r="B242" s="78"/>
      <c r="C242" s="79"/>
      <c r="D242" s="80" t="str">
        <f aca="false">_xlfn.IFNA(VLOOKUP(C242,'بيانات الآليات '!A:G,4,FALSE()),"")</f>
        <v/>
      </c>
      <c r="E242" s="81" t="str">
        <f aca="false">_xlfn.IFNA(VLOOKUP(C242,'بيانات الآليات '!A:G,2,FALSE()),"")</f>
        <v/>
      </c>
      <c r="F242" s="81" t="str">
        <f aca="false">_xlfn.IFNA(VLOOKUP(C242,'بيانات الآليات '!A:G,5,FALSE()),"")</f>
        <v/>
      </c>
      <c r="G242" s="82"/>
      <c r="H242" s="83" t="str">
        <f aca="false">_xlfn.IFNA(VLOOKUP(G242,Table14543[],2,FALSE()),"")</f>
        <v/>
      </c>
      <c r="I242" s="84" t="str">
        <f aca="false">_xlfn.IFNA(VLOOKUP(G242,Table14543[],3,FALSE()),"")</f>
        <v/>
      </c>
      <c r="J242" s="83" t="str">
        <f aca="false">CONCATENATE("",G242,""," ",H242," ",I242)</f>
        <v>  </v>
      </c>
      <c r="K242" s="85"/>
      <c r="L242" s="86"/>
      <c r="M242" s="86"/>
      <c r="N242" s="86" t="n">
        <f aca="false">L242*M242</f>
        <v>0</v>
      </c>
      <c r="O242" s="86"/>
      <c r="P242" s="87" t="n">
        <f aca="false">(M242*L242)+O242</f>
        <v>0</v>
      </c>
      <c r="Q242" s="91"/>
    </row>
    <row r="243" customFormat="false" ht="14.25" hidden="false" customHeight="false" outlineLevel="0" collapsed="false">
      <c r="A243" s="77"/>
      <c r="B243" s="78"/>
      <c r="C243" s="79"/>
      <c r="D243" s="80" t="str">
        <f aca="false">_xlfn.IFNA(VLOOKUP(C243,'بيانات الآليات '!A:G,4,FALSE()),"")</f>
        <v/>
      </c>
      <c r="E243" s="81" t="str">
        <f aca="false">_xlfn.IFNA(VLOOKUP(C243,'بيانات الآليات '!A:G,2,FALSE()),"")</f>
        <v/>
      </c>
      <c r="F243" s="81" t="str">
        <f aca="false">_xlfn.IFNA(VLOOKUP(C243,'بيانات الآليات '!A:G,5,FALSE()),"")</f>
        <v/>
      </c>
      <c r="G243" s="82"/>
      <c r="H243" s="83" t="str">
        <f aca="false">_xlfn.IFNA(VLOOKUP(G243,Table14543[],2,FALSE()),"")</f>
        <v/>
      </c>
      <c r="I243" s="84" t="str">
        <f aca="false">_xlfn.IFNA(VLOOKUP(G243,Table14543[],3,FALSE()),"")</f>
        <v/>
      </c>
      <c r="J243" s="83" t="str">
        <f aca="false">CONCATENATE("",G243,""," ",H243," ",I243)</f>
        <v>  </v>
      </c>
      <c r="K243" s="85"/>
      <c r="L243" s="86"/>
      <c r="M243" s="86"/>
      <c r="N243" s="86" t="n">
        <f aca="false">L243*M243</f>
        <v>0</v>
      </c>
      <c r="O243" s="86"/>
      <c r="P243" s="87" t="n">
        <f aca="false">(M243*L243)+O243</f>
        <v>0</v>
      </c>
      <c r="Q243" s="91"/>
    </row>
    <row r="244" customFormat="false" ht="14.25" hidden="false" customHeight="false" outlineLevel="0" collapsed="false">
      <c r="A244" s="77"/>
      <c r="B244" s="78"/>
      <c r="C244" s="79"/>
      <c r="D244" s="80" t="str">
        <f aca="false">_xlfn.IFNA(VLOOKUP(C244,'بيانات الآليات '!A:G,4,FALSE()),"")</f>
        <v/>
      </c>
      <c r="E244" s="81" t="str">
        <f aca="false">_xlfn.IFNA(VLOOKUP(C244,'بيانات الآليات '!A:G,2,FALSE()),"")</f>
        <v/>
      </c>
      <c r="F244" s="81" t="str">
        <f aca="false">_xlfn.IFNA(VLOOKUP(C244,'بيانات الآليات '!A:G,5,FALSE()),"")</f>
        <v/>
      </c>
      <c r="G244" s="82"/>
      <c r="H244" s="83" t="str">
        <f aca="false">_xlfn.IFNA(VLOOKUP(G244,Table14543[],2,FALSE()),"")</f>
        <v/>
      </c>
      <c r="I244" s="84" t="str">
        <f aca="false">_xlfn.IFNA(VLOOKUP(G244,Table14543[],3,FALSE()),"")</f>
        <v/>
      </c>
      <c r="J244" s="83" t="str">
        <f aca="false">CONCATENATE("",G244,""," ",H244," ",I244)</f>
        <v>  </v>
      </c>
      <c r="K244" s="85"/>
      <c r="L244" s="86"/>
      <c r="M244" s="86"/>
      <c r="N244" s="86" t="n">
        <f aca="false">L244*M244</f>
        <v>0</v>
      </c>
      <c r="O244" s="86"/>
      <c r="P244" s="87" t="n">
        <f aca="false">(M244*L244)+O244</f>
        <v>0</v>
      </c>
      <c r="Q244" s="91"/>
    </row>
    <row r="245" customFormat="false" ht="14.25" hidden="false" customHeight="false" outlineLevel="0" collapsed="false">
      <c r="A245" s="77"/>
      <c r="B245" s="78"/>
      <c r="C245" s="79"/>
      <c r="D245" s="80" t="str">
        <f aca="false">_xlfn.IFNA(VLOOKUP(C245,'بيانات الآليات '!A:G,4,FALSE()),"")</f>
        <v/>
      </c>
      <c r="E245" s="81" t="str">
        <f aca="false">_xlfn.IFNA(VLOOKUP(C245,'بيانات الآليات '!A:G,2,FALSE()),"")</f>
        <v/>
      </c>
      <c r="F245" s="81" t="str">
        <f aca="false">_xlfn.IFNA(VLOOKUP(C245,'بيانات الآليات '!A:G,5,FALSE()),"")</f>
        <v/>
      </c>
      <c r="G245" s="82"/>
      <c r="H245" s="83" t="str">
        <f aca="false">_xlfn.IFNA(VLOOKUP(G245,Table14543[],2,FALSE()),"")</f>
        <v/>
      </c>
      <c r="I245" s="84" t="str">
        <f aca="false">_xlfn.IFNA(VLOOKUP(G245,Table14543[],3,FALSE()),"")</f>
        <v/>
      </c>
      <c r="J245" s="83" t="str">
        <f aca="false">CONCATENATE("",G245,""," ",H245," ",I245)</f>
        <v>  </v>
      </c>
      <c r="K245" s="85"/>
      <c r="L245" s="86"/>
      <c r="M245" s="86"/>
      <c r="N245" s="86" t="n">
        <f aca="false">L245*M245</f>
        <v>0</v>
      </c>
      <c r="O245" s="86"/>
      <c r="P245" s="87" t="n">
        <f aca="false">(M245*L245)+O245</f>
        <v>0</v>
      </c>
      <c r="Q245" s="91"/>
    </row>
    <row r="246" customFormat="false" ht="14.25" hidden="false" customHeight="false" outlineLevel="0" collapsed="false">
      <c r="A246" s="77"/>
      <c r="B246" s="78"/>
      <c r="C246" s="79"/>
      <c r="D246" s="80" t="str">
        <f aca="false">_xlfn.IFNA(VLOOKUP(C246,'بيانات الآليات '!A:G,4,FALSE()),"")</f>
        <v/>
      </c>
      <c r="E246" s="81" t="str">
        <f aca="false">_xlfn.IFNA(VLOOKUP(C246,'بيانات الآليات '!A:G,2,FALSE()),"")</f>
        <v/>
      </c>
      <c r="F246" s="81" t="str">
        <f aca="false">_xlfn.IFNA(VLOOKUP(C246,'بيانات الآليات '!A:G,5,FALSE()),"")</f>
        <v/>
      </c>
      <c r="G246" s="82"/>
      <c r="H246" s="83" t="str">
        <f aca="false">_xlfn.IFNA(VLOOKUP(G246,Table14543[],2,FALSE()),"")</f>
        <v/>
      </c>
      <c r="I246" s="84" t="str">
        <f aca="false">_xlfn.IFNA(VLOOKUP(G246,Table14543[],3,FALSE()),"")</f>
        <v/>
      </c>
      <c r="J246" s="83" t="str">
        <f aca="false">CONCATENATE("",G246,""," ",H246," ",I246)</f>
        <v>  </v>
      </c>
      <c r="K246" s="85"/>
      <c r="L246" s="86"/>
      <c r="M246" s="86"/>
      <c r="N246" s="86" t="n">
        <f aca="false">L246*M246</f>
        <v>0</v>
      </c>
      <c r="O246" s="86"/>
      <c r="P246" s="87" t="n">
        <f aca="false">(M246*L246)+O246</f>
        <v>0</v>
      </c>
      <c r="Q246" s="91"/>
    </row>
    <row r="247" customFormat="false" ht="14.25" hidden="false" customHeight="false" outlineLevel="0" collapsed="false">
      <c r="A247" s="77"/>
      <c r="B247" s="78"/>
      <c r="C247" s="79"/>
      <c r="D247" s="80" t="str">
        <f aca="false">_xlfn.IFNA(VLOOKUP(C247,'بيانات الآليات '!A:G,4,FALSE()),"")</f>
        <v/>
      </c>
      <c r="E247" s="81" t="str">
        <f aca="false">_xlfn.IFNA(VLOOKUP(C247,'بيانات الآليات '!A:G,2,FALSE()),"")</f>
        <v/>
      </c>
      <c r="F247" s="81" t="str">
        <f aca="false">_xlfn.IFNA(VLOOKUP(C247,'بيانات الآليات '!A:G,5,FALSE()),"")</f>
        <v/>
      </c>
      <c r="G247" s="82"/>
      <c r="H247" s="83" t="str">
        <f aca="false">_xlfn.IFNA(VLOOKUP(G247,Table14543[],2,FALSE()),"")</f>
        <v/>
      </c>
      <c r="I247" s="84" t="str">
        <f aca="false">_xlfn.IFNA(VLOOKUP(G247,Table14543[],3,FALSE()),"")</f>
        <v/>
      </c>
      <c r="J247" s="83" t="str">
        <f aca="false">CONCATENATE("",G247,""," ",H247," ",I247)</f>
        <v>  </v>
      </c>
      <c r="K247" s="85"/>
      <c r="L247" s="86"/>
      <c r="M247" s="86"/>
      <c r="N247" s="86" t="n">
        <f aca="false">L247*M247</f>
        <v>0</v>
      </c>
      <c r="O247" s="86"/>
      <c r="P247" s="87" t="n">
        <f aca="false">(M247*L247)+O247</f>
        <v>0</v>
      </c>
      <c r="Q247" s="91"/>
    </row>
    <row r="248" customFormat="false" ht="14.25" hidden="false" customHeight="false" outlineLevel="0" collapsed="false">
      <c r="A248" s="77"/>
      <c r="B248" s="78"/>
      <c r="C248" s="79"/>
      <c r="D248" s="80" t="str">
        <f aca="false">_xlfn.IFNA(VLOOKUP(C248,'بيانات الآليات '!A:G,4,FALSE()),"")</f>
        <v/>
      </c>
      <c r="E248" s="81" t="str">
        <f aca="false">_xlfn.IFNA(VLOOKUP(C248,'بيانات الآليات '!A:G,2,FALSE()),"")</f>
        <v/>
      </c>
      <c r="F248" s="81" t="str">
        <f aca="false">_xlfn.IFNA(VLOOKUP(C248,'بيانات الآليات '!A:G,5,FALSE()),"")</f>
        <v/>
      </c>
      <c r="G248" s="82"/>
      <c r="H248" s="83" t="str">
        <f aca="false">_xlfn.IFNA(VLOOKUP(G248,Table14543[],2,FALSE()),"")</f>
        <v/>
      </c>
      <c r="I248" s="84" t="str">
        <f aca="false">_xlfn.IFNA(VLOOKUP(G248,Table14543[],3,FALSE()),"")</f>
        <v/>
      </c>
      <c r="J248" s="83" t="str">
        <f aca="false">CONCATENATE("",G248,""," ",H248," ",I248)</f>
        <v>  </v>
      </c>
      <c r="K248" s="85"/>
      <c r="L248" s="86"/>
      <c r="M248" s="86"/>
      <c r="N248" s="86" t="n">
        <f aca="false">L248*M248</f>
        <v>0</v>
      </c>
      <c r="O248" s="86"/>
      <c r="P248" s="87" t="n">
        <f aca="false">(M248*L248)+O248</f>
        <v>0</v>
      </c>
      <c r="Q248" s="91"/>
    </row>
    <row r="249" customFormat="false" ht="14.25" hidden="false" customHeight="false" outlineLevel="0" collapsed="false">
      <c r="A249" s="77"/>
      <c r="B249" s="78"/>
      <c r="C249" s="79"/>
      <c r="D249" s="80" t="str">
        <f aca="false">_xlfn.IFNA(VLOOKUP(C249,'بيانات الآليات '!A:G,4,FALSE()),"")</f>
        <v/>
      </c>
      <c r="E249" s="81" t="str">
        <f aca="false">_xlfn.IFNA(VLOOKUP(C249,'بيانات الآليات '!A:G,2,FALSE()),"")</f>
        <v/>
      </c>
      <c r="F249" s="81" t="str">
        <f aca="false">_xlfn.IFNA(VLOOKUP(C249,'بيانات الآليات '!A:G,5,FALSE()),"")</f>
        <v/>
      </c>
      <c r="G249" s="82"/>
      <c r="H249" s="83" t="str">
        <f aca="false">_xlfn.IFNA(VLOOKUP(G249,Table14543[],2,FALSE()),"")</f>
        <v/>
      </c>
      <c r="I249" s="84" t="str">
        <f aca="false">_xlfn.IFNA(VLOOKUP(G249,Table14543[],3,FALSE()),"")</f>
        <v/>
      </c>
      <c r="J249" s="83" t="str">
        <f aca="false">CONCATENATE("",G249,""," ",H249," ",I249)</f>
        <v>  </v>
      </c>
      <c r="K249" s="85"/>
      <c r="L249" s="86"/>
      <c r="M249" s="86"/>
      <c r="N249" s="86" t="n">
        <f aca="false">L249*M249</f>
        <v>0</v>
      </c>
      <c r="O249" s="86"/>
      <c r="P249" s="87" t="n">
        <f aca="false">(M249*L249)+O249</f>
        <v>0</v>
      </c>
      <c r="Q249" s="91"/>
    </row>
    <row r="250" customFormat="false" ht="14.25" hidden="false" customHeight="false" outlineLevel="0" collapsed="false">
      <c r="A250" s="77"/>
      <c r="B250" s="78"/>
      <c r="C250" s="79"/>
      <c r="D250" s="80" t="str">
        <f aca="false">_xlfn.IFNA(VLOOKUP(C250,'بيانات الآليات '!A:G,4,FALSE()),"")</f>
        <v/>
      </c>
      <c r="E250" s="81" t="str">
        <f aca="false">_xlfn.IFNA(VLOOKUP(C250,'بيانات الآليات '!A:G,2,FALSE()),"")</f>
        <v/>
      </c>
      <c r="F250" s="81" t="str">
        <f aca="false">_xlfn.IFNA(VLOOKUP(C250,'بيانات الآليات '!A:G,5,FALSE()),"")</f>
        <v/>
      </c>
      <c r="G250" s="82"/>
      <c r="H250" s="83" t="str">
        <f aca="false">_xlfn.IFNA(VLOOKUP(G250,Table14543[],2,FALSE()),"")</f>
        <v/>
      </c>
      <c r="I250" s="84" t="str">
        <f aca="false">_xlfn.IFNA(VLOOKUP(G250,Table14543[],3,FALSE()),"")</f>
        <v/>
      </c>
      <c r="J250" s="83" t="str">
        <f aca="false">CONCATENATE("",G250,""," ",H250," ",I250)</f>
        <v>  </v>
      </c>
      <c r="K250" s="85"/>
      <c r="L250" s="86"/>
      <c r="M250" s="86"/>
      <c r="N250" s="86" t="n">
        <f aca="false">L250*M250</f>
        <v>0</v>
      </c>
      <c r="O250" s="86"/>
      <c r="P250" s="87" t="n">
        <f aca="false">(M250*L250)+O250</f>
        <v>0</v>
      </c>
      <c r="Q250" s="91"/>
    </row>
    <row r="251" customFormat="false" ht="14.25" hidden="false" customHeight="false" outlineLevel="0" collapsed="false">
      <c r="A251" s="77"/>
      <c r="B251" s="78"/>
      <c r="C251" s="79"/>
      <c r="D251" s="80" t="str">
        <f aca="false">_xlfn.IFNA(VLOOKUP(C251,'بيانات الآليات '!A:G,4,FALSE()),"")</f>
        <v/>
      </c>
      <c r="E251" s="81" t="str">
        <f aca="false">_xlfn.IFNA(VLOOKUP(C251,'بيانات الآليات '!A:G,2,FALSE()),"")</f>
        <v/>
      </c>
      <c r="F251" s="81" t="str">
        <f aca="false">_xlfn.IFNA(VLOOKUP(C251,'بيانات الآليات '!A:G,5,FALSE()),"")</f>
        <v/>
      </c>
      <c r="G251" s="82"/>
      <c r="H251" s="83" t="str">
        <f aca="false">_xlfn.IFNA(VLOOKUP(G251,Table14543[],2,FALSE()),"")</f>
        <v/>
      </c>
      <c r="I251" s="84" t="str">
        <f aca="false">_xlfn.IFNA(VLOOKUP(G251,Table14543[],3,FALSE()),"")</f>
        <v/>
      </c>
      <c r="J251" s="83" t="str">
        <f aca="false">CONCATENATE("",G251,""," ",H251," ",I251)</f>
        <v>  </v>
      </c>
      <c r="K251" s="85"/>
      <c r="L251" s="86"/>
      <c r="M251" s="86"/>
      <c r="N251" s="86" t="n">
        <f aca="false">L251*M251</f>
        <v>0</v>
      </c>
      <c r="O251" s="86"/>
      <c r="P251" s="87" t="n">
        <f aca="false">(M251*L251)+O251</f>
        <v>0</v>
      </c>
      <c r="Q251" s="91"/>
    </row>
    <row r="252" customFormat="false" ht="14.25" hidden="false" customHeight="false" outlineLevel="0" collapsed="false">
      <c r="A252" s="77"/>
      <c r="B252" s="78"/>
      <c r="C252" s="79"/>
      <c r="D252" s="80" t="str">
        <f aca="false">_xlfn.IFNA(VLOOKUP(C252,'بيانات الآليات '!A:G,4,FALSE()),"")</f>
        <v/>
      </c>
      <c r="E252" s="81" t="str">
        <f aca="false">_xlfn.IFNA(VLOOKUP(C252,'بيانات الآليات '!A:G,2,FALSE()),"")</f>
        <v/>
      </c>
      <c r="F252" s="81" t="str">
        <f aca="false">_xlfn.IFNA(VLOOKUP(C252,'بيانات الآليات '!A:G,5,FALSE()),"")</f>
        <v/>
      </c>
      <c r="G252" s="82"/>
      <c r="H252" s="83" t="str">
        <f aca="false">_xlfn.IFNA(VLOOKUP(G252,Table14543[],2,FALSE()),"")</f>
        <v/>
      </c>
      <c r="I252" s="84" t="str">
        <f aca="false">_xlfn.IFNA(VLOOKUP(G252,Table14543[],3,FALSE()),"")</f>
        <v/>
      </c>
      <c r="J252" s="83" t="str">
        <f aca="false">CONCATENATE("",G252,""," ",H252," ",I252)</f>
        <v>  </v>
      </c>
      <c r="K252" s="85"/>
      <c r="L252" s="86"/>
      <c r="M252" s="86"/>
      <c r="N252" s="86" t="n">
        <f aca="false">L252*M252</f>
        <v>0</v>
      </c>
      <c r="O252" s="86"/>
      <c r="P252" s="87" t="n">
        <f aca="false">(M252*L252)+O252</f>
        <v>0</v>
      </c>
      <c r="Q252" s="91"/>
    </row>
    <row r="253" customFormat="false" ht="14.25" hidden="false" customHeight="false" outlineLevel="0" collapsed="false">
      <c r="A253" s="77"/>
      <c r="B253" s="78"/>
      <c r="C253" s="79"/>
      <c r="D253" s="80" t="str">
        <f aca="false">_xlfn.IFNA(VLOOKUP(C253,'بيانات الآليات '!A:G,4,FALSE()),"")</f>
        <v/>
      </c>
      <c r="E253" s="81" t="str">
        <f aca="false">_xlfn.IFNA(VLOOKUP(C253,'بيانات الآليات '!A:G,2,FALSE()),"")</f>
        <v/>
      </c>
      <c r="F253" s="81" t="str">
        <f aca="false">_xlfn.IFNA(VLOOKUP(C253,'بيانات الآليات '!A:G,5,FALSE()),"")</f>
        <v/>
      </c>
      <c r="G253" s="82"/>
      <c r="H253" s="83" t="str">
        <f aca="false">_xlfn.IFNA(VLOOKUP(G253,Table14543[],2,FALSE()),"")</f>
        <v/>
      </c>
      <c r="I253" s="84" t="str">
        <f aca="false">_xlfn.IFNA(VLOOKUP(G253,Table14543[],3,FALSE()),"")</f>
        <v/>
      </c>
      <c r="J253" s="83" t="str">
        <f aca="false">CONCATENATE("",G253,""," ",H253," ",I253)</f>
        <v>  </v>
      </c>
      <c r="K253" s="85"/>
      <c r="L253" s="86"/>
      <c r="M253" s="86"/>
      <c r="N253" s="86" t="n">
        <f aca="false">L253*M253</f>
        <v>0</v>
      </c>
      <c r="O253" s="86"/>
      <c r="P253" s="87" t="n">
        <f aca="false">(M253*L253)+O253</f>
        <v>0</v>
      </c>
      <c r="Q253" s="91"/>
    </row>
    <row r="254" customFormat="false" ht="14.25" hidden="false" customHeight="false" outlineLevel="0" collapsed="false">
      <c r="A254" s="77"/>
      <c r="B254" s="78"/>
      <c r="C254" s="79"/>
      <c r="D254" s="80" t="str">
        <f aca="false">_xlfn.IFNA(VLOOKUP(C254,'بيانات الآليات '!A:G,4,FALSE()),"")</f>
        <v/>
      </c>
      <c r="E254" s="81" t="str">
        <f aca="false">_xlfn.IFNA(VLOOKUP(C254,'بيانات الآليات '!A:G,2,FALSE()),"")</f>
        <v/>
      </c>
      <c r="F254" s="81" t="str">
        <f aca="false">_xlfn.IFNA(VLOOKUP(C254,'بيانات الآليات '!A:G,5,FALSE()),"")</f>
        <v/>
      </c>
      <c r="G254" s="82"/>
      <c r="H254" s="83" t="str">
        <f aca="false">_xlfn.IFNA(VLOOKUP(G254,Table14543[],2,FALSE()),"")</f>
        <v/>
      </c>
      <c r="I254" s="84" t="str">
        <f aca="false">_xlfn.IFNA(VLOOKUP(G254,Table14543[],3,FALSE()),"")</f>
        <v/>
      </c>
      <c r="J254" s="83" t="str">
        <f aca="false">CONCATENATE("",G254,""," ",H254," ",I254)</f>
        <v>  </v>
      </c>
      <c r="K254" s="85"/>
      <c r="L254" s="86"/>
      <c r="M254" s="86"/>
      <c r="N254" s="86" t="n">
        <f aca="false">L254*M254</f>
        <v>0</v>
      </c>
      <c r="O254" s="86"/>
      <c r="P254" s="87" t="n">
        <f aca="false">(M254*L254)+O254</f>
        <v>0</v>
      </c>
      <c r="Q254" s="91"/>
    </row>
    <row r="255" customFormat="false" ht="14.25" hidden="false" customHeight="false" outlineLevel="0" collapsed="false">
      <c r="A255" s="77"/>
      <c r="B255" s="78"/>
      <c r="C255" s="79"/>
      <c r="D255" s="80" t="str">
        <f aca="false">_xlfn.IFNA(VLOOKUP(C255,'بيانات الآليات '!A:G,4,FALSE()),"")</f>
        <v/>
      </c>
      <c r="E255" s="81" t="str">
        <f aca="false">_xlfn.IFNA(VLOOKUP(C255,'بيانات الآليات '!A:G,2,FALSE()),"")</f>
        <v/>
      </c>
      <c r="F255" s="81" t="str">
        <f aca="false">_xlfn.IFNA(VLOOKUP(C255,'بيانات الآليات '!A:G,5,FALSE()),"")</f>
        <v/>
      </c>
      <c r="G255" s="82"/>
      <c r="H255" s="83" t="str">
        <f aca="false">_xlfn.IFNA(VLOOKUP(G255,Table14543[],2,FALSE()),"")</f>
        <v/>
      </c>
      <c r="I255" s="84" t="str">
        <f aca="false">_xlfn.IFNA(VLOOKUP(G255,Table14543[],3,FALSE()),"")</f>
        <v/>
      </c>
      <c r="J255" s="83" t="str">
        <f aca="false">CONCATENATE("",G255,""," ",H255," ",I255)</f>
        <v>  </v>
      </c>
      <c r="K255" s="85"/>
      <c r="L255" s="86"/>
      <c r="M255" s="86"/>
      <c r="N255" s="86" t="n">
        <f aca="false">L255*M255</f>
        <v>0</v>
      </c>
      <c r="O255" s="86"/>
      <c r="P255" s="87" t="n">
        <f aca="false">(M255*L255)+O255</f>
        <v>0</v>
      </c>
      <c r="Q255" s="91"/>
    </row>
    <row r="256" customFormat="false" ht="14.25" hidden="false" customHeight="false" outlineLevel="0" collapsed="false">
      <c r="A256" s="77"/>
      <c r="B256" s="78"/>
      <c r="C256" s="79"/>
      <c r="D256" s="80" t="str">
        <f aca="false">_xlfn.IFNA(VLOOKUP(C256,'بيانات الآليات '!A:G,4,FALSE()),"")</f>
        <v/>
      </c>
      <c r="E256" s="81" t="str">
        <f aca="false">_xlfn.IFNA(VLOOKUP(C256,'بيانات الآليات '!A:G,2,FALSE()),"")</f>
        <v/>
      </c>
      <c r="F256" s="81" t="str">
        <f aca="false">_xlfn.IFNA(VLOOKUP(C256,'بيانات الآليات '!A:G,5,FALSE()),"")</f>
        <v/>
      </c>
      <c r="G256" s="82"/>
      <c r="H256" s="83" t="str">
        <f aca="false">_xlfn.IFNA(VLOOKUP(G256,Table14543[],2,FALSE()),"")</f>
        <v/>
      </c>
      <c r="I256" s="84" t="str">
        <f aca="false">_xlfn.IFNA(VLOOKUP(G256,Table14543[],3,FALSE()),"")</f>
        <v/>
      </c>
      <c r="J256" s="83" t="str">
        <f aca="false">CONCATENATE("",G256,""," ",H256," ",I256)</f>
        <v>  </v>
      </c>
      <c r="K256" s="85"/>
      <c r="L256" s="86"/>
      <c r="M256" s="86"/>
      <c r="N256" s="86" t="n">
        <f aca="false">L256*M256</f>
        <v>0</v>
      </c>
      <c r="O256" s="86"/>
      <c r="P256" s="87" t="n">
        <f aca="false">(M256*L256)+O256</f>
        <v>0</v>
      </c>
      <c r="Q256" s="91"/>
    </row>
    <row r="257" customFormat="false" ht="14.25" hidden="false" customHeight="false" outlineLevel="0" collapsed="false">
      <c r="A257" s="77"/>
      <c r="B257" s="78"/>
      <c r="C257" s="79"/>
      <c r="D257" s="80" t="str">
        <f aca="false">_xlfn.IFNA(VLOOKUP(C257,'بيانات الآليات '!A:G,4,FALSE()),"")</f>
        <v/>
      </c>
      <c r="E257" s="81" t="str">
        <f aca="false">_xlfn.IFNA(VLOOKUP(C257,'بيانات الآليات '!A:G,2,FALSE()),"")</f>
        <v/>
      </c>
      <c r="F257" s="81" t="str">
        <f aca="false">_xlfn.IFNA(VLOOKUP(C257,'بيانات الآليات '!A:G,5,FALSE()),"")</f>
        <v/>
      </c>
      <c r="G257" s="82"/>
      <c r="H257" s="83" t="str">
        <f aca="false">_xlfn.IFNA(VLOOKUP(G257,Table14543[],2,FALSE()),"")</f>
        <v/>
      </c>
      <c r="I257" s="84" t="str">
        <f aca="false">_xlfn.IFNA(VLOOKUP(G257,Table14543[],3,FALSE()),"")</f>
        <v/>
      </c>
      <c r="J257" s="83" t="str">
        <f aca="false">CONCATENATE("",G257,""," ",H257," ",I257)</f>
        <v>  </v>
      </c>
      <c r="K257" s="85"/>
      <c r="L257" s="86"/>
      <c r="M257" s="86"/>
      <c r="N257" s="86" t="n">
        <f aca="false">L257*M257</f>
        <v>0</v>
      </c>
      <c r="O257" s="86"/>
      <c r="P257" s="87" t="n">
        <f aca="false">(M257*L257)+O257</f>
        <v>0</v>
      </c>
      <c r="Q257" s="91"/>
    </row>
    <row r="258" customFormat="false" ht="14.25" hidden="false" customHeight="false" outlineLevel="0" collapsed="false">
      <c r="A258" s="77"/>
      <c r="B258" s="78"/>
      <c r="C258" s="79"/>
      <c r="D258" s="80" t="str">
        <f aca="false">_xlfn.IFNA(VLOOKUP(C258,'بيانات الآليات '!A:G,4,FALSE()),"")</f>
        <v/>
      </c>
      <c r="E258" s="81" t="str">
        <f aca="false">_xlfn.IFNA(VLOOKUP(C258,'بيانات الآليات '!A:G,2,FALSE()),"")</f>
        <v/>
      </c>
      <c r="F258" s="81" t="str">
        <f aca="false">_xlfn.IFNA(VLOOKUP(C258,'بيانات الآليات '!A:G,5,FALSE()),"")</f>
        <v/>
      </c>
      <c r="G258" s="82"/>
      <c r="H258" s="83" t="str">
        <f aca="false">_xlfn.IFNA(VLOOKUP(G258,Table14543[],2,FALSE()),"")</f>
        <v/>
      </c>
      <c r="I258" s="84" t="str">
        <f aca="false">_xlfn.IFNA(VLOOKUP(G258,Table14543[],3,FALSE()),"")</f>
        <v/>
      </c>
      <c r="J258" s="83" t="str">
        <f aca="false">CONCATENATE("",G258,""," ",H258," ",I258)</f>
        <v>  </v>
      </c>
      <c r="K258" s="85"/>
      <c r="L258" s="86"/>
      <c r="M258" s="86"/>
      <c r="N258" s="86" t="n">
        <f aca="false">L258*M258</f>
        <v>0</v>
      </c>
      <c r="O258" s="86"/>
      <c r="P258" s="87" t="n">
        <f aca="false">(M258*L258)+O258</f>
        <v>0</v>
      </c>
      <c r="Q258" s="91"/>
    </row>
    <row r="259" customFormat="false" ht="14.25" hidden="false" customHeight="false" outlineLevel="0" collapsed="false">
      <c r="A259" s="77"/>
      <c r="B259" s="78"/>
      <c r="C259" s="79"/>
      <c r="D259" s="80" t="str">
        <f aca="false">_xlfn.IFNA(VLOOKUP(C259,'بيانات الآليات '!A:G,4,FALSE()),"")</f>
        <v/>
      </c>
      <c r="E259" s="81" t="str">
        <f aca="false">_xlfn.IFNA(VLOOKUP(C259,'بيانات الآليات '!A:G,2,FALSE()),"")</f>
        <v/>
      </c>
      <c r="F259" s="81" t="str">
        <f aca="false">_xlfn.IFNA(VLOOKUP(C259,'بيانات الآليات '!A:G,5,FALSE()),"")</f>
        <v/>
      </c>
      <c r="G259" s="82"/>
      <c r="H259" s="83" t="str">
        <f aca="false">_xlfn.IFNA(VLOOKUP(G259,Table14543[],2,FALSE()),"")</f>
        <v/>
      </c>
      <c r="I259" s="84" t="str">
        <f aca="false">_xlfn.IFNA(VLOOKUP(G259,Table14543[],3,FALSE()),"")</f>
        <v/>
      </c>
      <c r="J259" s="83" t="str">
        <f aca="false">CONCATENATE("",G259,""," ",H259," ",I259)</f>
        <v>  </v>
      </c>
      <c r="K259" s="85"/>
      <c r="L259" s="86"/>
      <c r="M259" s="86"/>
      <c r="N259" s="86" t="n">
        <f aca="false">L259*M259</f>
        <v>0</v>
      </c>
      <c r="O259" s="86"/>
      <c r="P259" s="87" t="n">
        <f aca="false">(M259*L259)+O259</f>
        <v>0</v>
      </c>
      <c r="Q259" s="91"/>
    </row>
    <row r="260" customFormat="false" ht="14.25" hidden="false" customHeight="false" outlineLevel="0" collapsed="false">
      <c r="A260" s="77"/>
      <c r="B260" s="78"/>
      <c r="C260" s="79"/>
      <c r="D260" s="80" t="str">
        <f aca="false">_xlfn.IFNA(VLOOKUP(C260,'بيانات الآليات '!A:G,4,FALSE()),"")</f>
        <v/>
      </c>
      <c r="E260" s="81" t="str">
        <f aca="false">_xlfn.IFNA(VLOOKUP(C260,'بيانات الآليات '!A:G,2,FALSE()),"")</f>
        <v/>
      </c>
      <c r="F260" s="81" t="str">
        <f aca="false">_xlfn.IFNA(VLOOKUP(C260,'بيانات الآليات '!A:G,5,FALSE()),"")</f>
        <v/>
      </c>
      <c r="G260" s="82"/>
      <c r="H260" s="83" t="str">
        <f aca="false">_xlfn.IFNA(VLOOKUP(G260,Table14543[],2,FALSE()),"")</f>
        <v/>
      </c>
      <c r="I260" s="84" t="str">
        <f aca="false">_xlfn.IFNA(VLOOKUP(G260,Table14543[],3,FALSE()),"")</f>
        <v/>
      </c>
      <c r="J260" s="83" t="str">
        <f aca="false">CONCATENATE("",G260,""," ",H260," ",I260)</f>
        <v>  </v>
      </c>
      <c r="K260" s="85"/>
      <c r="L260" s="86"/>
      <c r="M260" s="86"/>
      <c r="N260" s="86" t="n">
        <f aca="false">L260*M260</f>
        <v>0</v>
      </c>
      <c r="O260" s="86"/>
      <c r="P260" s="87" t="n">
        <f aca="false">(M260*L260)+O260</f>
        <v>0</v>
      </c>
      <c r="Q260" s="91"/>
    </row>
    <row r="261" customFormat="false" ht="14.25" hidden="false" customHeight="false" outlineLevel="0" collapsed="false">
      <c r="A261" s="77"/>
      <c r="B261" s="78"/>
      <c r="C261" s="79"/>
      <c r="D261" s="80" t="str">
        <f aca="false">_xlfn.IFNA(VLOOKUP(C261,'بيانات الآليات '!A:G,4,FALSE()),"")</f>
        <v/>
      </c>
      <c r="E261" s="81" t="str">
        <f aca="false">_xlfn.IFNA(VLOOKUP(C261,'بيانات الآليات '!A:G,2,FALSE()),"")</f>
        <v/>
      </c>
      <c r="F261" s="81" t="str">
        <f aca="false">_xlfn.IFNA(VLOOKUP(C261,'بيانات الآليات '!A:G,5,FALSE()),"")</f>
        <v/>
      </c>
      <c r="G261" s="82"/>
      <c r="H261" s="83" t="str">
        <f aca="false">_xlfn.IFNA(VLOOKUP(G261,Table14543[],2,FALSE()),"")</f>
        <v/>
      </c>
      <c r="I261" s="84" t="str">
        <f aca="false">_xlfn.IFNA(VLOOKUP(G261,Table14543[],3,FALSE()),"")</f>
        <v/>
      </c>
      <c r="J261" s="83" t="str">
        <f aca="false">CONCATENATE("",G261,""," ",H261," ",I261)</f>
        <v>  </v>
      </c>
      <c r="K261" s="85"/>
      <c r="L261" s="86"/>
      <c r="M261" s="86"/>
      <c r="N261" s="86" t="n">
        <f aca="false">L261*M261</f>
        <v>0</v>
      </c>
      <c r="O261" s="86"/>
      <c r="P261" s="87" t="n">
        <f aca="false">(M261*L261)+O261</f>
        <v>0</v>
      </c>
      <c r="Q261" s="91"/>
    </row>
    <row r="262" customFormat="false" ht="14.25" hidden="false" customHeight="false" outlineLevel="0" collapsed="false">
      <c r="A262" s="77"/>
      <c r="B262" s="78"/>
      <c r="C262" s="79"/>
      <c r="D262" s="80" t="str">
        <f aca="false">_xlfn.IFNA(VLOOKUP(C262,'بيانات الآليات '!A:G,4,FALSE()),"")</f>
        <v/>
      </c>
      <c r="E262" s="81" t="str">
        <f aca="false">_xlfn.IFNA(VLOOKUP(C262,'بيانات الآليات '!A:G,2,FALSE()),"")</f>
        <v/>
      </c>
      <c r="F262" s="81" t="str">
        <f aca="false">_xlfn.IFNA(VLOOKUP(C262,'بيانات الآليات '!A:G,5,FALSE()),"")</f>
        <v/>
      </c>
      <c r="G262" s="82"/>
      <c r="H262" s="83" t="str">
        <f aca="false">_xlfn.IFNA(VLOOKUP(G262,Table14543[],2,FALSE()),"")</f>
        <v/>
      </c>
      <c r="I262" s="84" t="str">
        <f aca="false">_xlfn.IFNA(VLOOKUP(G262,Table14543[],3,FALSE()),"")</f>
        <v/>
      </c>
      <c r="J262" s="83" t="str">
        <f aca="false">CONCATENATE("",G262,""," ",H262," ",I262)</f>
        <v>  </v>
      </c>
      <c r="K262" s="85"/>
      <c r="L262" s="86"/>
      <c r="M262" s="86"/>
      <c r="N262" s="86" t="n">
        <f aca="false">L262*M262</f>
        <v>0</v>
      </c>
      <c r="O262" s="86"/>
      <c r="P262" s="87" t="n">
        <f aca="false">(M262*L262)+O262</f>
        <v>0</v>
      </c>
      <c r="Q262" s="91"/>
    </row>
    <row r="263" customFormat="false" ht="14.25" hidden="false" customHeight="false" outlineLevel="0" collapsed="false">
      <c r="A263" s="77"/>
      <c r="B263" s="78"/>
      <c r="C263" s="79"/>
      <c r="D263" s="80" t="str">
        <f aca="false">_xlfn.IFNA(VLOOKUP(C263,'بيانات الآليات '!A:G,4,FALSE()),"")</f>
        <v/>
      </c>
      <c r="E263" s="81" t="str">
        <f aca="false">_xlfn.IFNA(VLOOKUP(C263,'بيانات الآليات '!A:G,2,FALSE()),"")</f>
        <v/>
      </c>
      <c r="F263" s="81" t="str">
        <f aca="false">_xlfn.IFNA(VLOOKUP(C263,'بيانات الآليات '!A:G,5,FALSE()),"")</f>
        <v/>
      </c>
      <c r="G263" s="82"/>
      <c r="H263" s="83" t="str">
        <f aca="false">_xlfn.IFNA(VLOOKUP(G263,Table14543[],2,FALSE()),"")</f>
        <v/>
      </c>
      <c r="I263" s="84" t="str">
        <f aca="false">_xlfn.IFNA(VLOOKUP(G263,Table14543[],3,FALSE()),"")</f>
        <v/>
      </c>
      <c r="J263" s="83" t="str">
        <f aca="false">CONCATENATE("",G263,""," ",H263," ",I263)</f>
        <v>  </v>
      </c>
      <c r="K263" s="85"/>
      <c r="L263" s="86"/>
      <c r="M263" s="86"/>
      <c r="N263" s="86" t="n">
        <f aca="false">L263*M263</f>
        <v>0</v>
      </c>
      <c r="O263" s="86"/>
      <c r="P263" s="87" t="n">
        <f aca="false">(M263*L263)+O263</f>
        <v>0</v>
      </c>
      <c r="Q263" s="91"/>
    </row>
    <row r="264" customFormat="false" ht="14.25" hidden="false" customHeight="false" outlineLevel="0" collapsed="false">
      <c r="A264" s="77"/>
      <c r="B264" s="78"/>
      <c r="C264" s="79"/>
      <c r="D264" s="80" t="str">
        <f aca="false">_xlfn.IFNA(VLOOKUP(C264,'بيانات الآليات '!A:G,4,FALSE()),"")</f>
        <v/>
      </c>
      <c r="E264" s="81" t="str">
        <f aca="false">_xlfn.IFNA(VLOOKUP(C264,'بيانات الآليات '!A:G,2,FALSE()),"")</f>
        <v/>
      </c>
      <c r="F264" s="81" t="str">
        <f aca="false">_xlfn.IFNA(VLOOKUP(C264,'بيانات الآليات '!A:G,5,FALSE()),"")</f>
        <v/>
      </c>
      <c r="G264" s="82"/>
      <c r="H264" s="83" t="str">
        <f aca="false">_xlfn.IFNA(VLOOKUP(G264,Table14543[],2,FALSE()),"")</f>
        <v/>
      </c>
      <c r="I264" s="84" t="str">
        <f aca="false">_xlfn.IFNA(VLOOKUP(G264,Table14543[],3,FALSE()),"")</f>
        <v/>
      </c>
      <c r="J264" s="83" t="str">
        <f aca="false">CONCATENATE("",G264,""," ",H264," ",I264)</f>
        <v>  </v>
      </c>
      <c r="K264" s="85"/>
      <c r="L264" s="86"/>
      <c r="M264" s="86"/>
      <c r="N264" s="86" t="n">
        <f aca="false">L264*M264</f>
        <v>0</v>
      </c>
      <c r="O264" s="86"/>
      <c r="P264" s="87" t="n">
        <f aca="false">(M264*L264)+O264</f>
        <v>0</v>
      </c>
      <c r="Q264" s="91"/>
    </row>
    <row r="265" customFormat="false" ht="14.25" hidden="false" customHeight="false" outlineLevel="0" collapsed="false">
      <c r="A265" s="77"/>
      <c r="B265" s="78"/>
      <c r="C265" s="79"/>
      <c r="D265" s="80" t="str">
        <f aca="false">_xlfn.IFNA(VLOOKUP(C265,'بيانات الآليات '!A:G,4,FALSE()),"")</f>
        <v/>
      </c>
      <c r="E265" s="81" t="str">
        <f aca="false">_xlfn.IFNA(VLOOKUP(C265,'بيانات الآليات '!A:G,2,FALSE()),"")</f>
        <v/>
      </c>
      <c r="F265" s="81" t="str">
        <f aca="false">_xlfn.IFNA(VLOOKUP(C265,'بيانات الآليات '!A:G,5,FALSE()),"")</f>
        <v/>
      </c>
      <c r="G265" s="82"/>
      <c r="H265" s="83" t="str">
        <f aca="false">_xlfn.IFNA(VLOOKUP(G265,Table14543[],2,FALSE()),"")</f>
        <v/>
      </c>
      <c r="I265" s="84" t="str">
        <f aca="false">_xlfn.IFNA(VLOOKUP(G265,Table14543[],3,FALSE()),"")</f>
        <v/>
      </c>
      <c r="J265" s="83" t="str">
        <f aca="false">CONCATENATE("",G265,""," ",H265," ",I265)</f>
        <v>  </v>
      </c>
      <c r="K265" s="85"/>
      <c r="L265" s="86"/>
      <c r="M265" s="86"/>
      <c r="N265" s="86" t="n">
        <f aca="false">L265*M265</f>
        <v>0</v>
      </c>
      <c r="O265" s="86"/>
      <c r="P265" s="87" t="n">
        <f aca="false">(M265*L265)+O265</f>
        <v>0</v>
      </c>
      <c r="Q265" s="91"/>
    </row>
    <row r="266" customFormat="false" ht="14.25" hidden="false" customHeight="false" outlineLevel="0" collapsed="false">
      <c r="A266" s="77"/>
      <c r="B266" s="78"/>
      <c r="C266" s="79"/>
      <c r="D266" s="80" t="str">
        <f aca="false">_xlfn.IFNA(VLOOKUP(C266,'بيانات الآليات '!A:G,4,FALSE()),"")</f>
        <v/>
      </c>
      <c r="E266" s="81" t="str">
        <f aca="false">_xlfn.IFNA(VLOOKUP(C266,'بيانات الآليات '!A:G,2,FALSE()),"")</f>
        <v/>
      </c>
      <c r="F266" s="81" t="str">
        <f aca="false">_xlfn.IFNA(VLOOKUP(C266,'بيانات الآليات '!A:G,5,FALSE()),"")</f>
        <v/>
      </c>
      <c r="G266" s="82"/>
      <c r="H266" s="83" t="str">
        <f aca="false">_xlfn.IFNA(VLOOKUP(G266,Table14543[],2,FALSE()),"")</f>
        <v/>
      </c>
      <c r="I266" s="84" t="str">
        <f aca="false">_xlfn.IFNA(VLOOKUP(G266,Table14543[],3,FALSE()),"")</f>
        <v/>
      </c>
      <c r="J266" s="83" t="str">
        <f aca="false">CONCATENATE("",G266,""," ",H266," ",I266)</f>
        <v>  </v>
      </c>
      <c r="K266" s="85"/>
      <c r="L266" s="86"/>
      <c r="M266" s="86"/>
      <c r="N266" s="86" t="n">
        <f aca="false">L266*M266</f>
        <v>0</v>
      </c>
      <c r="O266" s="86"/>
      <c r="P266" s="87" t="n">
        <f aca="false">(M266*L266)+O266</f>
        <v>0</v>
      </c>
      <c r="Q266" s="91"/>
    </row>
    <row r="267" customFormat="false" ht="14.25" hidden="false" customHeight="false" outlineLevel="0" collapsed="false">
      <c r="A267" s="77"/>
      <c r="B267" s="78"/>
      <c r="C267" s="79"/>
      <c r="D267" s="80" t="str">
        <f aca="false">_xlfn.IFNA(VLOOKUP(C267,'بيانات الآليات '!A:G,4,FALSE()),"")</f>
        <v/>
      </c>
      <c r="E267" s="81" t="str">
        <f aca="false">_xlfn.IFNA(VLOOKUP(C267,'بيانات الآليات '!A:G,2,FALSE()),"")</f>
        <v/>
      </c>
      <c r="F267" s="81" t="str">
        <f aca="false">_xlfn.IFNA(VLOOKUP(C267,'بيانات الآليات '!A:G,5,FALSE()),"")</f>
        <v/>
      </c>
      <c r="G267" s="82"/>
      <c r="H267" s="83" t="str">
        <f aca="false">_xlfn.IFNA(VLOOKUP(G267,Table14543[],2,FALSE()),"")</f>
        <v/>
      </c>
      <c r="I267" s="84" t="str">
        <f aca="false">_xlfn.IFNA(VLOOKUP(G267,Table14543[],3,FALSE()),"")</f>
        <v/>
      </c>
      <c r="J267" s="83" t="str">
        <f aca="false">CONCATENATE("",G267,""," ",H267," ",I267)</f>
        <v>  </v>
      </c>
      <c r="K267" s="85"/>
      <c r="L267" s="86"/>
      <c r="M267" s="86"/>
      <c r="N267" s="86" t="n">
        <f aca="false">L267*M267</f>
        <v>0</v>
      </c>
      <c r="O267" s="86"/>
      <c r="P267" s="87" t="n">
        <f aca="false">(M267*L267)+O267</f>
        <v>0</v>
      </c>
      <c r="Q267" s="91"/>
    </row>
    <row r="268" customFormat="false" ht="14.25" hidden="false" customHeight="false" outlineLevel="0" collapsed="false">
      <c r="A268" s="77"/>
      <c r="B268" s="78"/>
      <c r="C268" s="79"/>
      <c r="D268" s="80" t="str">
        <f aca="false">_xlfn.IFNA(VLOOKUP(C268,'بيانات الآليات '!A:G,4,FALSE()),"")</f>
        <v/>
      </c>
      <c r="E268" s="81" t="str">
        <f aca="false">_xlfn.IFNA(VLOOKUP(C268,'بيانات الآليات '!A:G,2,FALSE()),"")</f>
        <v/>
      </c>
      <c r="F268" s="81" t="str">
        <f aca="false">_xlfn.IFNA(VLOOKUP(C268,'بيانات الآليات '!A:G,5,FALSE()),"")</f>
        <v/>
      </c>
      <c r="G268" s="82"/>
      <c r="H268" s="83" t="str">
        <f aca="false">_xlfn.IFNA(VLOOKUP(G268,Table14543[],2,FALSE()),"")</f>
        <v/>
      </c>
      <c r="I268" s="84" t="str">
        <f aca="false">_xlfn.IFNA(VLOOKUP(G268,Table14543[],3,FALSE()),"")</f>
        <v/>
      </c>
      <c r="J268" s="83" t="str">
        <f aca="false">CONCATENATE("",G268,""," ",H268," ",I268)</f>
        <v>  </v>
      </c>
      <c r="K268" s="85"/>
      <c r="L268" s="86"/>
      <c r="M268" s="86"/>
      <c r="N268" s="86" t="n">
        <f aca="false">L268*M268</f>
        <v>0</v>
      </c>
      <c r="O268" s="86"/>
      <c r="P268" s="87" t="n">
        <f aca="false">(M268*L268)+O268</f>
        <v>0</v>
      </c>
      <c r="Q268" s="91"/>
    </row>
    <row r="269" customFormat="false" ht="14.25" hidden="false" customHeight="false" outlineLevel="0" collapsed="false">
      <c r="A269" s="77"/>
      <c r="B269" s="78"/>
      <c r="C269" s="79"/>
      <c r="D269" s="80" t="str">
        <f aca="false">_xlfn.IFNA(VLOOKUP(C269,'بيانات الآليات '!A:G,4,FALSE()),"")</f>
        <v/>
      </c>
      <c r="E269" s="81" t="str">
        <f aca="false">_xlfn.IFNA(VLOOKUP(C269,'بيانات الآليات '!A:G,2,FALSE()),"")</f>
        <v/>
      </c>
      <c r="F269" s="81" t="str">
        <f aca="false">_xlfn.IFNA(VLOOKUP(C269,'بيانات الآليات '!A:G,5,FALSE()),"")</f>
        <v/>
      </c>
      <c r="G269" s="82"/>
      <c r="H269" s="83" t="str">
        <f aca="false">_xlfn.IFNA(VLOOKUP(G269,Table14543[],2,FALSE()),"")</f>
        <v/>
      </c>
      <c r="I269" s="84" t="str">
        <f aca="false">_xlfn.IFNA(VLOOKUP(G269,Table14543[],3,FALSE()),"")</f>
        <v/>
      </c>
      <c r="J269" s="83" t="str">
        <f aca="false">CONCATENATE("",G269,""," ",H269," ",I269)</f>
        <v>  </v>
      </c>
      <c r="K269" s="85"/>
      <c r="L269" s="86"/>
      <c r="M269" s="86"/>
      <c r="N269" s="86" t="n">
        <f aca="false">L269*M269</f>
        <v>0</v>
      </c>
      <c r="O269" s="86"/>
      <c r="P269" s="87" t="n">
        <f aca="false">(M269*L269)+O269</f>
        <v>0</v>
      </c>
      <c r="Q269" s="91"/>
    </row>
    <row r="270" customFormat="false" ht="14.25" hidden="false" customHeight="false" outlineLevel="0" collapsed="false">
      <c r="A270" s="77"/>
      <c r="B270" s="78"/>
      <c r="C270" s="79"/>
      <c r="D270" s="80" t="str">
        <f aca="false">_xlfn.IFNA(VLOOKUP(C270,'بيانات الآليات '!A:G,4,FALSE()),"")</f>
        <v/>
      </c>
      <c r="E270" s="81" t="str">
        <f aca="false">_xlfn.IFNA(VLOOKUP(C270,'بيانات الآليات '!A:G,2,FALSE()),"")</f>
        <v/>
      </c>
      <c r="F270" s="81" t="str">
        <f aca="false">_xlfn.IFNA(VLOOKUP(C270,'بيانات الآليات '!A:G,5,FALSE()),"")</f>
        <v/>
      </c>
      <c r="G270" s="82"/>
      <c r="H270" s="83" t="str">
        <f aca="false">_xlfn.IFNA(VLOOKUP(G270,Table14543[],2,FALSE()),"")</f>
        <v/>
      </c>
      <c r="I270" s="84" t="str">
        <f aca="false">_xlfn.IFNA(VLOOKUP(G270,Table14543[],3,FALSE()),"")</f>
        <v/>
      </c>
      <c r="J270" s="83" t="str">
        <f aca="false">CONCATENATE("",G270,""," ",H270," ",I270)</f>
        <v>  </v>
      </c>
      <c r="K270" s="85"/>
      <c r="L270" s="86"/>
      <c r="M270" s="86"/>
      <c r="N270" s="86" t="n">
        <f aca="false">L270*M270</f>
        <v>0</v>
      </c>
      <c r="O270" s="86"/>
      <c r="P270" s="87" t="n">
        <f aca="false">(M270*L270)+O270</f>
        <v>0</v>
      </c>
      <c r="Q270" s="91"/>
    </row>
    <row r="271" customFormat="false" ht="14.25" hidden="false" customHeight="false" outlineLevel="0" collapsed="false">
      <c r="A271" s="77"/>
      <c r="B271" s="78"/>
      <c r="C271" s="79"/>
      <c r="D271" s="80" t="str">
        <f aca="false">_xlfn.IFNA(VLOOKUP(C271,'بيانات الآليات '!A:G,4,FALSE()),"")</f>
        <v/>
      </c>
      <c r="E271" s="81" t="str">
        <f aca="false">_xlfn.IFNA(VLOOKUP(C271,'بيانات الآليات '!A:G,2,FALSE()),"")</f>
        <v/>
      </c>
      <c r="F271" s="81" t="str">
        <f aca="false">_xlfn.IFNA(VLOOKUP(C271,'بيانات الآليات '!A:G,5,FALSE()),"")</f>
        <v/>
      </c>
      <c r="G271" s="82"/>
      <c r="H271" s="83" t="str">
        <f aca="false">_xlfn.IFNA(VLOOKUP(G271,Table14543[],2,FALSE()),"")</f>
        <v/>
      </c>
      <c r="I271" s="84" t="str">
        <f aca="false">_xlfn.IFNA(VLOOKUP(G271,Table14543[],3,FALSE()),"")</f>
        <v/>
      </c>
      <c r="J271" s="83" t="str">
        <f aca="false">CONCATENATE("",G271,""," ",H271," ",I271)</f>
        <v>  </v>
      </c>
      <c r="K271" s="85"/>
      <c r="L271" s="86"/>
      <c r="M271" s="86"/>
      <c r="N271" s="86" t="n">
        <f aca="false">L271*M271</f>
        <v>0</v>
      </c>
      <c r="O271" s="86"/>
      <c r="P271" s="87" t="n">
        <f aca="false">(M271*L271)+O271</f>
        <v>0</v>
      </c>
      <c r="Q271" s="91"/>
    </row>
    <row r="272" customFormat="false" ht="14.25" hidden="false" customHeight="false" outlineLevel="0" collapsed="false">
      <c r="A272" s="77"/>
      <c r="B272" s="78"/>
      <c r="C272" s="79"/>
      <c r="D272" s="80" t="str">
        <f aca="false">_xlfn.IFNA(VLOOKUP(C272,'بيانات الآليات '!A:G,4,FALSE()),"")</f>
        <v/>
      </c>
      <c r="E272" s="81" t="str">
        <f aca="false">_xlfn.IFNA(VLOOKUP(C272,'بيانات الآليات '!A:G,2,FALSE()),"")</f>
        <v/>
      </c>
      <c r="F272" s="81" t="str">
        <f aca="false">_xlfn.IFNA(VLOOKUP(C272,'بيانات الآليات '!A:G,5,FALSE()),"")</f>
        <v/>
      </c>
      <c r="G272" s="82"/>
      <c r="H272" s="83" t="str">
        <f aca="false">_xlfn.IFNA(VLOOKUP(G272,Table14543[],2,FALSE()),"")</f>
        <v/>
      </c>
      <c r="I272" s="84" t="str">
        <f aca="false">_xlfn.IFNA(VLOOKUP(G272,Table14543[],3,FALSE()),"")</f>
        <v/>
      </c>
      <c r="J272" s="83" t="str">
        <f aca="false">CONCATENATE("",G272,""," ",H272," ",I272)</f>
        <v>  </v>
      </c>
      <c r="K272" s="85"/>
      <c r="L272" s="86"/>
      <c r="M272" s="86"/>
      <c r="N272" s="86" t="n">
        <f aca="false">L272*M272</f>
        <v>0</v>
      </c>
      <c r="O272" s="86"/>
      <c r="P272" s="87" t="n">
        <f aca="false">(M272*L272)+O272</f>
        <v>0</v>
      </c>
      <c r="Q272" s="91"/>
    </row>
    <row r="273" customFormat="false" ht="14.25" hidden="false" customHeight="false" outlineLevel="0" collapsed="false">
      <c r="A273" s="77"/>
      <c r="B273" s="78"/>
      <c r="C273" s="79"/>
      <c r="D273" s="80" t="str">
        <f aca="false">_xlfn.IFNA(VLOOKUP(C273,'بيانات الآليات '!A:G,4,FALSE()),"")</f>
        <v/>
      </c>
      <c r="E273" s="81" t="str">
        <f aca="false">_xlfn.IFNA(VLOOKUP(C273,'بيانات الآليات '!A:G,2,FALSE()),"")</f>
        <v/>
      </c>
      <c r="F273" s="81" t="str">
        <f aca="false">_xlfn.IFNA(VLOOKUP(C273,'بيانات الآليات '!A:G,5,FALSE()),"")</f>
        <v/>
      </c>
      <c r="G273" s="82"/>
      <c r="H273" s="83" t="str">
        <f aca="false">_xlfn.IFNA(VLOOKUP(G273,Table14543[],2,FALSE()),"")</f>
        <v/>
      </c>
      <c r="I273" s="84" t="str">
        <f aca="false">_xlfn.IFNA(VLOOKUP(G273,Table14543[],3,FALSE()),"")</f>
        <v/>
      </c>
      <c r="J273" s="83" t="str">
        <f aca="false">CONCATENATE("",G273,""," ",H273," ",I273)</f>
        <v>  </v>
      </c>
      <c r="K273" s="85"/>
      <c r="L273" s="86"/>
      <c r="M273" s="86"/>
      <c r="N273" s="86" t="n">
        <f aca="false">L273*M273</f>
        <v>0</v>
      </c>
      <c r="O273" s="86"/>
      <c r="P273" s="87" t="n">
        <f aca="false">(M273*L273)+O273</f>
        <v>0</v>
      </c>
      <c r="Q273" s="91"/>
    </row>
    <row r="274" customFormat="false" ht="14.25" hidden="false" customHeight="false" outlineLevel="0" collapsed="false">
      <c r="A274" s="77"/>
      <c r="B274" s="78"/>
      <c r="C274" s="79"/>
      <c r="D274" s="80" t="str">
        <f aca="false">_xlfn.IFNA(VLOOKUP(C274,'بيانات الآليات '!A:G,4,FALSE()),"")</f>
        <v/>
      </c>
      <c r="E274" s="81" t="str">
        <f aca="false">_xlfn.IFNA(VLOOKUP(C274,'بيانات الآليات '!A:G,2,FALSE()),"")</f>
        <v/>
      </c>
      <c r="F274" s="81" t="str">
        <f aca="false">_xlfn.IFNA(VLOOKUP(C274,'بيانات الآليات '!A:G,5,FALSE()),"")</f>
        <v/>
      </c>
      <c r="G274" s="82"/>
      <c r="H274" s="83" t="str">
        <f aca="false">_xlfn.IFNA(VLOOKUP(G274,Table14543[],2,FALSE()),"")</f>
        <v/>
      </c>
      <c r="I274" s="84" t="str">
        <f aca="false">_xlfn.IFNA(VLOOKUP(G274,Table14543[],3,FALSE()),"")</f>
        <v/>
      </c>
      <c r="J274" s="83" t="str">
        <f aca="false">CONCATENATE("",G274,""," ",H274," ",I274)</f>
        <v>  </v>
      </c>
      <c r="K274" s="85"/>
      <c r="L274" s="86"/>
      <c r="M274" s="86"/>
      <c r="N274" s="86" t="n">
        <f aca="false">L274*M274</f>
        <v>0</v>
      </c>
      <c r="O274" s="86"/>
      <c r="P274" s="87" t="n">
        <f aca="false">(M274*L274)+O274</f>
        <v>0</v>
      </c>
      <c r="Q274" s="91"/>
    </row>
    <row r="275" customFormat="false" ht="14.25" hidden="false" customHeight="false" outlineLevel="0" collapsed="false">
      <c r="A275" s="77"/>
      <c r="B275" s="78"/>
      <c r="C275" s="79"/>
      <c r="D275" s="80" t="str">
        <f aca="false">_xlfn.IFNA(VLOOKUP(C275,'بيانات الآليات '!A:G,4,FALSE()),"")</f>
        <v/>
      </c>
      <c r="E275" s="81" t="str">
        <f aca="false">_xlfn.IFNA(VLOOKUP(C275,'بيانات الآليات '!A:G,2,FALSE()),"")</f>
        <v/>
      </c>
      <c r="F275" s="81" t="str">
        <f aca="false">_xlfn.IFNA(VLOOKUP(C275,'بيانات الآليات '!A:G,5,FALSE()),"")</f>
        <v/>
      </c>
      <c r="G275" s="82"/>
      <c r="H275" s="83" t="str">
        <f aca="false">_xlfn.IFNA(VLOOKUP(G275,Table14543[],2,FALSE()),"")</f>
        <v/>
      </c>
      <c r="I275" s="84" t="str">
        <f aca="false">_xlfn.IFNA(VLOOKUP(G275,Table14543[],3,FALSE()),"")</f>
        <v/>
      </c>
      <c r="J275" s="83" t="str">
        <f aca="false">CONCATENATE("",G275,""," ",H275," ",I275)</f>
        <v>  </v>
      </c>
      <c r="K275" s="85"/>
      <c r="L275" s="86"/>
      <c r="M275" s="86"/>
      <c r="N275" s="86" t="n">
        <f aca="false">L275*M275</f>
        <v>0</v>
      </c>
      <c r="O275" s="86"/>
      <c r="P275" s="87" t="n">
        <f aca="false">(M275*L275)+O275</f>
        <v>0</v>
      </c>
      <c r="Q275" s="91"/>
    </row>
    <row r="276" customFormat="false" ht="14.25" hidden="false" customHeight="false" outlineLevel="0" collapsed="false">
      <c r="A276" s="77"/>
      <c r="B276" s="78"/>
      <c r="C276" s="79"/>
      <c r="D276" s="80" t="str">
        <f aca="false">_xlfn.IFNA(VLOOKUP(C276,'بيانات الآليات '!A:G,4,FALSE()),"")</f>
        <v/>
      </c>
      <c r="E276" s="81" t="str">
        <f aca="false">_xlfn.IFNA(VLOOKUP(C276,'بيانات الآليات '!A:G,2,FALSE()),"")</f>
        <v/>
      </c>
      <c r="F276" s="81" t="str">
        <f aca="false">_xlfn.IFNA(VLOOKUP(C276,'بيانات الآليات '!A:G,5,FALSE()),"")</f>
        <v/>
      </c>
      <c r="G276" s="82"/>
      <c r="H276" s="83" t="str">
        <f aca="false">_xlfn.IFNA(VLOOKUP(G276,Table14543[],2,FALSE()),"")</f>
        <v/>
      </c>
      <c r="I276" s="84" t="str">
        <f aca="false">_xlfn.IFNA(VLOOKUP(G276,Table14543[],3,FALSE()),"")</f>
        <v/>
      </c>
      <c r="J276" s="83" t="str">
        <f aca="false">CONCATENATE("",G276,""," ",H276," ",I276)</f>
        <v>  </v>
      </c>
      <c r="K276" s="85"/>
      <c r="L276" s="86"/>
      <c r="M276" s="86"/>
      <c r="N276" s="86" t="n">
        <f aca="false">L276*M276</f>
        <v>0</v>
      </c>
      <c r="O276" s="86"/>
      <c r="P276" s="87" t="n">
        <f aca="false">(M276*L276)+O276</f>
        <v>0</v>
      </c>
      <c r="Q276" s="91"/>
    </row>
    <row r="277" customFormat="false" ht="14.25" hidden="false" customHeight="false" outlineLevel="0" collapsed="false">
      <c r="A277" s="77"/>
      <c r="B277" s="78"/>
      <c r="C277" s="79"/>
      <c r="D277" s="80" t="str">
        <f aca="false">_xlfn.IFNA(VLOOKUP(C277,'بيانات الآليات '!A:G,4,FALSE()),"")</f>
        <v/>
      </c>
      <c r="E277" s="81" t="str">
        <f aca="false">_xlfn.IFNA(VLOOKUP(C277,'بيانات الآليات '!A:G,2,FALSE()),"")</f>
        <v/>
      </c>
      <c r="F277" s="81" t="str">
        <f aca="false">_xlfn.IFNA(VLOOKUP(C277,'بيانات الآليات '!A:G,5,FALSE()),"")</f>
        <v/>
      </c>
      <c r="G277" s="82"/>
      <c r="H277" s="83" t="str">
        <f aca="false">_xlfn.IFNA(VLOOKUP(G277,Table14543[],2,FALSE()),"")</f>
        <v/>
      </c>
      <c r="I277" s="84" t="str">
        <f aca="false">_xlfn.IFNA(VLOOKUP(G277,Table14543[],3,FALSE()),"")</f>
        <v/>
      </c>
      <c r="J277" s="83" t="str">
        <f aca="false">CONCATENATE("",G277,""," ",H277," ",I277)</f>
        <v>  </v>
      </c>
      <c r="K277" s="85"/>
      <c r="L277" s="86"/>
      <c r="M277" s="86"/>
      <c r="N277" s="86" t="n">
        <f aca="false">L277*M277</f>
        <v>0</v>
      </c>
      <c r="O277" s="86"/>
      <c r="P277" s="87" t="n">
        <f aca="false">(M277*L277)+O277</f>
        <v>0</v>
      </c>
      <c r="Q277" s="91"/>
    </row>
    <row r="278" customFormat="false" ht="14.25" hidden="false" customHeight="false" outlineLevel="0" collapsed="false">
      <c r="A278" s="77"/>
      <c r="B278" s="78"/>
      <c r="C278" s="79"/>
      <c r="D278" s="80" t="str">
        <f aca="false">_xlfn.IFNA(VLOOKUP(C278,'بيانات الآليات '!A:G,4,FALSE()),"")</f>
        <v/>
      </c>
      <c r="E278" s="81" t="str">
        <f aca="false">_xlfn.IFNA(VLOOKUP(C278,'بيانات الآليات '!A:G,2,FALSE()),"")</f>
        <v/>
      </c>
      <c r="F278" s="81" t="str">
        <f aca="false">_xlfn.IFNA(VLOOKUP(C278,'بيانات الآليات '!A:G,5,FALSE()),"")</f>
        <v/>
      </c>
      <c r="G278" s="82"/>
      <c r="H278" s="83" t="str">
        <f aca="false">_xlfn.IFNA(VLOOKUP(G278,Table14543[],2,FALSE()),"")</f>
        <v/>
      </c>
      <c r="I278" s="84" t="str">
        <f aca="false">_xlfn.IFNA(VLOOKUP(G278,Table14543[],3,FALSE()),"")</f>
        <v/>
      </c>
      <c r="J278" s="83" t="str">
        <f aca="false">CONCATENATE("",G278,""," ",H278," ",I278)</f>
        <v>  </v>
      </c>
      <c r="K278" s="85"/>
      <c r="L278" s="86"/>
      <c r="M278" s="86"/>
      <c r="N278" s="86" t="n">
        <f aca="false">L278*M278</f>
        <v>0</v>
      </c>
      <c r="O278" s="86"/>
      <c r="P278" s="87" t="n">
        <f aca="false">(M278*L278)+O278</f>
        <v>0</v>
      </c>
      <c r="Q278" s="91"/>
    </row>
    <row r="279" customFormat="false" ht="14.25" hidden="false" customHeight="false" outlineLevel="0" collapsed="false">
      <c r="A279" s="77"/>
      <c r="B279" s="78"/>
      <c r="C279" s="79"/>
      <c r="D279" s="80" t="str">
        <f aca="false">_xlfn.IFNA(VLOOKUP(C279,'بيانات الآليات '!A:G,4,FALSE()),"")</f>
        <v/>
      </c>
      <c r="E279" s="81" t="str">
        <f aca="false">_xlfn.IFNA(VLOOKUP(C279,'بيانات الآليات '!A:G,2,FALSE()),"")</f>
        <v/>
      </c>
      <c r="F279" s="81" t="str">
        <f aca="false">_xlfn.IFNA(VLOOKUP(C279,'بيانات الآليات '!A:G,5,FALSE()),"")</f>
        <v/>
      </c>
      <c r="G279" s="82"/>
      <c r="H279" s="83" t="str">
        <f aca="false">_xlfn.IFNA(VLOOKUP(G279,Table14543[],2,FALSE()),"")</f>
        <v/>
      </c>
      <c r="I279" s="84" t="str">
        <f aca="false">_xlfn.IFNA(VLOOKUP(G279,Table14543[],3,FALSE()),"")</f>
        <v/>
      </c>
      <c r="J279" s="83" t="str">
        <f aca="false">CONCATENATE("",G279,""," ",H279," ",I279)</f>
        <v>  </v>
      </c>
      <c r="K279" s="85"/>
      <c r="L279" s="86"/>
      <c r="M279" s="86"/>
      <c r="N279" s="86" t="n">
        <f aca="false">L279*M279</f>
        <v>0</v>
      </c>
      <c r="O279" s="86"/>
      <c r="P279" s="87" t="n">
        <f aca="false">(M279*L279)+O279</f>
        <v>0</v>
      </c>
      <c r="Q279" s="91"/>
    </row>
    <row r="280" customFormat="false" ht="14.25" hidden="false" customHeight="false" outlineLevel="0" collapsed="false">
      <c r="A280" s="77"/>
      <c r="B280" s="78"/>
      <c r="C280" s="79"/>
      <c r="D280" s="80" t="str">
        <f aca="false">_xlfn.IFNA(VLOOKUP(C280,'بيانات الآليات '!A:G,4,FALSE()),"")</f>
        <v/>
      </c>
      <c r="E280" s="81" t="str">
        <f aca="false">_xlfn.IFNA(VLOOKUP(C280,'بيانات الآليات '!A:G,2,FALSE()),"")</f>
        <v/>
      </c>
      <c r="F280" s="81" t="str">
        <f aca="false">_xlfn.IFNA(VLOOKUP(C280,'بيانات الآليات '!A:G,5,FALSE()),"")</f>
        <v/>
      </c>
      <c r="G280" s="82"/>
      <c r="H280" s="83" t="str">
        <f aca="false">_xlfn.IFNA(VLOOKUP(G280,Table14543[],2,FALSE()),"")</f>
        <v/>
      </c>
      <c r="I280" s="84" t="str">
        <f aca="false">_xlfn.IFNA(VLOOKUP(G280,Table14543[],3,FALSE()),"")</f>
        <v/>
      </c>
      <c r="J280" s="83" t="str">
        <f aca="false">CONCATENATE("",G280,""," ",H280," ",I280)</f>
        <v>  </v>
      </c>
      <c r="K280" s="85"/>
      <c r="L280" s="86"/>
      <c r="M280" s="86"/>
      <c r="N280" s="86" t="n">
        <f aca="false">L280*M280</f>
        <v>0</v>
      </c>
      <c r="O280" s="86"/>
      <c r="P280" s="87" t="n">
        <f aca="false">(M280*L280)+O280</f>
        <v>0</v>
      </c>
      <c r="Q280" s="91"/>
    </row>
    <row r="281" customFormat="false" ht="14.25" hidden="false" customHeight="false" outlineLevel="0" collapsed="false">
      <c r="A281" s="77"/>
      <c r="B281" s="78"/>
      <c r="C281" s="79"/>
      <c r="D281" s="80" t="str">
        <f aca="false">_xlfn.IFNA(VLOOKUP(C281,'بيانات الآليات '!A:G,4,FALSE()),"")</f>
        <v/>
      </c>
      <c r="E281" s="81" t="str">
        <f aca="false">_xlfn.IFNA(VLOOKUP(C281,'بيانات الآليات '!A:G,2,FALSE()),"")</f>
        <v/>
      </c>
      <c r="F281" s="81" t="str">
        <f aca="false">_xlfn.IFNA(VLOOKUP(C281,'بيانات الآليات '!A:G,5,FALSE()),"")</f>
        <v/>
      </c>
      <c r="G281" s="82"/>
      <c r="H281" s="83" t="str">
        <f aca="false">_xlfn.IFNA(VLOOKUP(G281,Table14543[],2,FALSE()),"")</f>
        <v/>
      </c>
      <c r="I281" s="84" t="str">
        <f aca="false">_xlfn.IFNA(VLOOKUP(G281,Table14543[],3,FALSE()),"")</f>
        <v/>
      </c>
      <c r="J281" s="83" t="str">
        <f aca="false">CONCATENATE("",G281,""," ",H281," ",I281)</f>
        <v>  </v>
      </c>
      <c r="K281" s="85"/>
      <c r="L281" s="86"/>
      <c r="M281" s="86"/>
      <c r="N281" s="86" t="n">
        <f aca="false">L281*M281</f>
        <v>0</v>
      </c>
      <c r="O281" s="86"/>
      <c r="P281" s="87" t="n">
        <f aca="false">(M281*L281)+O281</f>
        <v>0</v>
      </c>
      <c r="Q281" s="91"/>
    </row>
    <row r="282" customFormat="false" ht="14.25" hidden="false" customHeight="false" outlineLevel="0" collapsed="false">
      <c r="A282" s="77"/>
      <c r="B282" s="78"/>
      <c r="C282" s="79"/>
      <c r="D282" s="80" t="str">
        <f aca="false">_xlfn.IFNA(VLOOKUP(C282,'بيانات الآليات '!A:G,4,FALSE()),"")</f>
        <v/>
      </c>
      <c r="E282" s="81" t="str">
        <f aca="false">_xlfn.IFNA(VLOOKUP(C282,'بيانات الآليات '!A:G,2,FALSE()),"")</f>
        <v/>
      </c>
      <c r="F282" s="81" t="str">
        <f aca="false">_xlfn.IFNA(VLOOKUP(C282,'بيانات الآليات '!A:G,5,FALSE()),"")</f>
        <v/>
      </c>
      <c r="G282" s="82"/>
      <c r="H282" s="83" t="str">
        <f aca="false">_xlfn.IFNA(VLOOKUP(G282,Table14543[],2,FALSE()),"")</f>
        <v/>
      </c>
      <c r="I282" s="84" t="str">
        <f aca="false">_xlfn.IFNA(VLOOKUP(G282,Table14543[],3,FALSE()),"")</f>
        <v/>
      </c>
      <c r="J282" s="83" t="str">
        <f aca="false">CONCATENATE("",G282,""," ",H282," ",I282)</f>
        <v>  </v>
      </c>
      <c r="K282" s="85"/>
      <c r="L282" s="86"/>
      <c r="M282" s="86"/>
      <c r="N282" s="86" t="n">
        <f aca="false">L282*M282</f>
        <v>0</v>
      </c>
      <c r="O282" s="86"/>
      <c r="P282" s="87" t="n">
        <f aca="false">(M282*L282)+O282</f>
        <v>0</v>
      </c>
      <c r="Q282" s="91"/>
    </row>
    <row r="283" customFormat="false" ht="14.25" hidden="false" customHeight="false" outlineLevel="0" collapsed="false">
      <c r="A283" s="77"/>
      <c r="B283" s="78"/>
      <c r="C283" s="79"/>
      <c r="D283" s="80" t="str">
        <f aca="false">_xlfn.IFNA(VLOOKUP(C283,'بيانات الآليات '!A:G,4,FALSE()),"")</f>
        <v/>
      </c>
      <c r="E283" s="81" t="str">
        <f aca="false">_xlfn.IFNA(VLOOKUP(C283,'بيانات الآليات '!A:G,2,FALSE()),"")</f>
        <v/>
      </c>
      <c r="F283" s="81" t="str">
        <f aca="false">_xlfn.IFNA(VLOOKUP(C283,'بيانات الآليات '!A:G,5,FALSE()),"")</f>
        <v/>
      </c>
      <c r="G283" s="82"/>
      <c r="H283" s="83" t="str">
        <f aca="false">_xlfn.IFNA(VLOOKUP(G283,Table14543[],2,FALSE()),"")</f>
        <v/>
      </c>
      <c r="I283" s="84" t="str">
        <f aca="false">_xlfn.IFNA(VLOOKUP(G283,Table14543[],3,FALSE()),"")</f>
        <v/>
      </c>
      <c r="J283" s="83" t="str">
        <f aca="false">CONCATENATE("",G283,""," ",H283," ",I283)</f>
        <v>  </v>
      </c>
      <c r="K283" s="85"/>
      <c r="L283" s="86"/>
      <c r="M283" s="86"/>
      <c r="N283" s="86" t="n">
        <f aca="false">L283*M283</f>
        <v>0</v>
      </c>
      <c r="O283" s="86"/>
      <c r="P283" s="87" t="n">
        <f aca="false">(M283*L283)+O283</f>
        <v>0</v>
      </c>
      <c r="Q283" s="91"/>
    </row>
    <row r="284" customFormat="false" ht="14.25" hidden="false" customHeight="false" outlineLevel="0" collapsed="false">
      <c r="A284" s="77"/>
      <c r="B284" s="78"/>
      <c r="C284" s="79"/>
      <c r="D284" s="80" t="str">
        <f aca="false">_xlfn.IFNA(VLOOKUP(C284,'بيانات الآليات '!A:G,4,FALSE()),"")</f>
        <v/>
      </c>
      <c r="E284" s="81" t="str">
        <f aca="false">_xlfn.IFNA(VLOOKUP(C284,'بيانات الآليات '!A:G,2,FALSE()),"")</f>
        <v/>
      </c>
      <c r="F284" s="81" t="str">
        <f aca="false">_xlfn.IFNA(VLOOKUP(C284,'بيانات الآليات '!A:G,5,FALSE()),"")</f>
        <v/>
      </c>
      <c r="G284" s="82"/>
      <c r="H284" s="83" t="str">
        <f aca="false">_xlfn.IFNA(VLOOKUP(G284,Table14543[],2,FALSE()),"")</f>
        <v/>
      </c>
      <c r="I284" s="84" t="str">
        <f aca="false">_xlfn.IFNA(VLOOKUP(G284,Table14543[],3,FALSE()),"")</f>
        <v/>
      </c>
      <c r="J284" s="83" t="str">
        <f aca="false">CONCATENATE("",G284,""," ",H284," ",I284)</f>
        <v>  </v>
      </c>
      <c r="K284" s="85"/>
      <c r="L284" s="86"/>
      <c r="M284" s="86"/>
      <c r="N284" s="86" t="n">
        <f aca="false">L284*M284</f>
        <v>0</v>
      </c>
      <c r="O284" s="86"/>
      <c r="P284" s="87" t="n">
        <f aca="false">(M284*L284)+O284</f>
        <v>0</v>
      </c>
      <c r="Q284" s="91"/>
    </row>
    <row r="285" customFormat="false" ht="14.25" hidden="false" customHeight="false" outlineLevel="0" collapsed="false">
      <c r="A285" s="77"/>
      <c r="B285" s="78"/>
      <c r="C285" s="79"/>
      <c r="D285" s="80" t="str">
        <f aca="false">_xlfn.IFNA(VLOOKUP(C285,'بيانات الآليات '!A:G,4,FALSE()),"")</f>
        <v/>
      </c>
      <c r="E285" s="81" t="str">
        <f aca="false">_xlfn.IFNA(VLOOKUP(C285,'بيانات الآليات '!A:G,2,FALSE()),"")</f>
        <v/>
      </c>
      <c r="F285" s="81" t="str">
        <f aca="false">_xlfn.IFNA(VLOOKUP(C285,'بيانات الآليات '!A:G,5,FALSE()),"")</f>
        <v/>
      </c>
      <c r="G285" s="82"/>
      <c r="H285" s="83" t="str">
        <f aca="false">_xlfn.IFNA(VLOOKUP(G285,Table14543[],2,FALSE()),"")</f>
        <v/>
      </c>
      <c r="I285" s="84" t="str">
        <f aca="false">_xlfn.IFNA(VLOOKUP(G285,Table14543[],3,FALSE()),"")</f>
        <v/>
      </c>
      <c r="J285" s="83" t="str">
        <f aca="false">CONCATENATE("",G285,""," ",H285," ",I285)</f>
        <v>  </v>
      </c>
      <c r="K285" s="85"/>
      <c r="L285" s="86"/>
      <c r="M285" s="86"/>
      <c r="N285" s="86" t="n">
        <f aca="false">L285*M285</f>
        <v>0</v>
      </c>
      <c r="O285" s="86"/>
      <c r="P285" s="87" t="n">
        <f aca="false">(M285*L285)+O285</f>
        <v>0</v>
      </c>
      <c r="Q285" s="91"/>
    </row>
    <row r="286" customFormat="false" ht="14.25" hidden="false" customHeight="false" outlineLevel="0" collapsed="false">
      <c r="A286" s="77"/>
      <c r="B286" s="78"/>
      <c r="C286" s="79"/>
      <c r="D286" s="80" t="str">
        <f aca="false">_xlfn.IFNA(VLOOKUP(C286,'بيانات الآليات '!A:G,4,FALSE()),"")</f>
        <v/>
      </c>
      <c r="E286" s="81" t="str">
        <f aca="false">_xlfn.IFNA(VLOOKUP(C286,'بيانات الآليات '!A:G,2,FALSE()),"")</f>
        <v/>
      </c>
      <c r="F286" s="81" t="str">
        <f aca="false">_xlfn.IFNA(VLOOKUP(C286,'بيانات الآليات '!A:G,5,FALSE()),"")</f>
        <v/>
      </c>
      <c r="G286" s="82"/>
      <c r="H286" s="83" t="str">
        <f aca="false">_xlfn.IFNA(VLOOKUP(G286,Table14543[],2,FALSE()),"")</f>
        <v/>
      </c>
      <c r="I286" s="84" t="str">
        <f aca="false">_xlfn.IFNA(VLOOKUP(G286,Table14543[],3,FALSE()),"")</f>
        <v/>
      </c>
      <c r="J286" s="83" t="str">
        <f aca="false">CONCATENATE("",G286,""," ",H286," ",I286)</f>
        <v>  </v>
      </c>
      <c r="K286" s="85"/>
      <c r="L286" s="86"/>
      <c r="M286" s="86"/>
      <c r="N286" s="86" t="n">
        <f aca="false">L286*M286</f>
        <v>0</v>
      </c>
      <c r="O286" s="86"/>
      <c r="P286" s="87" t="n">
        <f aca="false">(M286*L286)+O286</f>
        <v>0</v>
      </c>
      <c r="Q286" s="91"/>
    </row>
    <row r="287" customFormat="false" ht="14.25" hidden="false" customHeight="false" outlineLevel="0" collapsed="false">
      <c r="A287" s="77"/>
      <c r="B287" s="78"/>
      <c r="C287" s="79"/>
      <c r="D287" s="80" t="str">
        <f aca="false">_xlfn.IFNA(VLOOKUP(C287,'بيانات الآليات '!A:G,4,FALSE()),"")</f>
        <v/>
      </c>
      <c r="E287" s="81" t="str">
        <f aca="false">_xlfn.IFNA(VLOOKUP(C287,'بيانات الآليات '!A:G,2,FALSE()),"")</f>
        <v/>
      </c>
      <c r="F287" s="81" t="str">
        <f aca="false">_xlfn.IFNA(VLOOKUP(C287,'بيانات الآليات '!A:G,5,FALSE()),"")</f>
        <v/>
      </c>
      <c r="G287" s="82"/>
      <c r="H287" s="83" t="str">
        <f aca="false">_xlfn.IFNA(VLOOKUP(G287,Table14543[],2,FALSE()),"")</f>
        <v/>
      </c>
      <c r="I287" s="84" t="str">
        <f aca="false">_xlfn.IFNA(VLOOKUP(G287,Table14543[],3,FALSE()),"")</f>
        <v/>
      </c>
      <c r="J287" s="83" t="str">
        <f aca="false">CONCATENATE("",G287,""," ",H287," ",I287)</f>
        <v>  </v>
      </c>
      <c r="K287" s="85"/>
      <c r="L287" s="86"/>
      <c r="M287" s="86"/>
      <c r="N287" s="86" t="n">
        <f aca="false">L287*M287</f>
        <v>0</v>
      </c>
      <c r="O287" s="86"/>
      <c r="P287" s="87" t="n">
        <f aca="false">(M287*L287)+O287</f>
        <v>0</v>
      </c>
      <c r="Q287" s="91"/>
    </row>
    <row r="288" customFormat="false" ht="14.25" hidden="false" customHeight="false" outlineLevel="0" collapsed="false">
      <c r="A288" s="77"/>
      <c r="B288" s="78"/>
      <c r="C288" s="79"/>
      <c r="D288" s="80" t="str">
        <f aca="false">_xlfn.IFNA(VLOOKUP(C288,'بيانات الآليات '!A:G,4,FALSE()),"")</f>
        <v/>
      </c>
      <c r="E288" s="81" t="str">
        <f aca="false">_xlfn.IFNA(VLOOKUP(C288,'بيانات الآليات '!A:G,2,FALSE()),"")</f>
        <v/>
      </c>
      <c r="F288" s="81" t="str">
        <f aca="false">_xlfn.IFNA(VLOOKUP(C288,'بيانات الآليات '!A:G,5,FALSE()),"")</f>
        <v/>
      </c>
      <c r="G288" s="82"/>
      <c r="H288" s="83" t="str">
        <f aca="false">_xlfn.IFNA(VLOOKUP(G288,Table14543[],2,FALSE()),"")</f>
        <v/>
      </c>
      <c r="I288" s="84" t="str">
        <f aca="false">_xlfn.IFNA(VLOOKUP(G288,Table14543[],3,FALSE()),"")</f>
        <v/>
      </c>
      <c r="J288" s="83" t="str">
        <f aca="false">CONCATENATE("",G288,""," ",H288," ",I288)</f>
        <v>  </v>
      </c>
      <c r="K288" s="85"/>
      <c r="L288" s="86"/>
      <c r="M288" s="86"/>
      <c r="N288" s="86" t="n">
        <f aca="false">L288*M288</f>
        <v>0</v>
      </c>
      <c r="O288" s="86"/>
      <c r="P288" s="87" t="n">
        <f aca="false">(M288*L288)+O288</f>
        <v>0</v>
      </c>
      <c r="Q288" s="91"/>
    </row>
    <row r="289" customFormat="false" ht="14.25" hidden="false" customHeight="false" outlineLevel="0" collapsed="false">
      <c r="A289" s="77"/>
      <c r="B289" s="78"/>
      <c r="C289" s="79"/>
      <c r="D289" s="80" t="str">
        <f aca="false">_xlfn.IFNA(VLOOKUP(C289,'بيانات الآليات '!A:G,4,FALSE()),"")</f>
        <v/>
      </c>
      <c r="E289" s="81" t="str">
        <f aca="false">_xlfn.IFNA(VLOOKUP(C289,'بيانات الآليات '!A:G,2,FALSE()),"")</f>
        <v/>
      </c>
      <c r="F289" s="81" t="str">
        <f aca="false">_xlfn.IFNA(VLOOKUP(C289,'بيانات الآليات '!A:G,5,FALSE()),"")</f>
        <v/>
      </c>
      <c r="G289" s="82"/>
      <c r="H289" s="83" t="str">
        <f aca="false">_xlfn.IFNA(VLOOKUP(G289,Table14543[],2,FALSE()),"")</f>
        <v/>
      </c>
      <c r="I289" s="84" t="str">
        <f aca="false">_xlfn.IFNA(VLOOKUP(G289,Table14543[],3,FALSE()),"")</f>
        <v/>
      </c>
      <c r="J289" s="83" t="str">
        <f aca="false">CONCATENATE("",G289,""," ",H289," ",I289)</f>
        <v>  </v>
      </c>
      <c r="K289" s="85"/>
      <c r="L289" s="86"/>
      <c r="M289" s="86"/>
      <c r="N289" s="86" t="n">
        <f aca="false">L289*M289</f>
        <v>0</v>
      </c>
      <c r="O289" s="86"/>
      <c r="P289" s="87" t="n">
        <f aca="false">(M289*L289)+O289</f>
        <v>0</v>
      </c>
      <c r="Q289" s="91"/>
    </row>
    <row r="290" customFormat="false" ht="14.25" hidden="false" customHeight="false" outlineLevel="0" collapsed="false">
      <c r="A290" s="77"/>
      <c r="B290" s="78"/>
      <c r="C290" s="79"/>
      <c r="D290" s="80" t="str">
        <f aca="false">_xlfn.IFNA(VLOOKUP(C290,'بيانات الآليات '!A:G,4,FALSE()),"")</f>
        <v/>
      </c>
      <c r="E290" s="81" t="str">
        <f aca="false">_xlfn.IFNA(VLOOKUP(C290,'بيانات الآليات '!A:G,2,FALSE()),"")</f>
        <v/>
      </c>
      <c r="F290" s="81" t="str">
        <f aca="false">_xlfn.IFNA(VLOOKUP(C290,'بيانات الآليات '!A:G,5,FALSE()),"")</f>
        <v/>
      </c>
      <c r="G290" s="82"/>
      <c r="H290" s="83" t="str">
        <f aca="false">_xlfn.IFNA(VLOOKUP(G290,Table14543[],2,FALSE()),"")</f>
        <v/>
      </c>
      <c r="I290" s="84" t="str">
        <f aca="false">_xlfn.IFNA(VLOOKUP(G290,Table14543[],3,FALSE()),"")</f>
        <v/>
      </c>
      <c r="J290" s="83" t="str">
        <f aca="false">CONCATENATE("",G290,""," ",H290," ",I290)</f>
        <v>  </v>
      </c>
      <c r="K290" s="85"/>
      <c r="L290" s="86"/>
      <c r="M290" s="86"/>
      <c r="N290" s="86" t="n">
        <f aca="false">L290*M290</f>
        <v>0</v>
      </c>
      <c r="O290" s="86"/>
      <c r="P290" s="87" t="n">
        <f aca="false">(M290*L290)+O290</f>
        <v>0</v>
      </c>
      <c r="Q290" s="91"/>
    </row>
    <row r="291" customFormat="false" ht="14.25" hidden="false" customHeight="false" outlineLevel="0" collapsed="false">
      <c r="A291" s="77"/>
      <c r="B291" s="78"/>
      <c r="C291" s="79"/>
      <c r="D291" s="80" t="str">
        <f aca="false">_xlfn.IFNA(VLOOKUP(C291,'بيانات الآليات '!A:G,4,FALSE()),"")</f>
        <v/>
      </c>
      <c r="E291" s="81" t="str">
        <f aca="false">_xlfn.IFNA(VLOOKUP(C291,'بيانات الآليات '!A:G,2,FALSE()),"")</f>
        <v/>
      </c>
      <c r="F291" s="81" t="str">
        <f aca="false">_xlfn.IFNA(VLOOKUP(C291,'بيانات الآليات '!A:G,5,FALSE()),"")</f>
        <v/>
      </c>
      <c r="G291" s="82"/>
      <c r="H291" s="83" t="str">
        <f aca="false">_xlfn.IFNA(VLOOKUP(G291,Table14543[],2,FALSE()),"")</f>
        <v/>
      </c>
      <c r="I291" s="84" t="str">
        <f aca="false">_xlfn.IFNA(VLOOKUP(G291,Table14543[],3,FALSE()),"")</f>
        <v/>
      </c>
      <c r="J291" s="83" t="str">
        <f aca="false">CONCATENATE("",G291,""," ",H291," ",I291)</f>
        <v>  </v>
      </c>
      <c r="K291" s="85"/>
      <c r="L291" s="86"/>
      <c r="M291" s="86"/>
      <c r="N291" s="86" t="n">
        <f aca="false">L291*M291</f>
        <v>0</v>
      </c>
      <c r="O291" s="86"/>
      <c r="P291" s="87" t="n">
        <f aca="false">(M291*L291)+O291</f>
        <v>0</v>
      </c>
      <c r="Q291" s="91"/>
    </row>
    <row r="292" customFormat="false" ht="14.25" hidden="false" customHeight="false" outlineLevel="0" collapsed="false">
      <c r="A292" s="77"/>
      <c r="B292" s="78"/>
      <c r="C292" s="79"/>
      <c r="D292" s="80" t="str">
        <f aca="false">_xlfn.IFNA(VLOOKUP(C292,'بيانات الآليات '!A:G,4,FALSE()),"")</f>
        <v/>
      </c>
      <c r="E292" s="81" t="str">
        <f aca="false">_xlfn.IFNA(VLOOKUP(C292,'بيانات الآليات '!A:G,2,FALSE()),"")</f>
        <v/>
      </c>
      <c r="F292" s="81" t="str">
        <f aca="false">_xlfn.IFNA(VLOOKUP(C292,'بيانات الآليات '!A:G,5,FALSE()),"")</f>
        <v/>
      </c>
      <c r="G292" s="82"/>
      <c r="H292" s="83" t="str">
        <f aca="false">_xlfn.IFNA(VLOOKUP(G292,Table14543[],2,FALSE()),"")</f>
        <v/>
      </c>
      <c r="I292" s="84" t="str">
        <f aca="false">_xlfn.IFNA(VLOOKUP(G292,Table14543[],3,FALSE()),"")</f>
        <v/>
      </c>
      <c r="J292" s="83" t="str">
        <f aca="false">CONCATENATE("",G292,""," ",H292," ",I292)</f>
        <v>  </v>
      </c>
      <c r="K292" s="85"/>
      <c r="L292" s="86"/>
      <c r="M292" s="86"/>
      <c r="N292" s="86" t="n">
        <f aca="false">L292*M292</f>
        <v>0</v>
      </c>
      <c r="O292" s="86"/>
      <c r="P292" s="87" t="n">
        <f aca="false">(M292*L292)+O292</f>
        <v>0</v>
      </c>
      <c r="Q292" s="91"/>
    </row>
    <row r="293" customFormat="false" ht="14.25" hidden="false" customHeight="false" outlineLevel="0" collapsed="false">
      <c r="A293" s="77"/>
      <c r="B293" s="78"/>
      <c r="C293" s="79"/>
      <c r="D293" s="80" t="str">
        <f aca="false">_xlfn.IFNA(VLOOKUP(C293,'بيانات الآليات '!A:G,4,FALSE()),"")</f>
        <v/>
      </c>
      <c r="E293" s="81" t="str">
        <f aca="false">_xlfn.IFNA(VLOOKUP(C293,'بيانات الآليات '!A:G,2,FALSE()),"")</f>
        <v/>
      </c>
      <c r="F293" s="81" t="str">
        <f aca="false">_xlfn.IFNA(VLOOKUP(C293,'بيانات الآليات '!A:G,5,FALSE()),"")</f>
        <v/>
      </c>
      <c r="G293" s="82"/>
      <c r="H293" s="83" t="str">
        <f aca="false">_xlfn.IFNA(VLOOKUP(G293,Table14543[],2,FALSE()),"")</f>
        <v/>
      </c>
      <c r="I293" s="84" t="str">
        <f aca="false">_xlfn.IFNA(VLOOKUP(G293,Table14543[],3,FALSE()),"")</f>
        <v/>
      </c>
      <c r="J293" s="83" t="str">
        <f aca="false">CONCATENATE("",G293,""," ",H293," ",I293)</f>
        <v>  </v>
      </c>
      <c r="K293" s="85"/>
      <c r="L293" s="86"/>
      <c r="M293" s="86"/>
      <c r="N293" s="86" t="n">
        <f aca="false">L293*M293</f>
        <v>0</v>
      </c>
      <c r="O293" s="86"/>
      <c r="P293" s="87" t="n">
        <f aca="false">(M293*L293)+O293</f>
        <v>0</v>
      </c>
      <c r="Q293" s="91"/>
    </row>
    <row r="294" customFormat="false" ht="14.25" hidden="false" customHeight="false" outlineLevel="0" collapsed="false">
      <c r="A294" s="77"/>
      <c r="B294" s="78"/>
      <c r="C294" s="79"/>
      <c r="D294" s="80" t="str">
        <f aca="false">_xlfn.IFNA(VLOOKUP(C294,'بيانات الآليات '!A:G,4,FALSE()),"")</f>
        <v/>
      </c>
      <c r="E294" s="81" t="str">
        <f aca="false">_xlfn.IFNA(VLOOKUP(C294,'بيانات الآليات '!A:G,2,FALSE()),"")</f>
        <v/>
      </c>
      <c r="F294" s="81" t="str">
        <f aca="false">_xlfn.IFNA(VLOOKUP(C294,'بيانات الآليات '!A:G,5,FALSE()),"")</f>
        <v/>
      </c>
      <c r="G294" s="82"/>
      <c r="H294" s="83" t="str">
        <f aca="false">_xlfn.IFNA(VLOOKUP(G294,Table14543[],2,FALSE()),"")</f>
        <v/>
      </c>
      <c r="I294" s="84" t="str">
        <f aca="false">_xlfn.IFNA(VLOOKUP(G294,Table14543[],3,FALSE()),"")</f>
        <v/>
      </c>
      <c r="J294" s="83" t="str">
        <f aca="false">CONCATENATE("",G294,""," ",H294," ",I294)</f>
        <v>  </v>
      </c>
      <c r="K294" s="85"/>
      <c r="L294" s="86"/>
      <c r="M294" s="86"/>
      <c r="N294" s="86" t="n">
        <f aca="false">L294*M294</f>
        <v>0</v>
      </c>
      <c r="O294" s="86"/>
      <c r="P294" s="87" t="n">
        <f aca="false">(M294*L294)+O294</f>
        <v>0</v>
      </c>
      <c r="Q294" s="91"/>
    </row>
    <row r="295" customFormat="false" ht="14.25" hidden="false" customHeight="false" outlineLevel="0" collapsed="false">
      <c r="A295" s="77"/>
      <c r="B295" s="78"/>
      <c r="C295" s="79"/>
      <c r="D295" s="80" t="str">
        <f aca="false">_xlfn.IFNA(VLOOKUP(C295,'بيانات الآليات '!A:G,4,FALSE()),"")</f>
        <v/>
      </c>
      <c r="E295" s="81" t="str">
        <f aca="false">_xlfn.IFNA(VLOOKUP(C295,'بيانات الآليات '!A:G,2,FALSE()),"")</f>
        <v/>
      </c>
      <c r="F295" s="81" t="str">
        <f aca="false">_xlfn.IFNA(VLOOKUP(C295,'بيانات الآليات '!A:G,5,FALSE()),"")</f>
        <v/>
      </c>
      <c r="G295" s="82"/>
      <c r="H295" s="83" t="str">
        <f aca="false">_xlfn.IFNA(VLOOKUP(G295,Table14543[],2,FALSE()),"")</f>
        <v/>
      </c>
      <c r="I295" s="84" t="str">
        <f aca="false">_xlfn.IFNA(VLOOKUP(G295,Table14543[],3,FALSE()),"")</f>
        <v/>
      </c>
      <c r="J295" s="83" t="str">
        <f aca="false">CONCATENATE("",G295,""," ",H295," ",I295)</f>
        <v>  </v>
      </c>
      <c r="K295" s="85"/>
      <c r="L295" s="86"/>
      <c r="M295" s="86"/>
      <c r="N295" s="86" t="n">
        <f aca="false">L295*M295</f>
        <v>0</v>
      </c>
      <c r="O295" s="86"/>
      <c r="P295" s="87" t="n">
        <f aca="false">(M295*L295)+O295</f>
        <v>0</v>
      </c>
      <c r="Q295" s="91"/>
    </row>
    <row r="296" customFormat="false" ht="14.25" hidden="false" customHeight="false" outlineLevel="0" collapsed="false">
      <c r="A296" s="77"/>
      <c r="B296" s="78"/>
      <c r="C296" s="79"/>
      <c r="D296" s="80" t="str">
        <f aca="false">_xlfn.IFNA(VLOOKUP(C296,'بيانات الآليات '!A:G,4,FALSE()),"")</f>
        <v/>
      </c>
      <c r="E296" s="81" t="str">
        <f aca="false">_xlfn.IFNA(VLOOKUP(C296,'بيانات الآليات '!A:G,2,FALSE()),"")</f>
        <v/>
      </c>
      <c r="F296" s="81" t="str">
        <f aca="false">_xlfn.IFNA(VLOOKUP(C296,'بيانات الآليات '!A:G,5,FALSE()),"")</f>
        <v/>
      </c>
      <c r="G296" s="82"/>
      <c r="H296" s="83" t="str">
        <f aca="false">_xlfn.IFNA(VLOOKUP(G296,Table14543[],2,FALSE()),"")</f>
        <v/>
      </c>
      <c r="I296" s="84" t="str">
        <f aca="false">_xlfn.IFNA(VLOOKUP(G296,Table14543[],3,FALSE()),"")</f>
        <v/>
      </c>
      <c r="J296" s="83" t="str">
        <f aca="false">CONCATENATE("",G296,""," ",H296," ",I296)</f>
        <v>  </v>
      </c>
      <c r="K296" s="85"/>
      <c r="L296" s="86"/>
      <c r="M296" s="86"/>
      <c r="N296" s="86" t="n">
        <f aca="false">L296*M296</f>
        <v>0</v>
      </c>
      <c r="O296" s="86"/>
      <c r="P296" s="87" t="n">
        <f aca="false">(M296*L296)+O296</f>
        <v>0</v>
      </c>
      <c r="Q296" s="91"/>
    </row>
    <row r="297" customFormat="false" ht="14.25" hidden="false" customHeight="false" outlineLevel="0" collapsed="false">
      <c r="A297" s="77"/>
      <c r="B297" s="78"/>
      <c r="C297" s="79"/>
      <c r="D297" s="80" t="str">
        <f aca="false">_xlfn.IFNA(VLOOKUP(C297,'بيانات الآليات '!A:G,4,FALSE()),"")</f>
        <v/>
      </c>
      <c r="E297" s="81" t="str">
        <f aca="false">_xlfn.IFNA(VLOOKUP(C297,'بيانات الآليات '!A:G,2,FALSE()),"")</f>
        <v/>
      </c>
      <c r="F297" s="81" t="str">
        <f aca="false">_xlfn.IFNA(VLOOKUP(C297,'بيانات الآليات '!A:G,5,FALSE()),"")</f>
        <v/>
      </c>
      <c r="G297" s="82"/>
      <c r="H297" s="83" t="str">
        <f aca="false">_xlfn.IFNA(VLOOKUP(G297,Table14543[],2,FALSE()),"")</f>
        <v/>
      </c>
      <c r="I297" s="84" t="str">
        <f aca="false">_xlfn.IFNA(VLOOKUP(G297,Table14543[],3,FALSE()),"")</f>
        <v/>
      </c>
      <c r="J297" s="83" t="str">
        <f aca="false">CONCATENATE("",G297,""," ",H297," ",I297)</f>
        <v>  </v>
      </c>
      <c r="K297" s="85"/>
      <c r="L297" s="86"/>
      <c r="M297" s="86"/>
      <c r="N297" s="86" t="n">
        <f aca="false">L297*M297</f>
        <v>0</v>
      </c>
      <c r="O297" s="86"/>
      <c r="P297" s="87" t="n">
        <f aca="false">(M297*L297)+O297</f>
        <v>0</v>
      </c>
      <c r="Q297" s="91"/>
    </row>
    <row r="298" customFormat="false" ht="14.25" hidden="false" customHeight="false" outlineLevel="0" collapsed="false">
      <c r="A298" s="77"/>
      <c r="B298" s="78"/>
      <c r="C298" s="79"/>
      <c r="D298" s="80" t="str">
        <f aca="false">_xlfn.IFNA(VLOOKUP(C298,'بيانات الآليات '!A:G,4,FALSE()),"")</f>
        <v/>
      </c>
      <c r="E298" s="81" t="str">
        <f aca="false">_xlfn.IFNA(VLOOKUP(C298,'بيانات الآليات '!A:G,2,FALSE()),"")</f>
        <v/>
      </c>
      <c r="F298" s="81" t="str">
        <f aca="false">_xlfn.IFNA(VLOOKUP(C298,'بيانات الآليات '!A:G,5,FALSE()),"")</f>
        <v/>
      </c>
      <c r="G298" s="82"/>
      <c r="H298" s="83" t="str">
        <f aca="false">_xlfn.IFNA(VLOOKUP(G298,Table14543[],2,FALSE()),"")</f>
        <v/>
      </c>
      <c r="I298" s="84" t="str">
        <f aca="false">_xlfn.IFNA(VLOOKUP(G298,Table14543[],3,FALSE()),"")</f>
        <v/>
      </c>
      <c r="J298" s="83" t="str">
        <f aca="false">CONCATENATE("",G298,""," ",H298," ",I298)</f>
        <v>  </v>
      </c>
      <c r="K298" s="85"/>
      <c r="L298" s="86"/>
      <c r="M298" s="86"/>
      <c r="N298" s="86" t="n">
        <f aca="false">L298*M298</f>
        <v>0</v>
      </c>
      <c r="O298" s="86"/>
      <c r="P298" s="87" t="n">
        <f aca="false">(M298*L298)+O298</f>
        <v>0</v>
      </c>
      <c r="Q298" s="91"/>
    </row>
    <row r="299" customFormat="false" ht="14.25" hidden="false" customHeight="false" outlineLevel="0" collapsed="false">
      <c r="A299" s="77"/>
      <c r="B299" s="78"/>
      <c r="C299" s="79"/>
      <c r="D299" s="80" t="str">
        <f aca="false">_xlfn.IFNA(VLOOKUP(C299,'بيانات الآليات '!A:G,4,FALSE()),"")</f>
        <v/>
      </c>
      <c r="E299" s="81" t="str">
        <f aca="false">_xlfn.IFNA(VLOOKUP(C299,'بيانات الآليات '!A:G,2,FALSE()),"")</f>
        <v/>
      </c>
      <c r="F299" s="81" t="str">
        <f aca="false">_xlfn.IFNA(VLOOKUP(C299,'بيانات الآليات '!A:G,5,FALSE()),"")</f>
        <v/>
      </c>
      <c r="G299" s="82"/>
      <c r="H299" s="83" t="str">
        <f aca="false">_xlfn.IFNA(VLOOKUP(G299,Table14543[],2,FALSE()),"")</f>
        <v/>
      </c>
      <c r="I299" s="84" t="str">
        <f aca="false">_xlfn.IFNA(VLOOKUP(G299,Table14543[],3,FALSE()),"")</f>
        <v/>
      </c>
      <c r="J299" s="83" t="str">
        <f aca="false">CONCATENATE("",G299,""," ",H299," ",I299)</f>
        <v>  </v>
      </c>
      <c r="K299" s="85"/>
      <c r="L299" s="86"/>
      <c r="M299" s="86"/>
      <c r="N299" s="86" t="n">
        <f aca="false">L299*M299</f>
        <v>0</v>
      </c>
      <c r="O299" s="86"/>
      <c r="P299" s="87" t="n">
        <f aca="false">(M299*L299)+O299</f>
        <v>0</v>
      </c>
      <c r="Q299" s="91"/>
    </row>
    <row r="300" customFormat="false" ht="14.25" hidden="false" customHeight="false" outlineLevel="0" collapsed="false">
      <c r="A300" s="77"/>
      <c r="B300" s="78"/>
      <c r="C300" s="79"/>
      <c r="D300" s="80" t="str">
        <f aca="false">_xlfn.IFNA(VLOOKUP(C300,'بيانات الآليات '!A:G,4,FALSE()),"")</f>
        <v/>
      </c>
      <c r="E300" s="81" t="str">
        <f aca="false">_xlfn.IFNA(VLOOKUP(C300,'بيانات الآليات '!A:G,2,FALSE()),"")</f>
        <v/>
      </c>
      <c r="F300" s="81" t="str">
        <f aca="false">_xlfn.IFNA(VLOOKUP(C300,'بيانات الآليات '!A:G,5,FALSE()),"")</f>
        <v/>
      </c>
      <c r="G300" s="82"/>
      <c r="H300" s="83" t="str">
        <f aca="false">_xlfn.IFNA(VLOOKUP(G300,Table14543[],2,FALSE()),"")</f>
        <v/>
      </c>
      <c r="I300" s="84" t="str">
        <f aca="false">_xlfn.IFNA(VLOOKUP(G300,Table14543[],3,FALSE()),"")</f>
        <v/>
      </c>
      <c r="J300" s="83" t="str">
        <f aca="false">CONCATENATE("",G300,""," ",H300," ",I300)</f>
        <v>  </v>
      </c>
      <c r="K300" s="85"/>
      <c r="L300" s="86"/>
      <c r="M300" s="86"/>
      <c r="N300" s="86" t="n">
        <f aca="false">L300*M300</f>
        <v>0</v>
      </c>
      <c r="O300" s="86"/>
      <c r="P300" s="87" t="n">
        <f aca="false">(M300*L300)+O300</f>
        <v>0</v>
      </c>
      <c r="Q300" s="91"/>
    </row>
    <row r="301" customFormat="false" ht="14.25" hidden="false" customHeight="false" outlineLevel="0" collapsed="false">
      <c r="A301" s="77"/>
      <c r="B301" s="78"/>
      <c r="C301" s="79"/>
      <c r="D301" s="80" t="str">
        <f aca="false">_xlfn.IFNA(VLOOKUP(C301,'بيانات الآليات '!A:G,4,FALSE()),"")</f>
        <v/>
      </c>
      <c r="E301" s="81" t="str">
        <f aca="false">_xlfn.IFNA(VLOOKUP(C301,'بيانات الآليات '!A:G,2,FALSE()),"")</f>
        <v/>
      </c>
      <c r="F301" s="81" t="str">
        <f aca="false">_xlfn.IFNA(VLOOKUP(C301,'بيانات الآليات '!A:G,5,FALSE()),"")</f>
        <v/>
      </c>
      <c r="G301" s="82"/>
      <c r="H301" s="83" t="str">
        <f aca="false">_xlfn.IFNA(VLOOKUP(G301,Table14543[],2,FALSE()),"")</f>
        <v/>
      </c>
      <c r="I301" s="84" t="str">
        <f aca="false">_xlfn.IFNA(VLOOKUP(G301,Table14543[],3,FALSE()),"")</f>
        <v/>
      </c>
      <c r="J301" s="83" t="str">
        <f aca="false">CONCATENATE("",G301,""," ",H301," ",I301)</f>
        <v>  </v>
      </c>
      <c r="K301" s="85"/>
      <c r="L301" s="86"/>
      <c r="M301" s="86"/>
      <c r="N301" s="86" t="n">
        <f aca="false">L301*M301</f>
        <v>0</v>
      </c>
      <c r="O301" s="86"/>
      <c r="P301" s="87" t="n">
        <f aca="false">(M301*L301)+O301</f>
        <v>0</v>
      </c>
      <c r="Q301" s="91"/>
    </row>
    <row r="302" customFormat="false" ht="14.25" hidden="false" customHeight="false" outlineLevel="0" collapsed="false">
      <c r="A302" s="77"/>
      <c r="B302" s="78"/>
      <c r="C302" s="79"/>
      <c r="D302" s="80" t="str">
        <f aca="false">_xlfn.IFNA(VLOOKUP(C302,'بيانات الآليات '!A:G,4,FALSE()),"")</f>
        <v/>
      </c>
      <c r="E302" s="81" t="str">
        <f aca="false">_xlfn.IFNA(VLOOKUP(C302,'بيانات الآليات '!A:G,2,FALSE()),"")</f>
        <v/>
      </c>
      <c r="F302" s="81" t="str">
        <f aca="false">_xlfn.IFNA(VLOOKUP(C302,'بيانات الآليات '!A:G,5,FALSE()),"")</f>
        <v/>
      </c>
      <c r="G302" s="82"/>
      <c r="H302" s="83" t="str">
        <f aca="false">_xlfn.IFNA(VLOOKUP(G302,Table14543[],2,FALSE()),"")</f>
        <v/>
      </c>
      <c r="I302" s="84" t="str">
        <f aca="false">_xlfn.IFNA(VLOOKUP(G302,Table14543[],3,FALSE()),"")</f>
        <v/>
      </c>
      <c r="J302" s="83" t="str">
        <f aca="false">CONCATENATE("",G302,""," ",H302," ",I302)</f>
        <v>  </v>
      </c>
      <c r="K302" s="85"/>
      <c r="L302" s="86"/>
      <c r="M302" s="86"/>
      <c r="N302" s="86" t="n">
        <f aca="false">L302*M302</f>
        <v>0</v>
      </c>
      <c r="O302" s="86"/>
      <c r="P302" s="87" t="n">
        <f aca="false">(M302*L302)+O302</f>
        <v>0</v>
      </c>
      <c r="Q302" s="91"/>
    </row>
    <row r="303" customFormat="false" ht="14.25" hidden="false" customHeight="false" outlineLevel="0" collapsed="false">
      <c r="A303" s="77"/>
      <c r="B303" s="78"/>
      <c r="C303" s="79"/>
      <c r="D303" s="80" t="str">
        <f aca="false">_xlfn.IFNA(VLOOKUP(C303,'بيانات الآليات '!A:G,4,FALSE()),"")</f>
        <v/>
      </c>
      <c r="E303" s="81" t="str">
        <f aca="false">_xlfn.IFNA(VLOOKUP(C303,'بيانات الآليات '!A:G,2,FALSE()),"")</f>
        <v/>
      </c>
      <c r="F303" s="81" t="str">
        <f aca="false">_xlfn.IFNA(VLOOKUP(C303,'بيانات الآليات '!A:G,5,FALSE()),"")</f>
        <v/>
      </c>
      <c r="G303" s="82"/>
      <c r="H303" s="83" t="str">
        <f aca="false">_xlfn.IFNA(VLOOKUP(G303,Table14543[],2,FALSE()),"")</f>
        <v/>
      </c>
      <c r="I303" s="84" t="str">
        <f aca="false">_xlfn.IFNA(VLOOKUP(G303,Table14543[],3,FALSE()),"")</f>
        <v/>
      </c>
      <c r="J303" s="83" t="str">
        <f aca="false">CONCATENATE("",G303,""," ",H303," ",I303)</f>
        <v>  </v>
      </c>
      <c r="K303" s="85"/>
      <c r="L303" s="86"/>
      <c r="M303" s="86"/>
      <c r="N303" s="86" t="n">
        <f aca="false">L303*M303</f>
        <v>0</v>
      </c>
      <c r="O303" s="86"/>
      <c r="P303" s="87" t="n">
        <f aca="false">(M303*L303)+O303</f>
        <v>0</v>
      </c>
      <c r="Q303" s="91"/>
    </row>
    <row r="304" customFormat="false" ht="14.25" hidden="false" customHeight="false" outlineLevel="0" collapsed="false">
      <c r="A304" s="77"/>
      <c r="B304" s="78"/>
      <c r="C304" s="79"/>
      <c r="D304" s="80" t="str">
        <f aca="false">_xlfn.IFNA(VLOOKUP(C304,'بيانات الآليات '!A:G,4,FALSE()),"")</f>
        <v/>
      </c>
      <c r="E304" s="81" t="str">
        <f aca="false">_xlfn.IFNA(VLOOKUP(C304,'بيانات الآليات '!A:G,2,FALSE()),"")</f>
        <v/>
      </c>
      <c r="F304" s="81" t="str">
        <f aca="false">_xlfn.IFNA(VLOOKUP(C304,'بيانات الآليات '!A:G,5,FALSE()),"")</f>
        <v/>
      </c>
      <c r="G304" s="82"/>
      <c r="H304" s="83" t="str">
        <f aca="false">_xlfn.IFNA(VLOOKUP(G304,Table14543[],2,FALSE()),"")</f>
        <v/>
      </c>
      <c r="I304" s="84" t="str">
        <f aca="false">_xlfn.IFNA(VLOOKUP(G304,Table14543[],3,FALSE()),"")</f>
        <v/>
      </c>
      <c r="J304" s="83" t="str">
        <f aca="false">CONCATENATE("",G304,""," ",H304," ",I304)</f>
        <v>  </v>
      </c>
      <c r="K304" s="85"/>
      <c r="L304" s="86"/>
      <c r="M304" s="86"/>
      <c r="N304" s="86" t="n">
        <f aca="false">L304*M304</f>
        <v>0</v>
      </c>
      <c r="O304" s="86"/>
      <c r="P304" s="87" t="n">
        <f aca="false">(M304*L304)+O304</f>
        <v>0</v>
      </c>
      <c r="Q304" s="91"/>
    </row>
    <row r="305" customFormat="false" ht="14.25" hidden="false" customHeight="false" outlineLevel="0" collapsed="false">
      <c r="A305" s="77"/>
      <c r="B305" s="78"/>
      <c r="C305" s="79"/>
      <c r="D305" s="80" t="str">
        <f aca="false">_xlfn.IFNA(VLOOKUP(C305,'بيانات الآليات '!A:G,4,FALSE()),"")</f>
        <v/>
      </c>
      <c r="E305" s="81" t="str">
        <f aca="false">_xlfn.IFNA(VLOOKUP(C305,'بيانات الآليات '!A:G,2,FALSE()),"")</f>
        <v/>
      </c>
      <c r="F305" s="81" t="str">
        <f aca="false">_xlfn.IFNA(VLOOKUP(C305,'بيانات الآليات '!A:G,5,FALSE()),"")</f>
        <v/>
      </c>
      <c r="G305" s="82"/>
      <c r="H305" s="83" t="str">
        <f aca="false">_xlfn.IFNA(VLOOKUP(G305,Table14543[],2,FALSE()),"")</f>
        <v/>
      </c>
      <c r="I305" s="84" t="str">
        <f aca="false">_xlfn.IFNA(VLOOKUP(G305,Table14543[],3,FALSE()),"")</f>
        <v/>
      </c>
      <c r="J305" s="83" t="str">
        <f aca="false">CONCATENATE("",G305,""," ",H305," ",I305)</f>
        <v>  </v>
      </c>
      <c r="K305" s="85"/>
      <c r="L305" s="86"/>
      <c r="M305" s="86"/>
      <c r="N305" s="86" t="n">
        <f aca="false">L305*M305</f>
        <v>0</v>
      </c>
      <c r="O305" s="86"/>
      <c r="P305" s="87" t="n">
        <f aca="false">(M305*L305)+O305</f>
        <v>0</v>
      </c>
      <c r="Q305" s="91"/>
    </row>
    <row r="306" customFormat="false" ht="14.25" hidden="false" customHeight="false" outlineLevel="0" collapsed="false">
      <c r="A306" s="77"/>
      <c r="B306" s="78"/>
      <c r="C306" s="79"/>
      <c r="D306" s="80" t="str">
        <f aca="false">_xlfn.IFNA(VLOOKUP(C306,'بيانات الآليات '!A:G,4,FALSE()),"")</f>
        <v/>
      </c>
      <c r="E306" s="81" t="str">
        <f aca="false">_xlfn.IFNA(VLOOKUP(C306,'بيانات الآليات '!A:G,2,FALSE()),"")</f>
        <v/>
      </c>
      <c r="F306" s="81" t="str">
        <f aca="false">_xlfn.IFNA(VLOOKUP(C306,'بيانات الآليات '!A:G,5,FALSE()),"")</f>
        <v/>
      </c>
      <c r="G306" s="82"/>
      <c r="H306" s="83" t="str">
        <f aca="false">_xlfn.IFNA(VLOOKUP(G306,Table14543[],2,FALSE()),"")</f>
        <v/>
      </c>
      <c r="I306" s="84" t="str">
        <f aca="false">_xlfn.IFNA(VLOOKUP(G306,Table14543[],3,FALSE()),"")</f>
        <v/>
      </c>
      <c r="J306" s="83" t="str">
        <f aca="false">CONCATENATE("",G306,""," ",H306," ",I306)</f>
        <v>  </v>
      </c>
      <c r="K306" s="85"/>
      <c r="L306" s="86"/>
      <c r="M306" s="86"/>
      <c r="N306" s="86" t="n">
        <f aca="false">L306*M306</f>
        <v>0</v>
      </c>
      <c r="O306" s="86"/>
      <c r="P306" s="87" t="n">
        <f aca="false">(M306*L306)+O306</f>
        <v>0</v>
      </c>
      <c r="Q306" s="91"/>
    </row>
    <row r="307" customFormat="false" ht="14.25" hidden="false" customHeight="false" outlineLevel="0" collapsed="false">
      <c r="A307" s="77"/>
      <c r="B307" s="78"/>
      <c r="C307" s="79"/>
      <c r="D307" s="80" t="str">
        <f aca="false">_xlfn.IFNA(VLOOKUP(C307,'بيانات الآليات '!A:G,4,FALSE()),"")</f>
        <v/>
      </c>
      <c r="E307" s="81" t="str">
        <f aca="false">_xlfn.IFNA(VLOOKUP(C307,'بيانات الآليات '!A:G,2,FALSE()),"")</f>
        <v/>
      </c>
      <c r="F307" s="81" t="str">
        <f aca="false">_xlfn.IFNA(VLOOKUP(C307,'بيانات الآليات '!A:G,5,FALSE()),"")</f>
        <v/>
      </c>
      <c r="G307" s="82"/>
      <c r="H307" s="83" t="str">
        <f aca="false">_xlfn.IFNA(VLOOKUP(G307,Table14543[],2,FALSE()),"")</f>
        <v/>
      </c>
      <c r="I307" s="84" t="str">
        <f aca="false">_xlfn.IFNA(VLOOKUP(G307,Table14543[],3,FALSE()),"")</f>
        <v/>
      </c>
      <c r="J307" s="83" t="str">
        <f aca="false">CONCATENATE("",G307,""," ",H307," ",I307)</f>
        <v>  </v>
      </c>
      <c r="K307" s="85"/>
      <c r="L307" s="86"/>
      <c r="M307" s="86"/>
      <c r="N307" s="86" t="n">
        <f aca="false">L307*M307</f>
        <v>0</v>
      </c>
      <c r="O307" s="86"/>
      <c r="P307" s="87" t="n">
        <f aca="false">(M307*L307)+O307</f>
        <v>0</v>
      </c>
      <c r="Q307" s="91"/>
    </row>
    <row r="308" customFormat="false" ht="14.25" hidden="false" customHeight="false" outlineLevel="0" collapsed="false">
      <c r="A308" s="77"/>
      <c r="B308" s="78"/>
      <c r="C308" s="79"/>
      <c r="D308" s="80" t="str">
        <f aca="false">_xlfn.IFNA(VLOOKUP(C308,'بيانات الآليات '!A:G,4,FALSE()),"")</f>
        <v/>
      </c>
      <c r="E308" s="81" t="str">
        <f aca="false">_xlfn.IFNA(VLOOKUP(C308,'بيانات الآليات '!A:G,2,FALSE()),"")</f>
        <v/>
      </c>
      <c r="F308" s="81" t="str">
        <f aca="false">_xlfn.IFNA(VLOOKUP(C308,'بيانات الآليات '!A:G,5,FALSE()),"")</f>
        <v/>
      </c>
      <c r="G308" s="82"/>
      <c r="H308" s="83" t="str">
        <f aca="false">_xlfn.IFNA(VLOOKUP(G308,Table14543[],2,FALSE()),"")</f>
        <v/>
      </c>
      <c r="I308" s="84" t="str">
        <f aca="false">_xlfn.IFNA(VLOOKUP(G308,Table14543[],3,FALSE()),"")</f>
        <v/>
      </c>
      <c r="J308" s="83" t="str">
        <f aca="false">CONCATENATE("",G308,""," ",H308," ",I308)</f>
        <v>  </v>
      </c>
      <c r="K308" s="85"/>
      <c r="L308" s="86"/>
      <c r="M308" s="86"/>
      <c r="N308" s="86" t="n">
        <f aca="false">L308*M308</f>
        <v>0</v>
      </c>
      <c r="O308" s="86"/>
      <c r="P308" s="87" t="n">
        <f aca="false">(M308*L308)+O308</f>
        <v>0</v>
      </c>
      <c r="Q308" s="91"/>
    </row>
    <row r="309" customFormat="false" ht="14.25" hidden="false" customHeight="false" outlineLevel="0" collapsed="false">
      <c r="A309" s="77"/>
      <c r="B309" s="78"/>
      <c r="C309" s="79"/>
      <c r="D309" s="80" t="str">
        <f aca="false">_xlfn.IFNA(VLOOKUP(C309,'بيانات الآليات '!A:G,4,FALSE()),"")</f>
        <v/>
      </c>
      <c r="E309" s="81" t="str">
        <f aca="false">_xlfn.IFNA(VLOOKUP(C309,'بيانات الآليات '!A:G,2,FALSE()),"")</f>
        <v/>
      </c>
      <c r="F309" s="81" t="str">
        <f aca="false">_xlfn.IFNA(VLOOKUP(C309,'بيانات الآليات '!A:G,5,FALSE()),"")</f>
        <v/>
      </c>
      <c r="G309" s="82"/>
      <c r="H309" s="83" t="str">
        <f aca="false">_xlfn.IFNA(VLOOKUP(G309,Table14543[],2,FALSE()),"")</f>
        <v/>
      </c>
      <c r="I309" s="84" t="str">
        <f aca="false">_xlfn.IFNA(VLOOKUP(G309,Table14543[],3,FALSE()),"")</f>
        <v/>
      </c>
      <c r="J309" s="83" t="str">
        <f aca="false">CONCATENATE("",G309,""," ",H309," ",I309)</f>
        <v>  </v>
      </c>
      <c r="K309" s="85"/>
      <c r="L309" s="86"/>
      <c r="M309" s="86"/>
      <c r="N309" s="86" t="n">
        <f aca="false">L309*M309</f>
        <v>0</v>
      </c>
      <c r="O309" s="86"/>
      <c r="P309" s="87" t="n">
        <f aca="false">(M309*L309)+O309</f>
        <v>0</v>
      </c>
      <c r="Q309" s="91"/>
    </row>
    <row r="310" customFormat="false" ht="14.25" hidden="false" customHeight="false" outlineLevel="0" collapsed="false">
      <c r="A310" s="77"/>
      <c r="B310" s="78"/>
      <c r="C310" s="79"/>
      <c r="D310" s="80" t="str">
        <f aca="false">_xlfn.IFNA(VLOOKUP(C310,'بيانات الآليات '!A:G,4,FALSE()),"")</f>
        <v/>
      </c>
      <c r="E310" s="81" t="str">
        <f aca="false">_xlfn.IFNA(VLOOKUP(C310,'بيانات الآليات '!A:G,2,FALSE()),"")</f>
        <v/>
      </c>
      <c r="F310" s="81" t="str">
        <f aca="false">_xlfn.IFNA(VLOOKUP(C310,'بيانات الآليات '!A:G,5,FALSE()),"")</f>
        <v/>
      </c>
      <c r="G310" s="82"/>
      <c r="H310" s="83" t="str">
        <f aca="false">_xlfn.IFNA(VLOOKUP(G310,Table14543[],2,FALSE()),"")</f>
        <v/>
      </c>
      <c r="I310" s="84" t="str">
        <f aca="false">_xlfn.IFNA(VLOOKUP(G310,Table14543[],3,FALSE()),"")</f>
        <v/>
      </c>
      <c r="J310" s="83" t="str">
        <f aca="false">CONCATENATE("",G310,""," ",H310," ",I310)</f>
        <v>  </v>
      </c>
      <c r="K310" s="85"/>
      <c r="L310" s="86"/>
      <c r="M310" s="86"/>
      <c r="N310" s="86" t="n">
        <f aca="false">L310*M310</f>
        <v>0</v>
      </c>
      <c r="O310" s="86"/>
      <c r="P310" s="87" t="n">
        <f aca="false">(M310*L310)+O310</f>
        <v>0</v>
      </c>
      <c r="Q310" s="91"/>
    </row>
    <row r="311" customFormat="false" ht="14.25" hidden="false" customHeight="false" outlineLevel="0" collapsed="false">
      <c r="A311" s="77"/>
      <c r="B311" s="78"/>
      <c r="C311" s="79"/>
      <c r="D311" s="80" t="str">
        <f aca="false">_xlfn.IFNA(VLOOKUP(C311,'بيانات الآليات '!A:G,4,FALSE()),"")</f>
        <v/>
      </c>
      <c r="E311" s="81" t="str">
        <f aca="false">_xlfn.IFNA(VLOOKUP(C311,'بيانات الآليات '!A:G,2,FALSE()),"")</f>
        <v/>
      </c>
      <c r="F311" s="81" t="str">
        <f aca="false">_xlfn.IFNA(VLOOKUP(C311,'بيانات الآليات '!A:G,5,FALSE()),"")</f>
        <v/>
      </c>
      <c r="G311" s="82"/>
      <c r="H311" s="83" t="str">
        <f aca="false">_xlfn.IFNA(VLOOKUP(G311,Table14543[],2,FALSE()),"")</f>
        <v/>
      </c>
      <c r="I311" s="84" t="str">
        <f aca="false">_xlfn.IFNA(VLOOKUP(G311,Table14543[],3,FALSE()),"")</f>
        <v/>
      </c>
      <c r="J311" s="83" t="str">
        <f aca="false">CONCATENATE("",G311,""," ",H311," ",I311)</f>
        <v>  </v>
      </c>
      <c r="K311" s="85"/>
      <c r="L311" s="86"/>
      <c r="M311" s="86"/>
      <c r="N311" s="86" t="n">
        <f aca="false">L311*M311</f>
        <v>0</v>
      </c>
      <c r="O311" s="86"/>
      <c r="P311" s="87" t="n">
        <f aca="false">(M311*L311)+O311</f>
        <v>0</v>
      </c>
      <c r="Q311" s="91"/>
    </row>
    <row r="312" customFormat="false" ht="14.25" hidden="false" customHeight="false" outlineLevel="0" collapsed="false">
      <c r="A312" s="77"/>
      <c r="B312" s="78"/>
      <c r="C312" s="79"/>
      <c r="D312" s="80" t="str">
        <f aca="false">_xlfn.IFNA(VLOOKUP(C312,'بيانات الآليات '!A:G,4,FALSE()),"")</f>
        <v/>
      </c>
      <c r="E312" s="81" t="str">
        <f aca="false">_xlfn.IFNA(VLOOKUP(C312,'بيانات الآليات '!A:G,2,FALSE()),"")</f>
        <v/>
      </c>
      <c r="F312" s="81" t="str">
        <f aca="false">_xlfn.IFNA(VLOOKUP(C312,'بيانات الآليات '!A:G,5,FALSE()),"")</f>
        <v/>
      </c>
      <c r="G312" s="82"/>
      <c r="H312" s="83" t="str">
        <f aca="false">_xlfn.IFNA(VLOOKUP(G312,Table14543[],2,FALSE()),"")</f>
        <v/>
      </c>
      <c r="I312" s="84" t="str">
        <f aca="false">_xlfn.IFNA(VLOOKUP(G312,Table14543[],3,FALSE()),"")</f>
        <v/>
      </c>
      <c r="J312" s="83" t="str">
        <f aca="false">CONCATENATE("",G312,""," ",H312," ",I312)</f>
        <v>  </v>
      </c>
      <c r="K312" s="85"/>
      <c r="L312" s="86"/>
      <c r="M312" s="86"/>
      <c r="N312" s="86" t="n">
        <f aca="false">L312*M312</f>
        <v>0</v>
      </c>
      <c r="O312" s="86"/>
      <c r="P312" s="87" t="n">
        <f aca="false">(M312*L312)+O312</f>
        <v>0</v>
      </c>
      <c r="Q312" s="91"/>
    </row>
    <row r="313" customFormat="false" ht="14.25" hidden="false" customHeight="false" outlineLevel="0" collapsed="false">
      <c r="A313" s="77"/>
      <c r="B313" s="78"/>
      <c r="C313" s="79"/>
      <c r="D313" s="80" t="str">
        <f aca="false">_xlfn.IFNA(VLOOKUP(C313,'بيانات الآليات '!A:G,4,FALSE()),"")</f>
        <v/>
      </c>
      <c r="E313" s="81" t="str">
        <f aca="false">_xlfn.IFNA(VLOOKUP(C313,'بيانات الآليات '!A:G,2,FALSE()),"")</f>
        <v/>
      </c>
      <c r="F313" s="81" t="str">
        <f aca="false">_xlfn.IFNA(VLOOKUP(C313,'بيانات الآليات '!A:G,5,FALSE()),"")</f>
        <v/>
      </c>
      <c r="G313" s="82"/>
      <c r="H313" s="83" t="str">
        <f aca="false">_xlfn.IFNA(VLOOKUP(G313,Table14543[],2,FALSE()),"")</f>
        <v/>
      </c>
      <c r="I313" s="84" t="str">
        <f aca="false">_xlfn.IFNA(VLOOKUP(G313,Table14543[],3,FALSE()),"")</f>
        <v/>
      </c>
      <c r="J313" s="83" t="str">
        <f aca="false">CONCATENATE("",G313,""," ",H313," ",I313)</f>
        <v>  </v>
      </c>
      <c r="K313" s="85"/>
      <c r="L313" s="86"/>
      <c r="M313" s="86"/>
      <c r="N313" s="86" t="n">
        <f aca="false">L313*M313</f>
        <v>0</v>
      </c>
      <c r="O313" s="86"/>
      <c r="P313" s="87" t="n">
        <f aca="false">(M313*L313)+O313</f>
        <v>0</v>
      </c>
      <c r="Q313" s="91"/>
    </row>
    <row r="314" customFormat="false" ht="14.25" hidden="false" customHeight="false" outlineLevel="0" collapsed="false">
      <c r="A314" s="77"/>
      <c r="B314" s="78"/>
      <c r="C314" s="79"/>
      <c r="D314" s="80" t="str">
        <f aca="false">_xlfn.IFNA(VLOOKUP(C314,'بيانات الآليات '!A:G,4,FALSE()),"")</f>
        <v/>
      </c>
      <c r="E314" s="81" t="str">
        <f aca="false">_xlfn.IFNA(VLOOKUP(C314,'بيانات الآليات '!A:G,2,FALSE()),"")</f>
        <v/>
      </c>
      <c r="F314" s="81" t="str">
        <f aca="false">_xlfn.IFNA(VLOOKUP(C314,'بيانات الآليات '!A:G,5,FALSE()),"")</f>
        <v/>
      </c>
      <c r="G314" s="82"/>
      <c r="H314" s="83" t="str">
        <f aca="false">_xlfn.IFNA(VLOOKUP(G314,Table14543[],2,FALSE()),"")</f>
        <v/>
      </c>
      <c r="I314" s="84" t="str">
        <f aca="false">_xlfn.IFNA(VLOOKUP(G314,Table14543[],3,FALSE()),"")</f>
        <v/>
      </c>
      <c r="J314" s="83" t="str">
        <f aca="false">CONCATENATE("",G314,""," ",H314," ",I314)</f>
        <v>  </v>
      </c>
      <c r="K314" s="85"/>
      <c r="L314" s="86"/>
      <c r="M314" s="86"/>
      <c r="N314" s="86" t="n">
        <f aca="false">L314*M314</f>
        <v>0</v>
      </c>
      <c r="O314" s="86"/>
      <c r="P314" s="87" t="n">
        <f aca="false">(M314*L314)+O314</f>
        <v>0</v>
      </c>
      <c r="Q314" s="91"/>
    </row>
    <row r="315" customFormat="false" ht="14.25" hidden="false" customHeight="false" outlineLevel="0" collapsed="false">
      <c r="A315" s="77"/>
      <c r="B315" s="78"/>
      <c r="C315" s="79"/>
      <c r="D315" s="80" t="str">
        <f aca="false">_xlfn.IFNA(VLOOKUP(C315,'بيانات الآليات '!A:G,4,FALSE()),"")</f>
        <v/>
      </c>
      <c r="E315" s="81" t="str">
        <f aca="false">_xlfn.IFNA(VLOOKUP(C315,'بيانات الآليات '!A:G,2,FALSE()),"")</f>
        <v/>
      </c>
      <c r="F315" s="81" t="str">
        <f aca="false">_xlfn.IFNA(VLOOKUP(C315,'بيانات الآليات '!A:G,5,FALSE()),"")</f>
        <v/>
      </c>
      <c r="G315" s="82"/>
      <c r="H315" s="83" t="str">
        <f aca="false">_xlfn.IFNA(VLOOKUP(G315,Table14543[],2,FALSE()),"")</f>
        <v/>
      </c>
      <c r="I315" s="84" t="str">
        <f aca="false">_xlfn.IFNA(VLOOKUP(G315,Table14543[],3,FALSE()),"")</f>
        <v/>
      </c>
      <c r="J315" s="83" t="str">
        <f aca="false">CONCATENATE("",G315,""," ",H315," ",I315)</f>
        <v>  </v>
      </c>
      <c r="K315" s="85"/>
      <c r="L315" s="86"/>
      <c r="M315" s="86"/>
      <c r="N315" s="86" t="n">
        <f aca="false">L315*M315</f>
        <v>0</v>
      </c>
      <c r="O315" s="86"/>
      <c r="P315" s="87" t="n">
        <f aca="false">(M315*L315)+O315</f>
        <v>0</v>
      </c>
      <c r="Q315" s="91"/>
    </row>
    <row r="316" customFormat="false" ht="14.25" hidden="false" customHeight="false" outlineLevel="0" collapsed="false">
      <c r="A316" s="77"/>
      <c r="B316" s="78"/>
      <c r="C316" s="79"/>
      <c r="D316" s="80" t="str">
        <f aca="false">_xlfn.IFNA(VLOOKUP(C316,'بيانات الآليات '!A:G,4,FALSE()),"")</f>
        <v/>
      </c>
      <c r="E316" s="81" t="str">
        <f aca="false">_xlfn.IFNA(VLOOKUP(C316,'بيانات الآليات '!A:G,2,FALSE()),"")</f>
        <v/>
      </c>
      <c r="F316" s="81" t="str">
        <f aca="false">_xlfn.IFNA(VLOOKUP(C316,'بيانات الآليات '!A:G,5,FALSE()),"")</f>
        <v/>
      </c>
      <c r="G316" s="82"/>
      <c r="H316" s="83" t="str">
        <f aca="false">_xlfn.IFNA(VLOOKUP(G316,Table14543[],2,FALSE()),"")</f>
        <v/>
      </c>
      <c r="I316" s="84" t="str">
        <f aca="false">_xlfn.IFNA(VLOOKUP(G316,Table14543[],3,FALSE()),"")</f>
        <v/>
      </c>
      <c r="J316" s="83" t="str">
        <f aca="false">CONCATENATE("",G316,""," ",H316," ",I316)</f>
        <v>  </v>
      </c>
      <c r="K316" s="85"/>
      <c r="L316" s="86"/>
      <c r="M316" s="86"/>
      <c r="N316" s="86" t="n">
        <f aca="false">L316*M316</f>
        <v>0</v>
      </c>
      <c r="O316" s="86"/>
      <c r="P316" s="87" t="n">
        <f aca="false">(M316*L316)+O316</f>
        <v>0</v>
      </c>
      <c r="Q316" s="91"/>
    </row>
    <row r="317" customFormat="false" ht="14.25" hidden="false" customHeight="false" outlineLevel="0" collapsed="false">
      <c r="A317" s="77"/>
      <c r="B317" s="78"/>
      <c r="C317" s="79"/>
      <c r="D317" s="80" t="str">
        <f aca="false">_xlfn.IFNA(VLOOKUP(C317,'بيانات الآليات '!A:G,4,FALSE()),"")</f>
        <v/>
      </c>
      <c r="E317" s="81" t="str">
        <f aca="false">_xlfn.IFNA(VLOOKUP(C317,'بيانات الآليات '!A:G,2,FALSE()),"")</f>
        <v/>
      </c>
      <c r="F317" s="81" t="str">
        <f aca="false">_xlfn.IFNA(VLOOKUP(C317,'بيانات الآليات '!A:G,5,FALSE()),"")</f>
        <v/>
      </c>
      <c r="G317" s="82"/>
      <c r="H317" s="83" t="str">
        <f aca="false">_xlfn.IFNA(VLOOKUP(G317,Table14543[],2,FALSE()),"")</f>
        <v/>
      </c>
      <c r="I317" s="84" t="str">
        <f aca="false">_xlfn.IFNA(VLOOKUP(G317,Table14543[],3,FALSE()),"")</f>
        <v/>
      </c>
      <c r="J317" s="83" t="str">
        <f aca="false">CONCATENATE("",G317,""," ",H317," ",I317)</f>
        <v>  </v>
      </c>
      <c r="K317" s="85"/>
      <c r="L317" s="86"/>
      <c r="M317" s="86"/>
      <c r="N317" s="86" t="n">
        <f aca="false">L317*M317</f>
        <v>0</v>
      </c>
      <c r="O317" s="86"/>
      <c r="P317" s="87" t="n">
        <f aca="false">(M317*L317)+O317</f>
        <v>0</v>
      </c>
      <c r="Q317" s="91"/>
    </row>
    <row r="318" customFormat="false" ht="14.25" hidden="false" customHeight="false" outlineLevel="0" collapsed="false">
      <c r="A318" s="77"/>
      <c r="B318" s="78"/>
      <c r="C318" s="79"/>
      <c r="D318" s="80" t="str">
        <f aca="false">_xlfn.IFNA(VLOOKUP(C318,'بيانات الآليات '!A:G,4,FALSE()),"")</f>
        <v/>
      </c>
      <c r="E318" s="81" t="str">
        <f aca="false">_xlfn.IFNA(VLOOKUP(C318,'بيانات الآليات '!A:G,2,FALSE()),"")</f>
        <v/>
      </c>
      <c r="F318" s="81" t="str">
        <f aca="false">_xlfn.IFNA(VLOOKUP(C318,'بيانات الآليات '!A:G,5,FALSE()),"")</f>
        <v/>
      </c>
      <c r="G318" s="82"/>
      <c r="H318" s="83" t="str">
        <f aca="false">_xlfn.IFNA(VLOOKUP(G318,Table14543[],2,FALSE()),"")</f>
        <v/>
      </c>
      <c r="I318" s="84" t="str">
        <f aca="false">_xlfn.IFNA(VLOOKUP(G318,Table14543[],3,FALSE()),"")</f>
        <v/>
      </c>
      <c r="J318" s="83" t="str">
        <f aca="false">CONCATENATE("",G318,""," ",H318," ",I318)</f>
        <v>  </v>
      </c>
      <c r="K318" s="85"/>
      <c r="L318" s="86"/>
      <c r="M318" s="86"/>
      <c r="N318" s="86" t="n">
        <f aca="false">L318*M318</f>
        <v>0</v>
      </c>
      <c r="O318" s="86"/>
      <c r="P318" s="87" t="n">
        <f aca="false">(M318*L318)+O318</f>
        <v>0</v>
      </c>
      <c r="Q318" s="91"/>
    </row>
    <row r="319" customFormat="false" ht="14.25" hidden="false" customHeight="false" outlineLevel="0" collapsed="false">
      <c r="A319" s="77"/>
      <c r="B319" s="78"/>
      <c r="C319" s="79"/>
      <c r="D319" s="80" t="str">
        <f aca="false">_xlfn.IFNA(VLOOKUP(C319,'بيانات الآليات '!A:G,4,FALSE()),"")</f>
        <v/>
      </c>
      <c r="E319" s="81" t="str">
        <f aca="false">_xlfn.IFNA(VLOOKUP(C319,'بيانات الآليات '!A:G,2,FALSE()),"")</f>
        <v/>
      </c>
      <c r="F319" s="81" t="str">
        <f aca="false">_xlfn.IFNA(VLOOKUP(C319,'بيانات الآليات '!A:G,5,FALSE()),"")</f>
        <v/>
      </c>
      <c r="G319" s="82"/>
      <c r="H319" s="83" t="str">
        <f aca="false">_xlfn.IFNA(VLOOKUP(G319,Table14543[],2,FALSE()),"")</f>
        <v/>
      </c>
      <c r="I319" s="84" t="str">
        <f aca="false">_xlfn.IFNA(VLOOKUP(G319,Table14543[],3,FALSE()),"")</f>
        <v/>
      </c>
      <c r="J319" s="83" t="str">
        <f aca="false">CONCATENATE("",G319,""," ",H319," ",I319)</f>
        <v>  </v>
      </c>
      <c r="K319" s="85"/>
      <c r="L319" s="86"/>
      <c r="M319" s="86"/>
      <c r="N319" s="86" t="n">
        <f aca="false">L319*M319</f>
        <v>0</v>
      </c>
      <c r="O319" s="86"/>
      <c r="P319" s="87" t="n">
        <f aca="false">(M319*L319)+O319</f>
        <v>0</v>
      </c>
      <c r="Q319" s="91"/>
    </row>
    <row r="320" customFormat="false" ht="14.25" hidden="false" customHeight="false" outlineLevel="0" collapsed="false">
      <c r="A320" s="77"/>
      <c r="B320" s="78"/>
      <c r="C320" s="79"/>
      <c r="D320" s="80" t="str">
        <f aca="false">_xlfn.IFNA(VLOOKUP(C320,'بيانات الآليات '!A:G,4,FALSE()),"")</f>
        <v/>
      </c>
      <c r="E320" s="81" t="str">
        <f aca="false">_xlfn.IFNA(VLOOKUP(C320,'بيانات الآليات '!A:G,2,FALSE()),"")</f>
        <v/>
      </c>
      <c r="F320" s="81" t="str">
        <f aca="false">_xlfn.IFNA(VLOOKUP(C320,'بيانات الآليات '!A:G,5,FALSE()),"")</f>
        <v/>
      </c>
      <c r="G320" s="82"/>
      <c r="H320" s="83" t="str">
        <f aca="false">_xlfn.IFNA(VLOOKUP(G320,Table14543[],2,FALSE()),"")</f>
        <v/>
      </c>
      <c r="I320" s="84" t="str">
        <f aca="false">_xlfn.IFNA(VLOOKUP(G320,Table14543[],3,FALSE()),"")</f>
        <v/>
      </c>
      <c r="J320" s="83" t="str">
        <f aca="false">CONCATENATE("",G320,""," ",H320," ",I320)</f>
        <v>  </v>
      </c>
      <c r="K320" s="85"/>
      <c r="L320" s="86"/>
      <c r="M320" s="86"/>
      <c r="N320" s="86" t="n">
        <f aca="false">L320*M320</f>
        <v>0</v>
      </c>
      <c r="O320" s="86"/>
      <c r="P320" s="87" t="n">
        <f aca="false">(M320*L320)+O320</f>
        <v>0</v>
      </c>
      <c r="Q320" s="91"/>
    </row>
    <row r="321" customFormat="false" ht="14.25" hidden="false" customHeight="false" outlineLevel="0" collapsed="false">
      <c r="A321" s="77"/>
      <c r="B321" s="78"/>
      <c r="C321" s="79"/>
      <c r="D321" s="80" t="str">
        <f aca="false">_xlfn.IFNA(VLOOKUP(C321,'بيانات الآليات '!A:G,4,FALSE()),"")</f>
        <v/>
      </c>
      <c r="E321" s="81" t="str">
        <f aca="false">_xlfn.IFNA(VLOOKUP(C321,'بيانات الآليات '!A:G,2,FALSE()),"")</f>
        <v/>
      </c>
      <c r="F321" s="81" t="str">
        <f aca="false">_xlfn.IFNA(VLOOKUP(C321,'بيانات الآليات '!A:G,5,FALSE()),"")</f>
        <v/>
      </c>
      <c r="G321" s="82"/>
      <c r="H321" s="83" t="str">
        <f aca="false">_xlfn.IFNA(VLOOKUP(G321,Table14543[],2,FALSE()),"")</f>
        <v/>
      </c>
      <c r="I321" s="84" t="str">
        <f aca="false">_xlfn.IFNA(VLOOKUP(G321,Table14543[],3,FALSE()),"")</f>
        <v/>
      </c>
      <c r="J321" s="83" t="str">
        <f aca="false">CONCATENATE("",G321,""," ",H321," ",I321)</f>
        <v>  </v>
      </c>
      <c r="K321" s="85"/>
      <c r="L321" s="86"/>
      <c r="M321" s="86"/>
      <c r="N321" s="86" t="n">
        <f aca="false">L321*M321</f>
        <v>0</v>
      </c>
      <c r="O321" s="86"/>
      <c r="P321" s="87" t="n">
        <f aca="false">(M321*L321)+O321</f>
        <v>0</v>
      </c>
      <c r="Q321" s="91"/>
    </row>
    <row r="322" customFormat="false" ht="14.25" hidden="false" customHeight="false" outlineLevel="0" collapsed="false">
      <c r="A322" s="77"/>
      <c r="B322" s="78"/>
      <c r="C322" s="79"/>
      <c r="D322" s="80" t="str">
        <f aca="false">_xlfn.IFNA(VLOOKUP(C322,'بيانات الآليات '!A:G,4,FALSE()),"")</f>
        <v/>
      </c>
      <c r="E322" s="81" t="str">
        <f aca="false">_xlfn.IFNA(VLOOKUP(C322,'بيانات الآليات '!A:G,2,FALSE()),"")</f>
        <v/>
      </c>
      <c r="F322" s="81" t="str">
        <f aca="false">_xlfn.IFNA(VLOOKUP(C322,'بيانات الآليات '!A:G,5,FALSE()),"")</f>
        <v/>
      </c>
      <c r="G322" s="82"/>
      <c r="H322" s="83" t="str">
        <f aca="false">_xlfn.IFNA(VLOOKUP(G322,Table14543[],2,FALSE()),"")</f>
        <v/>
      </c>
      <c r="I322" s="84" t="str">
        <f aca="false">_xlfn.IFNA(VLOOKUP(G322,Table14543[],3,FALSE()),"")</f>
        <v/>
      </c>
      <c r="J322" s="83" t="str">
        <f aca="false">CONCATENATE("",G322,""," ",H322," ",I322)</f>
        <v>  </v>
      </c>
      <c r="K322" s="85"/>
      <c r="L322" s="86"/>
      <c r="M322" s="86"/>
      <c r="N322" s="86" t="n">
        <f aca="false">L322*M322</f>
        <v>0</v>
      </c>
      <c r="O322" s="86"/>
      <c r="P322" s="87" t="n">
        <f aca="false">(M322*L322)+O322</f>
        <v>0</v>
      </c>
      <c r="Q322" s="91"/>
    </row>
    <row r="323" customFormat="false" ht="14.25" hidden="false" customHeight="false" outlineLevel="0" collapsed="false">
      <c r="A323" s="77"/>
      <c r="B323" s="78"/>
      <c r="C323" s="79"/>
      <c r="D323" s="80" t="str">
        <f aca="false">_xlfn.IFNA(VLOOKUP(C323,'بيانات الآليات '!A:G,4,FALSE()),"")</f>
        <v/>
      </c>
      <c r="E323" s="81" t="str">
        <f aca="false">_xlfn.IFNA(VLOOKUP(C323,'بيانات الآليات '!A:G,2,FALSE()),"")</f>
        <v/>
      </c>
      <c r="F323" s="81" t="str">
        <f aca="false">_xlfn.IFNA(VLOOKUP(C323,'بيانات الآليات '!A:G,5,FALSE()),"")</f>
        <v/>
      </c>
      <c r="G323" s="82"/>
      <c r="H323" s="83" t="str">
        <f aca="false">_xlfn.IFNA(VLOOKUP(G323,Table14543[],2,FALSE()),"")</f>
        <v/>
      </c>
      <c r="I323" s="84" t="str">
        <f aca="false">_xlfn.IFNA(VLOOKUP(G323,Table14543[],3,FALSE()),"")</f>
        <v/>
      </c>
      <c r="J323" s="83" t="str">
        <f aca="false">CONCATENATE("",G323,""," ",H323," ",I323)</f>
        <v>  </v>
      </c>
      <c r="K323" s="85"/>
      <c r="L323" s="86"/>
      <c r="M323" s="86"/>
      <c r="N323" s="86" t="n">
        <f aca="false">L323*M323</f>
        <v>0</v>
      </c>
      <c r="O323" s="86"/>
      <c r="P323" s="87" t="n">
        <f aca="false">(M323*L323)+O323</f>
        <v>0</v>
      </c>
      <c r="Q323" s="91"/>
    </row>
    <row r="324" customFormat="false" ht="14.25" hidden="false" customHeight="false" outlineLevel="0" collapsed="false">
      <c r="A324" s="77"/>
      <c r="B324" s="78"/>
      <c r="C324" s="79"/>
      <c r="D324" s="80" t="str">
        <f aca="false">_xlfn.IFNA(VLOOKUP(C324,'بيانات الآليات '!A:G,4,FALSE()),"")</f>
        <v/>
      </c>
      <c r="E324" s="81" t="str">
        <f aca="false">_xlfn.IFNA(VLOOKUP(C324,'بيانات الآليات '!A:G,2,FALSE()),"")</f>
        <v/>
      </c>
      <c r="F324" s="81" t="str">
        <f aca="false">_xlfn.IFNA(VLOOKUP(C324,'بيانات الآليات '!A:G,5,FALSE()),"")</f>
        <v/>
      </c>
      <c r="G324" s="82"/>
      <c r="H324" s="83" t="str">
        <f aca="false">_xlfn.IFNA(VLOOKUP(G324,Table14543[],2,FALSE()),"")</f>
        <v/>
      </c>
      <c r="I324" s="84" t="str">
        <f aca="false">_xlfn.IFNA(VLOOKUP(G324,Table14543[],3,FALSE()),"")</f>
        <v/>
      </c>
      <c r="J324" s="83" t="str">
        <f aca="false">CONCATENATE("",G324,""," ",H324," ",I324)</f>
        <v>  </v>
      </c>
      <c r="K324" s="85"/>
      <c r="L324" s="86"/>
      <c r="M324" s="86"/>
      <c r="N324" s="86" t="n">
        <f aca="false">L324*M324</f>
        <v>0</v>
      </c>
      <c r="O324" s="86"/>
      <c r="P324" s="87" t="n">
        <f aca="false">(M324*L324)+O324</f>
        <v>0</v>
      </c>
      <c r="Q324" s="91"/>
    </row>
    <row r="325" customFormat="false" ht="14.25" hidden="false" customHeight="false" outlineLevel="0" collapsed="false">
      <c r="A325" s="77"/>
      <c r="B325" s="78"/>
      <c r="C325" s="79"/>
      <c r="D325" s="80" t="str">
        <f aca="false">_xlfn.IFNA(VLOOKUP(C325,'بيانات الآليات '!A:G,4,FALSE()),"")</f>
        <v/>
      </c>
      <c r="E325" s="81" t="str">
        <f aca="false">_xlfn.IFNA(VLOOKUP(C325,'بيانات الآليات '!A:G,2,FALSE()),"")</f>
        <v/>
      </c>
      <c r="F325" s="81" t="str">
        <f aca="false">_xlfn.IFNA(VLOOKUP(C325,'بيانات الآليات '!A:G,5,FALSE()),"")</f>
        <v/>
      </c>
      <c r="G325" s="82"/>
      <c r="H325" s="83" t="str">
        <f aca="false">_xlfn.IFNA(VLOOKUP(G325,Table14543[],2,FALSE()),"")</f>
        <v/>
      </c>
      <c r="I325" s="84" t="str">
        <f aca="false">_xlfn.IFNA(VLOOKUP(G325,Table14543[],3,FALSE()),"")</f>
        <v/>
      </c>
      <c r="J325" s="83" t="str">
        <f aca="false">CONCATENATE("",G325,""," ",H325," ",I325)</f>
        <v>  </v>
      </c>
      <c r="K325" s="85"/>
      <c r="L325" s="86"/>
      <c r="M325" s="86"/>
      <c r="N325" s="86" t="n">
        <f aca="false">L325*M325</f>
        <v>0</v>
      </c>
      <c r="O325" s="86"/>
      <c r="P325" s="87" t="n">
        <f aca="false">(M325*L325)+O325</f>
        <v>0</v>
      </c>
      <c r="Q325" s="91"/>
    </row>
    <row r="326" customFormat="false" ht="14.25" hidden="false" customHeight="false" outlineLevel="0" collapsed="false">
      <c r="A326" s="77"/>
      <c r="B326" s="78"/>
      <c r="C326" s="79"/>
      <c r="D326" s="80" t="str">
        <f aca="false">_xlfn.IFNA(VLOOKUP(C326,'بيانات الآليات '!A:G,4,FALSE()),"")</f>
        <v/>
      </c>
      <c r="E326" s="81" t="str">
        <f aca="false">_xlfn.IFNA(VLOOKUP(C326,'بيانات الآليات '!A:G,2,FALSE()),"")</f>
        <v/>
      </c>
      <c r="F326" s="81" t="str">
        <f aca="false">_xlfn.IFNA(VLOOKUP(C326,'بيانات الآليات '!A:G,5,FALSE()),"")</f>
        <v/>
      </c>
      <c r="G326" s="82"/>
      <c r="H326" s="83" t="str">
        <f aca="false">_xlfn.IFNA(VLOOKUP(G326,Table14543[],2,FALSE()),"")</f>
        <v/>
      </c>
      <c r="I326" s="84" t="str">
        <f aca="false">_xlfn.IFNA(VLOOKUP(G326,Table14543[],3,FALSE()),"")</f>
        <v/>
      </c>
      <c r="J326" s="83" t="str">
        <f aca="false">CONCATENATE("",G326,""," ",H326," ",I326)</f>
        <v>  </v>
      </c>
      <c r="K326" s="85"/>
      <c r="L326" s="86"/>
      <c r="M326" s="86"/>
      <c r="N326" s="86" t="n">
        <f aca="false">L326*M326</f>
        <v>0</v>
      </c>
      <c r="O326" s="86"/>
      <c r="P326" s="87" t="n">
        <f aca="false">(M326*L326)+O326</f>
        <v>0</v>
      </c>
      <c r="Q326" s="91"/>
    </row>
    <row r="327" customFormat="false" ht="14.25" hidden="false" customHeight="false" outlineLevel="0" collapsed="false">
      <c r="A327" s="77"/>
      <c r="B327" s="78"/>
      <c r="C327" s="79"/>
      <c r="D327" s="80" t="str">
        <f aca="false">_xlfn.IFNA(VLOOKUP(C327,'بيانات الآليات '!A:G,4,FALSE()),"")</f>
        <v/>
      </c>
      <c r="E327" s="81" t="str">
        <f aca="false">_xlfn.IFNA(VLOOKUP(C327,'بيانات الآليات '!A:G,2,FALSE()),"")</f>
        <v/>
      </c>
      <c r="F327" s="81" t="str">
        <f aca="false">_xlfn.IFNA(VLOOKUP(C327,'بيانات الآليات '!A:G,5,FALSE()),"")</f>
        <v/>
      </c>
      <c r="G327" s="82"/>
      <c r="H327" s="83" t="str">
        <f aca="false">_xlfn.IFNA(VLOOKUP(G327,Table14543[],2,FALSE()),"")</f>
        <v/>
      </c>
      <c r="I327" s="84" t="str">
        <f aca="false">_xlfn.IFNA(VLOOKUP(G327,Table14543[],3,FALSE()),"")</f>
        <v/>
      </c>
      <c r="J327" s="83" t="str">
        <f aca="false">CONCATENATE("",G327,""," ",H327," ",I327)</f>
        <v>  </v>
      </c>
      <c r="K327" s="85"/>
      <c r="L327" s="86"/>
      <c r="M327" s="86"/>
      <c r="N327" s="86" t="n">
        <f aca="false">L327*M327</f>
        <v>0</v>
      </c>
      <c r="O327" s="86"/>
      <c r="P327" s="87" t="n">
        <f aca="false">(M327*L327)+O327</f>
        <v>0</v>
      </c>
      <c r="Q327" s="91"/>
    </row>
    <row r="328" customFormat="false" ht="14.25" hidden="false" customHeight="false" outlineLevel="0" collapsed="false">
      <c r="A328" s="77"/>
      <c r="B328" s="78"/>
      <c r="C328" s="79"/>
      <c r="D328" s="80" t="str">
        <f aca="false">_xlfn.IFNA(VLOOKUP(C328,'بيانات الآليات '!A:G,4,FALSE()),"")</f>
        <v/>
      </c>
      <c r="E328" s="81" t="str">
        <f aca="false">_xlfn.IFNA(VLOOKUP(C328,'بيانات الآليات '!A:G,2,FALSE()),"")</f>
        <v/>
      </c>
      <c r="F328" s="81" t="str">
        <f aca="false">_xlfn.IFNA(VLOOKUP(C328,'بيانات الآليات '!A:G,5,FALSE()),"")</f>
        <v/>
      </c>
      <c r="G328" s="82"/>
      <c r="H328" s="83" t="str">
        <f aca="false">_xlfn.IFNA(VLOOKUP(G328,Table14543[],2,FALSE()),"")</f>
        <v/>
      </c>
      <c r="I328" s="84" t="str">
        <f aca="false">_xlfn.IFNA(VLOOKUP(G328,Table14543[],3,FALSE()),"")</f>
        <v/>
      </c>
      <c r="J328" s="83" t="str">
        <f aca="false">CONCATENATE("",G328,""," ",H328," ",I328)</f>
        <v>  </v>
      </c>
      <c r="K328" s="85"/>
      <c r="L328" s="86"/>
      <c r="M328" s="86"/>
      <c r="N328" s="86" t="n">
        <f aca="false">L328*M328</f>
        <v>0</v>
      </c>
      <c r="O328" s="86"/>
      <c r="P328" s="87" t="n">
        <f aca="false">(M328*L328)+O328</f>
        <v>0</v>
      </c>
      <c r="Q328" s="91"/>
    </row>
    <row r="329" customFormat="false" ht="14.25" hidden="false" customHeight="false" outlineLevel="0" collapsed="false">
      <c r="A329" s="77"/>
      <c r="B329" s="78"/>
      <c r="C329" s="79"/>
      <c r="D329" s="80" t="str">
        <f aca="false">_xlfn.IFNA(VLOOKUP(C329,'بيانات الآليات '!A:G,4,FALSE()),"")</f>
        <v/>
      </c>
      <c r="E329" s="81" t="str">
        <f aca="false">_xlfn.IFNA(VLOOKUP(C329,'بيانات الآليات '!A:G,2,FALSE()),"")</f>
        <v/>
      </c>
      <c r="F329" s="81" t="str">
        <f aca="false">_xlfn.IFNA(VLOOKUP(C329,'بيانات الآليات '!A:G,5,FALSE()),"")</f>
        <v/>
      </c>
      <c r="G329" s="82"/>
      <c r="H329" s="83" t="str">
        <f aca="false">_xlfn.IFNA(VLOOKUP(G329,Table14543[],2,FALSE()),"")</f>
        <v/>
      </c>
      <c r="I329" s="84" t="str">
        <f aca="false">_xlfn.IFNA(VLOOKUP(G329,Table14543[],3,FALSE()),"")</f>
        <v/>
      </c>
      <c r="J329" s="83" t="str">
        <f aca="false">CONCATENATE("",G329,""," ",H329," ",I329)</f>
        <v>  </v>
      </c>
      <c r="K329" s="85"/>
      <c r="L329" s="86"/>
      <c r="M329" s="86"/>
      <c r="N329" s="86" t="n">
        <f aca="false">L329*M329</f>
        <v>0</v>
      </c>
      <c r="O329" s="86"/>
      <c r="P329" s="87" t="n">
        <f aca="false">(M329*L329)+O329</f>
        <v>0</v>
      </c>
      <c r="Q329" s="91"/>
    </row>
    <row r="330" customFormat="false" ht="14.25" hidden="false" customHeight="false" outlineLevel="0" collapsed="false">
      <c r="A330" s="77"/>
      <c r="B330" s="78"/>
      <c r="C330" s="79"/>
      <c r="D330" s="80" t="str">
        <f aca="false">_xlfn.IFNA(VLOOKUP(C330,'بيانات الآليات '!A:G,4,FALSE()),"")</f>
        <v/>
      </c>
      <c r="E330" s="81" t="str">
        <f aca="false">_xlfn.IFNA(VLOOKUP(C330,'بيانات الآليات '!A:G,2,FALSE()),"")</f>
        <v/>
      </c>
      <c r="F330" s="81" t="str">
        <f aca="false">_xlfn.IFNA(VLOOKUP(C330,'بيانات الآليات '!A:G,5,FALSE()),"")</f>
        <v/>
      </c>
      <c r="G330" s="82"/>
      <c r="H330" s="83" t="str">
        <f aca="false">_xlfn.IFNA(VLOOKUP(G330,Table14543[],2,FALSE()),"")</f>
        <v/>
      </c>
      <c r="I330" s="84" t="str">
        <f aca="false">_xlfn.IFNA(VLOOKUP(G330,Table14543[],3,FALSE()),"")</f>
        <v/>
      </c>
      <c r="J330" s="83" t="str">
        <f aca="false">CONCATENATE("",G330,""," ",H330," ",I330)</f>
        <v>  </v>
      </c>
      <c r="K330" s="85"/>
      <c r="L330" s="86"/>
      <c r="M330" s="86"/>
      <c r="N330" s="86" t="n">
        <f aca="false">L330*M330</f>
        <v>0</v>
      </c>
      <c r="O330" s="86"/>
      <c r="P330" s="87" t="n">
        <f aca="false">(M330*L330)+O330</f>
        <v>0</v>
      </c>
      <c r="Q330" s="91"/>
    </row>
    <row r="331" customFormat="false" ht="14.25" hidden="false" customHeight="false" outlineLevel="0" collapsed="false">
      <c r="A331" s="77"/>
      <c r="B331" s="78"/>
      <c r="C331" s="79"/>
      <c r="D331" s="80" t="str">
        <f aca="false">_xlfn.IFNA(VLOOKUP(C331,'بيانات الآليات '!A:G,4,FALSE()),"")</f>
        <v/>
      </c>
      <c r="E331" s="81" t="str">
        <f aca="false">_xlfn.IFNA(VLOOKUP(C331,'بيانات الآليات '!A:G,2,FALSE()),"")</f>
        <v/>
      </c>
      <c r="F331" s="81" t="str">
        <f aca="false">_xlfn.IFNA(VLOOKUP(C331,'بيانات الآليات '!A:G,5,FALSE()),"")</f>
        <v/>
      </c>
      <c r="G331" s="82"/>
      <c r="H331" s="83" t="str">
        <f aca="false">_xlfn.IFNA(VLOOKUP(G331,Table14543[],2,FALSE()),"")</f>
        <v/>
      </c>
      <c r="I331" s="84" t="str">
        <f aca="false">_xlfn.IFNA(VLOOKUP(G331,Table14543[],3,FALSE()),"")</f>
        <v/>
      </c>
      <c r="J331" s="83" t="str">
        <f aca="false">CONCATENATE("",G331,""," ",H331," ",I331)</f>
        <v>  </v>
      </c>
      <c r="K331" s="85"/>
      <c r="L331" s="86"/>
      <c r="M331" s="86"/>
      <c r="N331" s="86" t="n">
        <f aca="false">L331*M331</f>
        <v>0</v>
      </c>
      <c r="O331" s="86"/>
      <c r="P331" s="87" t="n">
        <f aca="false">(M331*L331)+O331</f>
        <v>0</v>
      </c>
      <c r="Q331" s="91"/>
    </row>
    <row r="332" customFormat="false" ht="14.25" hidden="false" customHeight="false" outlineLevel="0" collapsed="false">
      <c r="A332" s="77"/>
      <c r="B332" s="78"/>
      <c r="C332" s="79"/>
      <c r="D332" s="80" t="str">
        <f aca="false">_xlfn.IFNA(VLOOKUP(C332,'بيانات الآليات '!A:G,4,FALSE()),"")</f>
        <v/>
      </c>
      <c r="E332" s="81" t="str">
        <f aca="false">_xlfn.IFNA(VLOOKUP(C332,'بيانات الآليات '!A:G,2,FALSE()),"")</f>
        <v/>
      </c>
      <c r="F332" s="81" t="str">
        <f aca="false">_xlfn.IFNA(VLOOKUP(C332,'بيانات الآليات '!A:G,5,FALSE()),"")</f>
        <v/>
      </c>
      <c r="G332" s="82"/>
      <c r="H332" s="83" t="str">
        <f aca="false">_xlfn.IFNA(VLOOKUP(G332,Table14543[],2,FALSE()),"")</f>
        <v/>
      </c>
      <c r="I332" s="84" t="str">
        <f aca="false">_xlfn.IFNA(VLOOKUP(G332,Table14543[],3,FALSE()),"")</f>
        <v/>
      </c>
      <c r="J332" s="83" t="str">
        <f aca="false">CONCATENATE("",G332,""," ",H332," ",I332)</f>
        <v>  </v>
      </c>
      <c r="K332" s="85"/>
      <c r="L332" s="86"/>
      <c r="M332" s="86"/>
      <c r="N332" s="86" t="n">
        <f aca="false">L332*M332</f>
        <v>0</v>
      </c>
      <c r="O332" s="86"/>
      <c r="P332" s="87" t="n">
        <f aca="false">(M332*L332)+O332</f>
        <v>0</v>
      </c>
      <c r="Q332" s="91"/>
    </row>
    <row r="333" customFormat="false" ht="14.25" hidden="false" customHeight="false" outlineLevel="0" collapsed="false">
      <c r="A333" s="77"/>
      <c r="B333" s="78"/>
      <c r="C333" s="79"/>
      <c r="D333" s="80" t="str">
        <f aca="false">_xlfn.IFNA(VLOOKUP(C333,'بيانات الآليات '!A:G,4,FALSE()),"")</f>
        <v/>
      </c>
      <c r="E333" s="81" t="str">
        <f aca="false">_xlfn.IFNA(VLOOKUP(C333,'بيانات الآليات '!A:G,2,FALSE()),"")</f>
        <v/>
      </c>
      <c r="F333" s="81" t="str">
        <f aca="false">_xlfn.IFNA(VLOOKUP(C333,'بيانات الآليات '!A:G,5,FALSE()),"")</f>
        <v/>
      </c>
      <c r="G333" s="82"/>
      <c r="H333" s="83" t="str">
        <f aca="false">_xlfn.IFNA(VLOOKUP(G333,Table14543[],2,FALSE()),"")</f>
        <v/>
      </c>
      <c r="I333" s="84" t="str">
        <f aca="false">_xlfn.IFNA(VLOOKUP(G333,Table14543[],3,FALSE()),"")</f>
        <v/>
      </c>
      <c r="J333" s="83" t="str">
        <f aca="false">CONCATENATE("",G333,""," ",H333," ",I333)</f>
        <v>  </v>
      </c>
      <c r="K333" s="85"/>
      <c r="L333" s="86"/>
      <c r="M333" s="86"/>
      <c r="N333" s="86" t="n">
        <f aca="false">L333*M333</f>
        <v>0</v>
      </c>
      <c r="O333" s="86"/>
      <c r="P333" s="87" t="n">
        <f aca="false">(M333*L333)+O333</f>
        <v>0</v>
      </c>
      <c r="Q333" s="91"/>
    </row>
    <row r="334" customFormat="false" ht="14.25" hidden="false" customHeight="false" outlineLevel="0" collapsed="false">
      <c r="A334" s="77"/>
      <c r="B334" s="78"/>
      <c r="C334" s="79"/>
      <c r="D334" s="80" t="str">
        <f aca="false">_xlfn.IFNA(VLOOKUP(C334,'بيانات الآليات '!A:G,4,FALSE()),"")</f>
        <v/>
      </c>
      <c r="E334" s="81" t="str">
        <f aca="false">_xlfn.IFNA(VLOOKUP(C334,'بيانات الآليات '!A:G,2,FALSE()),"")</f>
        <v/>
      </c>
      <c r="F334" s="81" t="str">
        <f aca="false">_xlfn.IFNA(VLOOKUP(C334,'بيانات الآليات '!A:G,5,FALSE()),"")</f>
        <v/>
      </c>
      <c r="G334" s="82"/>
      <c r="H334" s="83" t="str">
        <f aca="false">_xlfn.IFNA(VLOOKUP(G334,Table14543[],2,FALSE()),"")</f>
        <v/>
      </c>
      <c r="I334" s="84" t="str">
        <f aca="false">_xlfn.IFNA(VLOOKUP(G334,Table14543[],3,FALSE()),"")</f>
        <v/>
      </c>
      <c r="J334" s="83" t="str">
        <f aca="false">CONCATENATE("",G334,""," ",H334," ",I334)</f>
        <v>  </v>
      </c>
      <c r="K334" s="85"/>
      <c r="L334" s="86"/>
      <c r="M334" s="86"/>
      <c r="N334" s="86" t="n">
        <f aca="false">L334*M334</f>
        <v>0</v>
      </c>
      <c r="O334" s="86"/>
      <c r="P334" s="87" t="n">
        <f aca="false">(M334*L334)+O334</f>
        <v>0</v>
      </c>
      <c r="Q334" s="91"/>
    </row>
    <row r="335" customFormat="false" ht="14.25" hidden="false" customHeight="false" outlineLevel="0" collapsed="false">
      <c r="A335" s="77"/>
      <c r="B335" s="78"/>
      <c r="C335" s="79"/>
      <c r="D335" s="80" t="str">
        <f aca="false">_xlfn.IFNA(VLOOKUP(C335,'بيانات الآليات '!A:G,4,FALSE()),"")</f>
        <v/>
      </c>
      <c r="E335" s="81" t="str">
        <f aca="false">_xlfn.IFNA(VLOOKUP(C335,'بيانات الآليات '!A:G,2,FALSE()),"")</f>
        <v/>
      </c>
      <c r="F335" s="81" t="str">
        <f aca="false">_xlfn.IFNA(VLOOKUP(C335,'بيانات الآليات '!A:G,5,FALSE()),"")</f>
        <v/>
      </c>
      <c r="G335" s="82"/>
      <c r="H335" s="83" t="str">
        <f aca="false">_xlfn.IFNA(VLOOKUP(G335,Table14543[],2,FALSE()),"")</f>
        <v/>
      </c>
      <c r="I335" s="84" t="str">
        <f aca="false">_xlfn.IFNA(VLOOKUP(G335,Table14543[],3,FALSE()),"")</f>
        <v/>
      </c>
      <c r="J335" s="83" t="str">
        <f aca="false">CONCATENATE("",G335,""," ",H335," ",I335)</f>
        <v>  </v>
      </c>
      <c r="K335" s="85"/>
      <c r="L335" s="86"/>
      <c r="M335" s="86"/>
      <c r="N335" s="86" t="n">
        <f aca="false">L335*M335</f>
        <v>0</v>
      </c>
      <c r="O335" s="86"/>
      <c r="P335" s="87" t="n">
        <f aca="false">(M335*L335)+O335</f>
        <v>0</v>
      </c>
      <c r="Q335" s="91"/>
    </row>
    <row r="336" customFormat="false" ht="14.25" hidden="false" customHeight="false" outlineLevel="0" collapsed="false">
      <c r="A336" s="77"/>
      <c r="B336" s="78"/>
      <c r="C336" s="79"/>
      <c r="D336" s="80" t="str">
        <f aca="false">_xlfn.IFNA(VLOOKUP(C336,'بيانات الآليات '!A:G,4,FALSE()),"")</f>
        <v/>
      </c>
      <c r="E336" s="81" t="str">
        <f aca="false">_xlfn.IFNA(VLOOKUP(C336,'بيانات الآليات '!A:G,2,FALSE()),"")</f>
        <v/>
      </c>
      <c r="F336" s="81" t="str">
        <f aca="false">_xlfn.IFNA(VLOOKUP(C336,'بيانات الآليات '!A:G,5,FALSE()),"")</f>
        <v/>
      </c>
      <c r="G336" s="82"/>
      <c r="H336" s="83" t="str">
        <f aca="false">_xlfn.IFNA(VLOOKUP(G336,Table14543[],2,FALSE()),"")</f>
        <v/>
      </c>
      <c r="I336" s="84" t="str">
        <f aca="false">_xlfn.IFNA(VLOOKUP(G336,Table14543[],3,FALSE()),"")</f>
        <v/>
      </c>
      <c r="J336" s="83" t="str">
        <f aca="false">CONCATENATE("",G336,""," ",H336," ",I336)</f>
        <v>  </v>
      </c>
      <c r="K336" s="85"/>
      <c r="L336" s="86"/>
      <c r="M336" s="86"/>
      <c r="N336" s="86" t="n">
        <f aca="false">L336*M336</f>
        <v>0</v>
      </c>
      <c r="O336" s="86"/>
      <c r="P336" s="87" t="n">
        <f aca="false">(M336*L336)+O336</f>
        <v>0</v>
      </c>
      <c r="Q336" s="91"/>
    </row>
    <row r="337" customFormat="false" ht="14.25" hidden="false" customHeight="false" outlineLevel="0" collapsed="false">
      <c r="A337" s="77"/>
      <c r="B337" s="78"/>
      <c r="C337" s="79"/>
      <c r="D337" s="80" t="str">
        <f aca="false">_xlfn.IFNA(VLOOKUP(C337,'بيانات الآليات '!A:G,4,FALSE()),"")</f>
        <v/>
      </c>
      <c r="E337" s="81" t="str">
        <f aca="false">_xlfn.IFNA(VLOOKUP(C337,'بيانات الآليات '!A:G,2,FALSE()),"")</f>
        <v/>
      </c>
      <c r="F337" s="81" t="str">
        <f aca="false">_xlfn.IFNA(VLOOKUP(C337,'بيانات الآليات '!A:G,5,FALSE()),"")</f>
        <v/>
      </c>
      <c r="G337" s="82"/>
      <c r="H337" s="83" t="str">
        <f aca="false">_xlfn.IFNA(VLOOKUP(G337,Table14543[],2,FALSE()),"")</f>
        <v/>
      </c>
      <c r="I337" s="84" t="str">
        <f aca="false">_xlfn.IFNA(VLOOKUP(G337,Table14543[],3,FALSE()),"")</f>
        <v/>
      </c>
      <c r="J337" s="83" t="str">
        <f aca="false">CONCATENATE("",G337,""," ",H337," ",I337)</f>
        <v>  </v>
      </c>
      <c r="K337" s="85"/>
      <c r="L337" s="86"/>
      <c r="M337" s="86"/>
      <c r="N337" s="86" t="n">
        <f aca="false">L337*M337</f>
        <v>0</v>
      </c>
      <c r="O337" s="86"/>
      <c r="P337" s="87" t="n">
        <f aca="false">(M337*L337)+O337</f>
        <v>0</v>
      </c>
      <c r="Q337" s="91"/>
    </row>
    <row r="338" customFormat="false" ht="14.25" hidden="false" customHeight="false" outlineLevel="0" collapsed="false">
      <c r="A338" s="77"/>
      <c r="B338" s="78"/>
      <c r="C338" s="79"/>
      <c r="D338" s="80" t="str">
        <f aca="false">_xlfn.IFNA(VLOOKUP(C338,'بيانات الآليات '!A:G,4,FALSE()),"")</f>
        <v/>
      </c>
      <c r="E338" s="81" t="str">
        <f aca="false">_xlfn.IFNA(VLOOKUP(C338,'بيانات الآليات '!A:G,2,FALSE()),"")</f>
        <v/>
      </c>
      <c r="F338" s="81" t="str">
        <f aca="false">_xlfn.IFNA(VLOOKUP(C338,'بيانات الآليات '!A:G,5,FALSE()),"")</f>
        <v/>
      </c>
      <c r="G338" s="82"/>
      <c r="H338" s="83" t="str">
        <f aca="false">_xlfn.IFNA(VLOOKUP(G338,Table14543[],2,FALSE()),"")</f>
        <v/>
      </c>
      <c r="I338" s="84" t="str">
        <f aca="false">_xlfn.IFNA(VLOOKUP(G338,Table14543[],3,FALSE()),"")</f>
        <v/>
      </c>
      <c r="J338" s="83" t="str">
        <f aca="false">CONCATENATE("",G338,""," ",H338," ",I338)</f>
        <v>  </v>
      </c>
      <c r="K338" s="85"/>
      <c r="L338" s="86"/>
      <c r="M338" s="86"/>
      <c r="N338" s="86" t="n">
        <f aca="false">L338*M338</f>
        <v>0</v>
      </c>
      <c r="O338" s="86"/>
      <c r="P338" s="87" t="n">
        <f aca="false">(M338*L338)+O338</f>
        <v>0</v>
      </c>
      <c r="Q338" s="91"/>
    </row>
    <row r="339" customFormat="false" ht="14.25" hidden="false" customHeight="false" outlineLevel="0" collapsed="false">
      <c r="A339" s="77"/>
      <c r="B339" s="78"/>
      <c r="C339" s="79"/>
      <c r="D339" s="80" t="str">
        <f aca="false">_xlfn.IFNA(VLOOKUP(C339,'بيانات الآليات '!A:G,4,FALSE()),"")</f>
        <v/>
      </c>
      <c r="E339" s="81" t="str">
        <f aca="false">_xlfn.IFNA(VLOOKUP(C339,'بيانات الآليات '!A:G,2,FALSE()),"")</f>
        <v/>
      </c>
      <c r="F339" s="81" t="str">
        <f aca="false">_xlfn.IFNA(VLOOKUP(C339,'بيانات الآليات '!A:G,5,FALSE()),"")</f>
        <v/>
      </c>
      <c r="G339" s="82"/>
      <c r="H339" s="83" t="str">
        <f aca="false">_xlfn.IFNA(VLOOKUP(G339,Table14543[],2,FALSE()),"")</f>
        <v/>
      </c>
      <c r="I339" s="84" t="str">
        <f aca="false">_xlfn.IFNA(VLOOKUP(G339,Table14543[],3,FALSE()),"")</f>
        <v/>
      </c>
      <c r="J339" s="83" t="str">
        <f aca="false">CONCATENATE("",G339,""," ",H339," ",I339)</f>
        <v>  </v>
      </c>
      <c r="K339" s="85"/>
      <c r="L339" s="86"/>
      <c r="M339" s="86"/>
      <c r="N339" s="86" t="n">
        <f aca="false">L339*M339</f>
        <v>0</v>
      </c>
      <c r="O339" s="86"/>
      <c r="P339" s="87" t="n">
        <f aca="false">(M339*L339)+O339</f>
        <v>0</v>
      </c>
      <c r="Q339" s="91"/>
    </row>
    <row r="340" customFormat="false" ht="14.25" hidden="false" customHeight="false" outlineLevel="0" collapsed="false">
      <c r="A340" s="77"/>
      <c r="B340" s="78"/>
      <c r="C340" s="79"/>
      <c r="D340" s="80" t="str">
        <f aca="false">_xlfn.IFNA(VLOOKUP(C340,'بيانات الآليات '!A:G,4,FALSE()),"")</f>
        <v/>
      </c>
      <c r="E340" s="81" t="str">
        <f aca="false">_xlfn.IFNA(VLOOKUP(C340,'بيانات الآليات '!A:G,2,FALSE()),"")</f>
        <v/>
      </c>
      <c r="F340" s="81" t="str">
        <f aca="false">_xlfn.IFNA(VLOOKUP(C340,'بيانات الآليات '!A:G,5,FALSE()),"")</f>
        <v/>
      </c>
      <c r="G340" s="82"/>
      <c r="H340" s="83" t="str">
        <f aca="false">_xlfn.IFNA(VLOOKUP(G340,Table14543[],2,FALSE()),"")</f>
        <v/>
      </c>
      <c r="I340" s="84" t="str">
        <f aca="false">_xlfn.IFNA(VLOOKUP(G340,Table14543[],3,FALSE()),"")</f>
        <v/>
      </c>
      <c r="J340" s="83" t="str">
        <f aca="false">CONCATENATE("",G340,""," ",H340," ",I340)</f>
        <v>  </v>
      </c>
      <c r="K340" s="85"/>
      <c r="L340" s="86"/>
      <c r="M340" s="86"/>
      <c r="N340" s="86" t="n">
        <f aca="false">L340*M340</f>
        <v>0</v>
      </c>
      <c r="O340" s="86"/>
      <c r="P340" s="87" t="n">
        <f aca="false">(M340*L340)+O340</f>
        <v>0</v>
      </c>
      <c r="Q340" s="91"/>
    </row>
    <row r="341" customFormat="false" ht="14.25" hidden="false" customHeight="false" outlineLevel="0" collapsed="false">
      <c r="A341" s="77"/>
      <c r="B341" s="78"/>
      <c r="C341" s="79"/>
      <c r="D341" s="80" t="str">
        <f aca="false">_xlfn.IFNA(VLOOKUP(C341,'بيانات الآليات '!A:G,4,FALSE()),"")</f>
        <v/>
      </c>
      <c r="E341" s="81" t="str">
        <f aca="false">_xlfn.IFNA(VLOOKUP(C341,'بيانات الآليات '!A:G,2,FALSE()),"")</f>
        <v/>
      </c>
      <c r="F341" s="81" t="str">
        <f aca="false">_xlfn.IFNA(VLOOKUP(C341,'بيانات الآليات '!A:G,5,FALSE()),"")</f>
        <v/>
      </c>
      <c r="G341" s="82"/>
      <c r="H341" s="83" t="str">
        <f aca="false">_xlfn.IFNA(VLOOKUP(G341,Table14543[],2,FALSE()),"")</f>
        <v/>
      </c>
      <c r="I341" s="84" t="str">
        <f aca="false">_xlfn.IFNA(VLOOKUP(G341,Table14543[],3,FALSE()),"")</f>
        <v/>
      </c>
      <c r="J341" s="83" t="str">
        <f aca="false">CONCATENATE("",G341,""," ",H341," ",I341)</f>
        <v>  </v>
      </c>
      <c r="K341" s="85"/>
      <c r="L341" s="86"/>
      <c r="M341" s="86"/>
      <c r="N341" s="86" t="n">
        <f aca="false">L341*M341</f>
        <v>0</v>
      </c>
      <c r="O341" s="86"/>
      <c r="P341" s="87" t="n">
        <f aca="false">(M341*L341)+O341</f>
        <v>0</v>
      </c>
      <c r="Q341" s="91"/>
    </row>
    <row r="342" customFormat="false" ht="14.25" hidden="false" customHeight="false" outlineLevel="0" collapsed="false">
      <c r="A342" s="77"/>
      <c r="B342" s="78"/>
      <c r="C342" s="79"/>
      <c r="D342" s="80" t="str">
        <f aca="false">_xlfn.IFNA(VLOOKUP(C342,'بيانات الآليات '!A:G,4,FALSE()),"")</f>
        <v/>
      </c>
      <c r="E342" s="81" t="str">
        <f aca="false">_xlfn.IFNA(VLOOKUP(C342,'بيانات الآليات '!A:G,2,FALSE()),"")</f>
        <v/>
      </c>
      <c r="F342" s="81" t="str">
        <f aca="false">_xlfn.IFNA(VLOOKUP(C342,'بيانات الآليات '!A:G,5,FALSE()),"")</f>
        <v/>
      </c>
      <c r="G342" s="82"/>
      <c r="H342" s="83" t="str">
        <f aca="false">_xlfn.IFNA(VLOOKUP(G342,Table14543[],2,FALSE()),"")</f>
        <v/>
      </c>
      <c r="I342" s="84" t="str">
        <f aca="false">_xlfn.IFNA(VLOOKUP(G342,Table14543[],3,FALSE()),"")</f>
        <v/>
      </c>
      <c r="J342" s="83" t="str">
        <f aca="false">CONCATENATE("",G342,""," ",H342," ",I342)</f>
        <v>  </v>
      </c>
      <c r="K342" s="85"/>
      <c r="L342" s="86"/>
      <c r="M342" s="86"/>
      <c r="N342" s="86" t="n">
        <f aca="false">L342*M342</f>
        <v>0</v>
      </c>
      <c r="O342" s="86"/>
      <c r="P342" s="87" t="n">
        <f aca="false">(M342*L342)+O342</f>
        <v>0</v>
      </c>
      <c r="Q342" s="91"/>
    </row>
    <row r="343" customFormat="false" ht="14.25" hidden="false" customHeight="false" outlineLevel="0" collapsed="false">
      <c r="A343" s="77"/>
      <c r="B343" s="78"/>
      <c r="C343" s="79"/>
      <c r="D343" s="80" t="str">
        <f aca="false">_xlfn.IFNA(VLOOKUP(C343,'بيانات الآليات '!A:G,4,FALSE()),"")</f>
        <v/>
      </c>
      <c r="E343" s="81" t="str">
        <f aca="false">_xlfn.IFNA(VLOOKUP(C343,'بيانات الآليات '!A:G,2,FALSE()),"")</f>
        <v/>
      </c>
      <c r="F343" s="81" t="str">
        <f aca="false">_xlfn.IFNA(VLOOKUP(C343,'بيانات الآليات '!A:G,5,FALSE()),"")</f>
        <v/>
      </c>
      <c r="G343" s="82"/>
      <c r="H343" s="83" t="str">
        <f aca="false">_xlfn.IFNA(VLOOKUP(G343,Table14543[],2,FALSE()),"")</f>
        <v/>
      </c>
      <c r="I343" s="84" t="str">
        <f aca="false">_xlfn.IFNA(VLOOKUP(G343,Table14543[],3,FALSE()),"")</f>
        <v/>
      </c>
      <c r="J343" s="83" t="str">
        <f aca="false">CONCATENATE("",G343,""," ",H343," ",I343)</f>
        <v>  </v>
      </c>
      <c r="K343" s="85"/>
      <c r="L343" s="86"/>
      <c r="M343" s="86"/>
      <c r="N343" s="86" t="n">
        <f aca="false">L343*M343</f>
        <v>0</v>
      </c>
      <c r="O343" s="86"/>
      <c r="P343" s="87" t="n">
        <f aca="false">(M343*L343)+O343</f>
        <v>0</v>
      </c>
      <c r="Q343" s="91"/>
    </row>
    <row r="344" customFormat="false" ht="14.25" hidden="false" customHeight="false" outlineLevel="0" collapsed="false">
      <c r="A344" s="77"/>
      <c r="B344" s="78"/>
      <c r="C344" s="79"/>
      <c r="D344" s="80" t="str">
        <f aca="false">_xlfn.IFNA(VLOOKUP(C344,'بيانات الآليات '!A:G,4,FALSE()),"")</f>
        <v/>
      </c>
      <c r="E344" s="81" t="str">
        <f aca="false">_xlfn.IFNA(VLOOKUP(C344,'بيانات الآليات '!A:G,2,FALSE()),"")</f>
        <v/>
      </c>
      <c r="F344" s="81" t="str">
        <f aca="false">_xlfn.IFNA(VLOOKUP(C344,'بيانات الآليات '!A:G,5,FALSE()),"")</f>
        <v/>
      </c>
      <c r="G344" s="82"/>
      <c r="H344" s="83" t="str">
        <f aca="false">_xlfn.IFNA(VLOOKUP(G344,Table14543[],2,FALSE()),"")</f>
        <v/>
      </c>
      <c r="I344" s="84" t="str">
        <f aca="false">_xlfn.IFNA(VLOOKUP(G344,Table14543[],3,FALSE()),"")</f>
        <v/>
      </c>
      <c r="J344" s="83" t="str">
        <f aca="false">CONCATENATE("",G344,""," ",H344," ",I344)</f>
        <v>  </v>
      </c>
      <c r="K344" s="85"/>
      <c r="L344" s="86"/>
      <c r="M344" s="86"/>
      <c r="N344" s="86" t="n">
        <f aca="false">L344*M344</f>
        <v>0</v>
      </c>
      <c r="O344" s="86"/>
      <c r="P344" s="87" t="n">
        <f aca="false">(M344*L344)+O344</f>
        <v>0</v>
      </c>
      <c r="Q344" s="91"/>
    </row>
    <row r="345" customFormat="false" ht="14.25" hidden="false" customHeight="false" outlineLevel="0" collapsed="false">
      <c r="A345" s="77"/>
      <c r="B345" s="78"/>
      <c r="C345" s="79"/>
      <c r="D345" s="80" t="str">
        <f aca="false">_xlfn.IFNA(VLOOKUP(C345,'بيانات الآليات '!A:G,4,FALSE()),"")</f>
        <v/>
      </c>
      <c r="E345" s="81" t="str">
        <f aca="false">_xlfn.IFNA(VLOOKUP(C345,'بيانات الآليات '!A:G,2,FALSE()),"")</f>
        <v/>
      </c>
      <c r="F345" s="81" t="str">
        <f aca="false">_xlfn.IFNA(VLOOKUP(C345,'بيانات الآليات '!A:G,5,FALSE()),"")</f>
        <v/>
      </c>
      <c r="G345" s="82"/>
      <c r="H345" s="83" t="str">
        <f aca="false">_xlfn.IFNA(VLOOKUP(G345,Table14543[],2,FALSE()),"")</f>
        <v/>
      </c>
      <c r="I345" s="84" t="str">
        <f aca="false">_xlfn.IFNA(VLOOKUP(G345,Table14543[],3,FALSE()),"")</f>
        <v/>
      </c>
      <c r="J345" s="83" t="str">
        <f aca="false">CONCATENATE("",G345,""," ",H345," ",I345)</f>
        <v>  </v>
      </c>
      <c r="K345" s="85"/>
      <c r="L345" s="86"/>
      <c r="M345" s="86"/>
      <c r="N345" s="86" t="n">
        <f aca="false">L345*M345</f>
        <v>0</v>
      </c>
      <c r="O345" s="86"/>
      <c r="P345" s="87" t="n">
        <f aca="false">(M345*L345)+O345</f>
        <v>0</v>
      </c>
      <c r="Q345" s="91"/>
    </row>
    <row r="346" customFormat="false" ht="14.25" hidden="false" customHeight="false" outlineLevel="0" collapsed="false">
      <c r="A346" s="77"/>
      <c r="B346" s="78"/>
      <c r="C346" s="79"/>
      <c r="D346" s="80" t="str">
        <f aca="false">_xlfn.IFNA(VLOOKUP(C346,'بيانات الآليات '!A:G,4,FALSE()),"")</f>
        <v/>
      </c>
      <c r="E346" s="81" t="str">
        <f aca="false">_xlfn.IFNA(VLOOKUP(C346,'بيانات الآليات '!A:G,2,FALSE()),"")</f>
        <v/>
      </c>
      <c r="F346" s="81" t="str">
        <f aca="false">_xlfn.IFNA(VLOOKUP(C346,'بيانات الآليات '!A:G,5,FALSE()),"")</f>
        <v/>
      </c>
      <c r="G346" s="82"/>
      <c r="H346" s="83" t="str">
        <f aca="false">_xlfn.IFNA(VLOOKUP(G346,Table14543[],2,FALSE()),"")</f>
        <v/>
      </c>
      <c r="I346" s="84" t="str">
        <f aca="false">_xlfn.IFNA(VLOOKUP(G346,Table14543[],3,FALSE()),"")</f>
        <v/>
      </c>
      <c r="J346" s="83" t="str">
        <f aca="false">CONCATENATE("",G346,""," ",H346," ",I346)</f>
        <v>  </v>
      </c>
      <c r="K346" s="85"/>
      <c r="L346" s="86"/>
      <c r="M346" s="86"/>
      <c r="N346" s="86" t="n">
        <f aca="false">L346*M346</f>
        <v>0</v>
      </c>
      <c r="O346" s="86"/>
      <c r="P346" s="87" t="n">
        <f aca="false">(M346*L346)+O346</f>
        <v>0</v>
      </c>
      <c r="Q346" s="91"/>
    </row>
    <row r="347" customFormat="false" ht="14.25" hidden="false" customHeight="false" outlineLevel="0" collapsed="false">
      <c r="A347" s="77"/>
      <c r="B347" s="78"/>
      <c r="C347" s="79"/>
      <c r="D347" s="80" t="str">
        <f aca="false">_xlfn.IFNA(VLOOKUP(C347,'بيانات الآليات '!A:G,4,FALSE()),"")</f>
        <v/>
      </c>
      <c r="E347" s="81" t="str">
        <f aca="false">_xlfn.IFNA(VLOOKUP(C347,'بيانات الآليات '!A:G,2,FALSE()),"")</f>
        <v/>
      </c>
      <c r="F347" s="81" t="str">
        <f aca="false">_xlfn.IFNA(VLOOKUP(C347,'بيانات الآليات '!A:G,5,FALSE()),"")</f>
        <v/>
      </c>
      <c r="G347" s="82"/>
      <c r="H347" s="83" t="str">
        <f aca="false">_xlfn.IFNA(VLOOKUP(G347,Table14543[],2,FALSE()),"")</f>
        <v/>
      </c>
      <c r="I347" s="84" t="str">
        <f aca="false">_xlfn.IFNA(VLOOKUP(G347,Table14543[],3,FALSE()),"")</f>
        <v/>
      </c>
      <c r="J347" s="83" t="str">
        <f aca="false">CONCATENATE("",G347,""," ",H347," ",I347)</f>
        <v>  </v>
      </c>
      <c r="K347" s="85"/>
      <c r="L347" s="86"/>
      <c r="M347" s="86"/>
      <c r="N347" s="86" t="n">
        <f aca="false">L347*M347</f>
        <v>0</v>
      </c>
      <c r="O347" s="86"/>
      <c r="P347" s="87" t="n">
        <f aca="false">(M347*L347)+O347</f>
        <v>0</v>
      </c>
      <c r="Q347" s="91"/>
    </row>
    <row r="348" customFormat="false" ht="14.25" hidden="false" customHeight="false" outlineLevel="0" collapsed="false">
      <c r="A348" s="77"/>
      <c r="B348" s="78"/>
      <c r="C348" s="79"/>
      <c r="D348" s="80" t="str">
        <f aca="false">_xlfn.IFNA(VLOOKUP(C348,'بيانات الآليات '!A:G,4,FALSE()),"")</f>
        <v/>
      </c>
      <c r="E348" s="81" t="str">
        <f aca="false">_xlfn.IFNA(VLOOKUP(C348,'بيانات الآليات '!A:G,2,FALSE()),"")</f>
        <v/>
      </c>
      <c r="F348" s="81" t="str">
        <f aca="false">_xlfn.IFNA(VLOOKUP(C348,'بيانات الآليات '!A:G,5,FALSE()),"")</f>
        <v/>
      </c>
      <c r="G348" s="82"/>
      <c r="H348" s="83" t="str">
        <f aca="false">_xlfn.IFNA(VLOOKUP(G348,Table14543[],2,FALSE()),"")</f>
        <v/>
      </c>
      <c r="I348" s="84" t="str">
        <f aca="false">_xlfn.IFNA(VLOOKUP(G348,Table14543[],3,FALSE()),"")</f>
        <v/>
      </c>
      <c r="J348" s="83" t="str">
        <f aca="false">CONCATENATE("",G348,""," ",H348," ",I348)</f>
        <v>  </v>
      </c>
      <c r="K348" s="85"/>
      <c r="L348" s="86"/>
      <c r="M348" s="86"/>
      <c r="N348" s="86" t="n">
        <f aca="false">L348*M348</f>
        <v>0</v>
      </c>
      <c r="O348" s="86"/>
      <c r="P348" s="87" t="n">
        <f aca="false">(M348*L348)+O348</f>
        <v>0</v>
      </c>
      <c r="Q348" s="91"/>
    </row>
    <row r="349" customFormat="false" ht="14.25" hidden="false" customHeight="false" outlineLevel="0" collapsed="false">
      <c r="A349" s="77"/>
      <c r="B349" s="78"/>
      <c r="C349" s="79"/>
      <c r="D349" s="80" t="str">
        <f aca="false">_xlfn.IFNA(VLOOKUP(C349,'بيانات الآليات '!A:G,4,FALSE()),"")</f>
        <v/>
      </c>
      <c r="E349" s="81" t="str">
        <f aca="false">_xlfn.IFNA(VLOOKUP(C349,'بيانات الآليات '!A:G,2,FALSE()),"")</f>
        <v/>
      </c>
      <c r="F349" s="81" t="str">
        <f aca="false">_xlfn.IFNA(VLOOKUP(C349,'بيانات الآليات '!A:G,5,FALSE()),"")</f>
        <v/>
      </c>
      <c r="G349" s="82"/>
      <c r="H349" s="83" t="str">
        <f aca="false">_xlfn.IFNA(VLOOKUP(G349,Table14543[],2,FALSE()),"")</f>
        <v/>
      </c>
      <c r="I349" s="84" t="str">
        <f aca="false">_xlfn.IFNA(VLOOKUP(G349,Table14543[],3,FALSE()),"")</f>
        <v/>
      </c>
      <c r="J349" s="83" t="str">
        <f aca="false">CONCATENATE("",G349,""," ",H349," ",I349)</f>
        <v>  </v>
      </c>
      <c r="K349" s="85"/>
      <c r="L349" s="86"/>
      <c r="M349" s="86"/>
      <c r="N349" s="86" t="n">
        <f aca="false">L349*M349</f>
        <v>0</v>
      </c>
      <c r="O349" s="86"/>
      <c r="P349" s="87" t="n">
        <f aca="false">(M349*L349)+O349</f>
        <v>0</v>
      </c>
      <c r="Q349" s="91"/>
    </row>
    <row r="350" customFormat="false" ht="14.25" hidden="false" customHeight="false" outlineLevel="0" collapsed="false">
      <c r="A350" s="77"/>
      <c r="B350" s="78"/>
      <c r="C350" s="79"/>
      <c r="D350" s="80" t="str">
        <f aca="false">_xlfn.IFNA(VLOOKUP(C350,'بيانات الآليات '!A:G,4,FALSE()),"")</f>
        <v/>
      </c>
      <c r="E350" s="81" t="str">
        <f aca="false">_xlfn.IFNA(VLOOKUP(C350,'بيانات الآليات '!A:G,2,FALSE()),"")</f>
        <v/>
      </c>
      <c r="F350" s="81" t="str">
        <f aca="false">_xlfn.IFNA(VLOOKUP(C350,'بيانات الآليات '!A:G,5,FALSE()),"")</f>
        <v/>
      </c>
      <c r="G350" s="82"/>
      <c r="H350" s="83" t="str">
        <f aca="false">_xlfn.IFNA(VLOOKUP(G350,Table14543[],2,FALSE()),"")</f>
        <v/>
      </c>
      <c r="I350" s="84" t="str">
        <f aca="false">_xlfn.IFNA(VLOOKUP(G350,Table14543[],3,FALSE()),"")</f>
        <v/>
      </c>
      <c r="J350" s="83" t="str">
        <f aca="false">CONCATENATE("",G350,""," ",H350," ",I350)</f>
        <v>  </v>
      </c>
      <c r="K350" s="85"/>
      <c r="L350" s="86"/>
      <c r="M350" s="86"/>
      <c r="N350" s="86" t="n">
        <f aca="false">L350*M350</f>
        <v>0</v>
      </c>
      <c r="O350" s="86"/>
      <c r="P350" s="87" t="n">
        <f aca="false">(M350*L350)+O350</f>
        <v>0</v>
      </c>
      <c r="Q350" s="91"/>
    </row>
    <row r="351" customFormat="false" ht="14.25" hidden="false" customHeight="false" outlineLevel="0" collapsed="false">
      <c r="A351" s="77"/>
      <c r="B351" s="78"/>
      <c r="C351" s="79"/>
      <c r="D351" s="80" t="str">
        <f aca="false">_xlfn.IFNA(VLOOKUP(C351,'بيانات الآليات '!A:G,4,FALSE()),"")</f>
        <v/>
      </c>
      <c r="E351" s="81" t="str">
        <f aca="false">_xlfn.IFNA(VLOOKUP(C351,'بيانات الآليات '!A:G,2,FALSE()),"")</f>
        <v/>
      </c>
      <c r="F351" s="81" t="str">
        <f aca="false">_xlfn.IFNA(VLOOKUP(C351,'بيانات الآليات '!A:G,5,FALSE()),"")</f>
        <v/>
      </c>
      <c r="G351" s="82"/>
      <c r="H351" s="83" t="str">
        <f aca="false">_xlfn.IFNA(VLOOKUP(G351,Table14543[],2,FALSE()),"")</f>
        <v/>
      </c>
      <c r="I351" s="84" t="str">
        <f aca="false">_xlfn.IFNA(VLOOKUP(G351,Table14543[],3,FALSE()),"")</f>
        <v/>
      </c>
      <c r="J351" s="83" t="str">
        <f aca="false">CONCATENATE("",G351,""," ",H351," ",I351)</f>
        <v>  </v>
      </c>
      <c r="K351" s="85"/>
      <c r="L351" s="86"/>
      <c r="M351" s="86"/>
      <c r="N351" s="86" t="n">
        <f aca="false">L351*M351</f>
        <v>0</v>
      </c>
      <c r="O351" s="86"/>
      <c r="P351" s="87" t="n">
        <f aca="false">(M351*L351)+O351</f>
        <v>0</v>
      </c>
      <c r="Q351" s="91"/>
    </row>
    <row r="352" customFormat="false" ht="14.25" hidden="false" customHeight="false" outlineLevel="0" collapsed="false">
      <c r="A352" s="77"/>
      <c r="B352" s="78"/>
      <c r="C352" s="79"/>
      <c r="D352" s="80" t="str">
        <f aca="false">_xlfn.IFNA(VLOOKUP(C352,'بيانات الآليات '!A:G,4,FALSE()),"")</f>
        <v/>
      </c>
      <c r="E352" s="81" t="str">
        <f aca="false">_xlfn.IFNA(VLOOKUP(C352,'بيانات الآليات '!A:G,2,FALSE()),"")</f>
        <v/>
      </c>
      <c r="F352" s="81" t="str">
        <f aca="false">_xlfn.IFNA(VLOOKUP(C352,'بيانات الآليات '!A:G,5,FALSE()),"")</f>
        <v/>
      </c>
      <c r="G352" s="82"/>
      <c r="H352" s="83" t="str">
        <f aca="false">_xlfn.IFNA(VLOOKUP(G352,Table14543[],2,FALSE()),"")</f>
        <v/>
      </c>
      <c r="I352" s="84" t="str">
        <f aca="false">_xlfn.IFNA(VLOOKUP(G352,Table14543[],3,FALSE()),"")</f>
        <v/>
      </c>
      <c r="J352" s="83" t="str">
        <f aca="false">CONCATENATE("",G352,""," ",H352," ",I352)</f>
        <v>  </v>
      </c>
      <c r="K352" s="85"/>
      <c r="L352" s="86"/>
      <c r="M352" s="86"/>
      <c r="N352" s="86" t="n">
        <f aca="false">L352*M352</f>
        <v>0</v>
      </c>
      <c r="O352" s="86"/>
      <c r="P352" s="87" t="n">
        <f aca="false">(M352*L352)+O352</f>
        <v>0</v>
      </c>
      <c r="Q352" s="91"/>
    </row>
    <row r="353" customFormat="false" ht="14.25" hidden="false" customHeight="false" outlineLevel="0" collapsed="false">
      <c r="A353" s="77"/>
      <c r="B353" s="78"/>
      <c r="C353" s="79"/>
      <c r="D353" s="80" t="str">
        <f aca="false">_xlfn.IFNA(VLOOKUP(C353,'بيانات الآليات '!A:G,4,FALSE()),"")</f>
        <v/>
      </c>
      <c r="E353" s="81" t="str">
        <f aca="false">_xlfn.IFNA(VLOOKUP(C353,'بيانات الآليات '!A:G,2,FALSE()),"")</f>
        <v/>
      </c>
      <c r="F353" s="81" t="str">
        <f aca="false">_xlfn.IFNA(VLOOKUP(C353,'بيانات الآليات '!A:G,5,FALSE()),"")</f>
        <v/>
      </c>
      <c r="G353" s="82"/>
      <c r="H353" s="83" t="str">
        <f aca="false">_xlfn.IFNA(VLOOKUP(G353,Table14543[],2,FALSE()),"")</f>
        <v/>
      </c>
      <c r="I353" s="84" t="str">
        <f aca="false">_xlfn.IFNA(VLOOKUP(G353,Table14543[],3,FALSE()),"")</f>
        <v/>
      </c>
      <c r="J353" s="83" t="str">
        <f aca="false">CONCATENATE("",G353,""," ",H353," ",I353)</f>
        <v>  </v>
      </c>
      <c r="K353" s="85"/>
      <c r="L353" s="86"/>
      <c r="M353" s="86"/>
      <c r="N353" s="86" t="n">
        <f aca="false">L353*M353</f>
        <v>0</v>
      </c>
      <c r="O353" s="86"/>
      <c r="P353" s="87" t="n">
        <f aca="false">(M353*L353)+O353</f>
        <v>0</v>
      </c>
      <c r="Q353" s="91"/>
    </row>
    <row r="354" customFormat="false" ht="14.25" hidden="false" customHeight="false" outlineLevel="0" collapsed="false">
      <c r="A354" s="77"/>
      <c r="B354" s="78"/>
      <c r="C354" s="79"/>
      <c r="D354" s="80" t="str">
        <f aca="false">_xlfn.IFNA(VLOOKUP(C354,'بيانات الآليات '!A:G,4,FALSE()),"")</f>
        <v/>
      </c>
      <c r="E354" s="81" t="str">
        <f aca="false">_xlfn.IFNA(VLOOKUP(C354,'بيانات الآليات '!A:G,2,FALSE()),"")</f>
        <v/>
      </c>
      <c r="F354" s="81" t="str">
        <f aca="false">_xlfn.IFNA(VLOOKUP(C354,'بيانات الآليات '!A:G,5,FALSE()),"")</f>
        <v/>
      </c>
      <c r="G354" s="82"/>
      <c r="H354" s="83" t="str">
        <f aca="false">_xlfn.IFNA(VLOOKUP(G354,Table14543[],2,FALSE()),"")</f>
        <v/>
      </c>
      <c r="I354" s="84" t="str">
        <f aca="false">_xlfn.IFNA(VLOOKUP(G354,Table14543[],3,FALSE()),"")</f>
        <v/>
      </c>
      <c r="J354" s="83" t="str">
        <f aca="false">CONCATENATE("",G354,""," ",H354," ",I354)</f>
        <v>  </v>
      </c>
      <c r="K354" s="85"/>
      <c r="L354" s="86"/>
      <c r="M354" s="86"/>
      <c r="N354" s="86" t="n">
        <f aca="false">L354*M354</f>
        <v>0</v>
      </c>
      <c r="O354" s="86"/>
      <c r="P354" s="87" t="n">
        <f aca="false">(M354*L354)+O354</f>
        <v>0</v>
      </c>
      <c r="Q354" s="91"/>
    </row>
    <row r="355" customFormat="false" ht="14.25" hidden="false" customHeight="false" outlineLevel="0" collapsed="false">
      <c r="A355" s="77"/>
      <c r="B355" s="78"/>
      <c r="C355" s="79"/>
      <c r="D355" s="80" t="str">
        <f aca="false">_xlfn.IFNA(VLOOKUP(C355,'بيانات الآليات '!A:G,4,FALSE()),"")</f>
        <v/>
      </c>
      <c r="E355" s="81" t="str">
        <f aca="false">_xlfn.IFNA(VLOOKUP(C355,'بيانات الآليات '!A:G,2,FALSE()),"")</f>
        <v/>
      </c>
      <c r="F355" s="81" t="str">
        <f aca="false">_xlfn.IFNA(VLOOKUP(C355,'بيانات الآليات '!A:G,5,FALSE()),"")</f>
        <v/>
      </c>
      <c r="G355" s="82"/>
      <c r="H355" s="83" t="str">
        <f aca="false">_xlfn.IFNA(VLOOKUP(G355,Table14543[],2,FALSE()),"")</f>
        <v/>
      </c>
      <c r="I355" s="84" t="str">
        <f aca="false">_xlfn.IFNA(VLOOKUP(G355,Table14543[],3,FALSE()),"")</f>
        <v/>
      </c>
      <c r="J355" s="83" t="str">
        <f aca="false">CONCATENATE("",G355,""," ",H355," ",I355)</f>
        <v>  </v>
      </c>
      <c r="K355" s="85"/>
      <c r="L355" s="86"/>
      <c r="M355" s="86"/>
      <c r="N355" s="86" t="n">
        <f aca="false">L355*M355</f>
        <v>0</v>
      </c>
      <c r="O355" s="86"/>
      <c r="P355" s="87" t="n">
        <f aca="false">(M355*L355)+O355</f>
        <v>0</v>
      </c>
      <c r="Q355" s="91"/>
    </row>
    <row r="356" customFormat="false" ht="14.25" hidden="false" customHeight="false" outlineLevel="0" collapsed="false">
      <c r="A356" s="77"/>
      <c r="B356" s="78"/>
      <c r="C356" s="79"/>
      <c r="D356" s="80" t="str">
        <f aca="false">_xlfn.IFNA(VLOOKUP(C356,'بيانات الآليات '!A:G,4,FALSE()),"")</f>
        <v/>
      </c>
      <c r="E356" s="81" t="str">
        <f aca="false">_xlfn.IFNA(VLOOKUP(C356,'بيانات الآليات '!A:G,2,FALSE()),"")</f>
        <v/>
      </c>
      <c r="F356" s="81" t="str">
        <f aca="false">_xlfn.IFNA(VLOOKUP(C356,'بيانات الآليات '!A:G,5,FALSE()),"")</f>
        <v/>
      </c>
      <c r="G356" s="82"/>
      <c r="H356" s="83" t="str">
        <f aca="false">_xlfn.IFNA(VLOOKUP(G356,Table14543[],2,FALSE()),"")</f>
        <v/>
      </c>
      <c r="I356" s="84" t="str">
        <f aca="false">_xlfn.IFNA(VLOOKUP(G356,Table14543[],3,FALSE()),"")</f>
        <v/>
      </c>
      <c r="J356" s="83" t="str">
        <f aca="false">CONCATENATE("",G356,""," ",H356," ",I356)</f>
        <v>  </v>
      </c>
      <c r="K356" s="85"/>
      <c r="L356" s="86"/>
      <c r="M356" s="86"/>
      <c r="N356" s="86" t="n">
        <f aca="false">L356*M356</f>
        <v>0</v>
      </c>
      <c r="O356" s="86"/>
      <c r="P356" s="87" t="n">
        <f aca="false">(M356*L356)+O356</f>
        <v>0</v>
      </c>
      <c r="Q356" s="91"/>
    </row>
    <row r="357" customFormat="false" ht="14.25" hidden="false" customHeight="false" outlineLevel="0" collapsed="false">
      <c r="A357" s="77"/>
      <c r="B357" s="78"/>
      <c r="C357" s="79"/>
      <c r="D357" s="80" t="str">
        <f aca="false">_xlfn.IFNA(VLOOKUP(C357,'بيانات الآليات '!A:G,4,FALSE()),"")</f>
        <v/>
      </c>
      <c r="E357" s="81" t="str">
        <f aca="false">_xlfn.IFNA(VLOOKUP(C357,'بيانات الآليات '!A:G,2,FALSE()),"")</f>
        <v/>
      </c>
      <c r="F357" s="81" t="str">
        <f aca="false">_xlfn.IFNA(VLOOKUP(C357,'بيانات الآليات '!A:G,5,FALSE()),"")</f>
        <v/>
      </c>
      <c r="G357" s="82"/>
      <c r="H357" s="83" t="str">
        <f aca="false">_xlfn.IFNA(VLOOKUP(G357,Table14543[],2,FALSE()),"")</f>
        <v/>
      </c>
      <c r="I357" s="84" t="str">
        <f aca="false">_xlfn.IFNA(VLOOKUP(G357,Table14543[],3,FALSE()),"")</f>
        <v/>
      </c>
      <c r="J357" s="83" t="str">
        <f aca="false">CONCATENATE("",G357,""," ",H357," ",I357)</f>
        <v>  </v>
      </c>
      <c r="K357" s="85"/>
      <c r="L357" s="86"/>
      <c r="M357" s="86"/>
      <c r="N357" s="86" t="n">
        <f aca="false">L357*M357</f>
        <v>0</v>
      </c>
      <c r="O357" s="86"/>
      <c r="P357" s="87" t="n">
        <f aca="false">(M357*L357)+O357</f>
        <v>0</v>
      </c>
      <c r="Q357" s="91"/>
    </row>
    <row r="358" customFormat="false" ht="14.25" hidden="false" customHeight="false" outlineLevel="0" collapsed="false">
      <c r="A358" s="77"/>
      <c r="B358" s="78"/>
      <c r="C358" s="79"/>
      <c r="D358" s="80" t="str">
        <f aca="false">_xlfn.IFNA(VLOOKUP(C358,'بيانات الآليات '!A:G,4,FALSE()),"")</f>
        <v/>
      </c>
      <c r="E358" s="81" t="str">
        <f aca="false">_xlfn.IFNA(VLOOKUP(C358,'بيانات الآليات '!A:G,2,FALSE()),"")</f>
        <v/>
      </c>
      <c r="F358" s="81" t="str">
        <f aca="false">_xlfn.IFNA(VLOOKUP(C358,'بيانات الآليات '!A:G,5,FALSE()),"")</f>
        <v/>
      </c>
      <c r="G358" s="82"/>
      <c r="H358" s="83" t="str">
        <f aca="false">_xlfn.IFNA(VLOOKUP(G358,Table14543[],2,FALSE()),"")</f>
        <v/>
      </c>
      <c r="I358" s="84" t="str">
        <f aca="false">_xlfn.IFNA(VLOOKUP(G358,Table14543[],3,FALSE()),"")</f>
        <v/>
      </c>
      <c r="J358" s="83" t="str">
        <f aca="false">CONCATENATE("",G358,""," ",H358," ",I358)</f>
        <v>  </v>
      </c>
      <c r="K358" s="85"/>
      <c r="L358" s="86"/>
      <c r="M358" s="86"/>
      <c r="N358" s="86" t="n">
        <f aca="false">L358*M358</f>
        <v>0</v>
      </c>
      <c r="O358" s="86"/>
      <c r="P358" s="87" t="n">
        <f aca="false">(M358*L358)+O358</f>
        <v>0</v>
      </c>
      <c r="Q358" s="91"/>
    </row>
    <row r="359" customFormat="false" ht="14.25" hidden="false" customHeight="false" outlineLevel="0" collapsed="false">
      <c r="A359" s="77"/>
      <c r="B359" s="78"/>
      <c r="C359" s="79"/>
      <c r="D359" s="80" t="str">
        <f aca="false">_xlfn.IFNA(VLOOKUP(C359,'بيانات الآليات '!A:G,4,FALSE()),"")</f>
        <v/>
      </c>
      <c r="E359" s="81" t="str">
        <f aca="false">_xlfn.IFNA(VLOOKUP(C359,'بيانات الآليات '!A:G,2,FALSE()),"")</f>
        <v/>
      </c>
      <c r="F359" s="81" t="str">
        <f aca="false">_xlfn.IFNA(VLOOKUP(C359,'بيانات الآليات '!A:G,5,FALSE()),"")</f>
        <v/>
      </c>
      <c r="G359" s="82"/>
      <c r="H359" s="83" t="str">
        <f aca="false">_xlfn.IFNA(VLOOKUP(G359,Table14543[],2,FALSE()),"")</f>
        <v/>
      </c>
      <c r="I359" s="84" t="str">
        <f aca="false">_xlfn.IFNA(VLOOKUP(G359,Table14543[],3,FALSE()),"")</f>
        <v/>
      </c>
      <c r="J359" s="83" t="str">
        <f aca="false">CONCATENATE("",G359,""," ",H359," ",I359)</f>
        <v>  </v>
      </c>
      <c r="K359" s="85"/>
      <c r="L359" s="86"/>
      <c r="M359" s="86"/>
      <c r="N359" s="86" t="n">
        <f aca="false">L359*M359</f>
        <v>0</v>
      </c>
      <c r="O359" s="86"/>
      <c r="P359" s="87" t="n">
        <f aca="false">(M359*L359)+O359</f>
        <v>0</v>
      </c>
      <c r="Q359" s="91"/>
    </row>
    <row r="360" customFormat="false" ht="14.25" hidden="false" customHeight="false" outlineLevel="0" collapsed="false">
      <c r="A360" s="77"/>
      <c r="B360" s="78"/>
      <c r="C360" s="79"/>
      <c r="D360" s="80" t="str">
        <f aca="false">_xlfn.IFNA(VLOOKUP(C360,'بيانات الآليات '!A:G,4,FALSE()),"")</f>
        <v/>
      </c>
      <c r="E360" s="81" t="str">
        <f aca="false">_xlfn.IFNA(VLOOKUP(C360,'بيانات الآليات '!A:G,2,FALSE()),"")</f>
        <v/>
      </c>
      <c r="F360" s="81" t="str">
        <f aca="false">_xlfn.IFNA(VLOOKUP(C360,'بيانات الآليات '!A:G,5,FALSE()),"")</f>
        <v/>
      </c>
      <c r="G360" s="82"/>
      <c r="H360" s="83" t="str">
        <f aca="false">_xlfn.IFNA(VLOOKUP(G360,Table14543[],2,FALSE()),"")</f>
        <v/>
      </c>
      <c r="I360" s="84" t="str">
        <f aca="false">_xlfn.IFNA(VLOOKUP(G360,Table14543[],3,FALSE()),"")</f>
        <v/>
      </c>
      <c r="J360" s="83" t="str">
        <f aca="false">CONCATENATE("",G360,""," ",H360," ",I360)</f>
        <v>  </v>
      </c>
      <c r="K360" s="85"/>
      <c r="L360" s="86"/>
      <c r="M360" s="86"/>
      <c r="N360" s="86" t="n">
        <f aca="false">L360*M360</f>
        <v>0</v>
      </c>
      <c r="O360" s="86"/>
      <c r="P360" s="87" t="n">
        <f aca="false">(M360*L360)+O360</f>
        <v>0</v>
      </c>
      <c r="Q360" s="91"/>
    </row>
    <row r="361" customFormat="false" ht="14.25" hidden="false" customHeight="false" outlineLevel="0" collapsed="false">
      <c r="A361" s="77"/>
      <c r="B361" s="78"/>
      <c r="C361" s="79"/>
      <c r="D361" s="80" t="str">
        <f aca="false">_xlfn.IFNA(VLOOKUP(C361,'بيانات الآليات '!A:G,4,FALSE()),"")</f>
        <v/>
      </c>
      <c r="E361" s="81" t="str">
        <f aca="false">_xlfn.IFNA(VLOOKUP(C361,'بيانات الآليات '!A:G,2,FALSE()),"")</f>
        <v/>
      </c>
      <c r="F361" s="81" t="str">
        <f aca="false">_xlfn.IFNA(VLOOKUP(C361,'بيانات الآليات '!A:G,5,FALSE()),"")</f>
        <v/>
      </c>
      <c r="G361" s="82"/>
      <c r="H361" s="83" t="str">
        <f aca="false">_xlfn.IFNA(VLOOKUP(G361,Table14543[],2,FALSE()),"")</f>
        <v/>
      </c>
      <c r="I361" s="84" t="str">
        <f aca="false">_xlfn.IFNA(VLOOKUP(G361,Table14543[],3,FALSE()),"")</f>
        <v/>
      </c>
      <c r="J361" s="83" t="str">
        <f aca="false">CONCATENATE("",G361,""," ",H361," ",I361)</f>
        <v>  </v>
      </c>
      <c r="K361" s="85"/>
      <c r="L361" s="86"/>
      <c r="M361" s="86"/>
      <c r="N361" s="86" t="n">
        <f aca="false">L361*M361</f>
        <v>0</v>
      </c>
      <c r="O361" s="86"/>
      <c r="P361" s="87" t="n">
        <f aca="false">(M361*L361)+O361</f>
        <v>0</v>
      </c>
      <c r="Q361" s="91"/>
    </row>
    <row r="362" customFormat="false" ht="14.25" hidden="false" customHeight="false" outlineLevel="0" collapsed="false">
      <c r="A362" s="77"/>
      <c r="B362" s="78"/>
      <c r="C362" s="79"/>
      <c r="D362" s="80" t="str">
        <f aca="false">_xlfn.IFNA(VLOOKUP(C362,'بيانات الآليات '!A:G,4,FALSE()),"")</f>
        <v/>
      </c>
      <c r="E362" s="81" t="str">
        <f aca="false">_xlfn.IFNA(VLOOKUP(C362,'بيانات الآليات '!A:G,2,FALSE()),"")</f>
        <v/>
      </c>
      <c r="F362" s="81" t="str">
        <f aca="false">_xlfn.IFNA(VLOOKUP(C362,'بيانات الآليات '!A:G,5,FALSE()),"")</f>
        <v/>
      </c>
      <c r="G362" s="82"/>
      <c r="H362" s="83" t="str">
        <f aca="false">_xlfn.IFNA(VLOOKUP(G362,Table14543[],2,FALSE()),"")</f>
        <v/>
      </c>
      <c r="I362" s="84" t="str">
        <f aca="false">_xlfn.IFNA(VLOOKUP(G362,Table14543[],3,FALSE()),"")</f>
        <v/>
      </c>
      <c r="J362" s="83" t="str">
        <f aca="false">CONCATENATE("",G362,""," ",H362," ",I362)</f>
        <v>  </v>
      </c>
      <c r="K362" s="85"/>
      <c r="L362" s="86"/>
      <c r="M362" s="86"/>
      <c r="N362" s="86" t="n">
        <f aca="false">L362*M362</f>
        <v>0</v>
      </c>
      <c r="O362" s="86"/>
      <c r="P362" s="87" t="n">
        <f aca="false">(M362*L362)+O362</f>
        <v>0</v>
      </c>
      <c r="Q362" s="91"/>
    </row>
    <row r="363" customFormat="false" ht="14.25" hidden="false" customHeight="false" outlineLevel="0" collapsed="false">
      <c r="A363" s="77"/>
      <c r="B363" s="78"/>
      <c r="C363" s="79"/>
      <c r="D363" s="80" t="str">
        <f aca="false">_xlfn.IFNA(VLOOKUP(C363,'بيانات الآليات '!A:G,4,FALSE()),"")</f>
        <v/>
      </c>
      <c r="E363" s="81" t="str">
        <f aca="false">_xlfn.IFNA(VLOOKUP(C363,'بيانات الآليات '!A:G,2,FALSE()),"")</f>
        <v/>
      </c>
      <c r="F363" s="81" t="str">
        <f aca="false">_xlfn.IFNA(VLOOKUP(C363,'بيانات الآليات '!A:G,5,FALSE()),"")</f>
        <v/>
      </c>
      <c r="G363" s="82"/>
      <c r="H363" s="83" t="str">
        <f aca="false">_xlfn.IFNA(VLOOKUP(G363,Table14543[],2,FALSE()),"")</f>
        <v/>
      </c>
      <c r="I363" s="84" t="str">
        <f aca="false">_xlfn.IFNA(VLOOKUP(G363,Table14543[],3,FALSE()),"")</f>
        <v/>
      </c>
      <c r="J363" s="83" t="str">
        <f aca="false">CONCATENATE("",G363,""," ",H363," ",I363)</f>
        <v>  </v>
      </c>
      <c r="K363" s="85"/>
      <c r="L363" s="86"/>
      <c r="M363" s="86"/>
      <c r="N363" s="86" t="n">
        <f aca="false">L363*M363</f>
        <v>0</v>
      </c>
      <c r="O363" s="86"/>
      <c r="P363" s="87" t="n">
        <f aca="false">(M363*L363)+O363</f>
        <v>0</v>
      </c>
      <c r="Q363" s="91"/>
    </row>
    <row r="364" customFormat="false" ht="14.25" hidden="false" customHeight="false" outlineLevel="0" collapsed="false">
      <c r="A364" s="77"/>
      <c r="B364" s="78"/>
      <c r="C364" s="79"/>
      <c r="D364" s="80" t="str">
        <f aca="false">_xlfn.IFNA(VLOOKUP(C364,'بيانات الآليات '!A:G,4,FALSE()),"")</f>
        <v/>
      </c>
      <c r="E364" s="81" t="str">
        <f aca="false">_xlfn.IFNA(VLOOKUP(C364,'بيانات الآليات '!A:G,2,FALSE()),"")</f>
        <v/>
      </c>
      <c r="F364" s="81" t="str">
        <f aca="false">_xlfn.IFNA(VLOOKUP(C364,'بيانات الآليات '!A:G,5,FALSE()),"")</f>
        <v/>
      </c>
      <c r="G364" s="82"/>
      <c r="H364" s="83" t="str">
        <f aca="false">_xlfn.IFNA(VLOOKUP(G364,Table14543[],2,FALSE()),"")</f>
        <v/>
      </c>
      <c r="I364" s="84" t="str">
        <f aca="false">_xlfn.IFNA(VLOOKUP(G364,Table14543[],3,FALSE()),"")</f>
        <v/>
      </c>
      <c r="J364" s="83" t="str">
        <f aca="false">CONCATENATE("",G364,""," ",H364," ",I364)</f>
        <v>  </v>
      </c>
      <c r="K364" s="85"/>
      <c r="L364" s="86"/>
      <c r="M364" s="86"/>
      <c r="N364" s="86" t="n">
        <f aca="false">L364*M364</f>
        <v>0</v>
      </c>
      <c r="O364" s="86"/>
      <c r="P364" s="87" t="n">
        <f aca="false">(M364*L364)+O364</f>
        <v>0</v>
      </c>
      <c r="Q364" s="91"/>
    </row>
    <row r="365" customFormat="false" ht="14.25" hidden="false" customHeight="false" outlineLevel="0" collapsed="false">
      <c r="A365" s="77"/>
      <c r="B365" s="78"/>
      <c r="C365" s="79"/>
      <c r="D365" s="80" t="str">
        <f aca="false">_xlfn.IFNA(VLOOKUP(C365,'بيانات الآليات '!A:G,4,FALSE()),"")</f>
        <v/>
      </c>
      <c r="E365" s="81" t="str">
        <f aca="false">_xlfn.IFNA(VLOOKUP(C365,'بيانات الآليات '!A:G,2,FALSE()),"")</f>
        <v/>
      </c>
      <c r="F365" s="81" t="str">
        <f aca="false">_xlfn.IFNA(VLOOKUP(C365,'بيانات الآليات '!A:G,5,FALSE()),"")</f>
        <v/>
      </c>
      <c r="G365" s="82"/>
      <c r="H365" s="83" t="str">
        <f aca="false">_xlfn.IFNA(VLOOKUP(G365,Table14543[],2,FALSE()),"")</f>
        <v/>
      </c>
      <c r="I365" s="84" t="str">
        <f aca="false">_xlfn.IFNA(VLOOKUP(G365,Table14543[],3,FALSE()),"")</f>
        <v/>
      </c>
      <c r="J365" s="83" t="str">
        <f aca="false">CONCATENATE("",G365,""," ",H365," ",I365)</f>
        <v>  </v>
      </c>
      <c r="K365" s="85"/>
      <c r="L365" s="86"/>
      <c r="M365" s="86"/>
      <c r="N365" s="86" t="n">
        <f aca="false">L365*M365</f>
        <v>0</v>
      </c>
      <c r="O365" s="86"/>
      <c r="P365" s="87" t="n">
        <f aca="false">(M365*L365)+O365</f>
        <v>0</v>
      </c>
      <c r="Q365" s="91"/>
    </row>
    <row r="366" customFormat="false" ht="14.25" hidden="false" customHeight="false" outlineLevel="0" collapsed="false">
      <c r="A366" s="77"/>
      <c r="B366" s="78"/>
      <c r="C366" s="79"/>
      <c r="D366" s="80" t="str">
        <f aca="false">_xlfn.IFNA(VLOOKUP(C366,'بيانات الآليات '!A:G,4,FALSE()),"")</f>
        <v/>
      </c>
      <c r="E366" s="81" t="str">
        <f aca="false">_xlfn.IFNA(VLOOKUP(C366,'بيانات الآليات '!A:G,2,FALSE()),"")</f>
        <v/>
      </c>
      <c r="F366" s="81" t="str">
        <f aca="false">_xlfn.IFNA(VLOOKUP(C366,'بيانات الآليات '!A:G,5,FALSE()),"")</f>
        <v/>
      </c>
      <c r="G366" s="82"/>
      <c r="H366" s="83" t="str">
        <f aca="false">_xlfn.IFNA(VLOOKUP(G366,Table14543[],2,FALSE()),"")</f>
        <v/>
      </c>
      <c r="I366" s="84" t="str">
        <f aca="false">_xlfn.IFNA(VLOOKUP(G366,Table14543[],3,FALSE()),"")</f>
        <v/>
      </c>
      <c r="J366" s="83" t="str">
        <f aca="false">CONCATENATE("",G366,""," ",H366," ",I366)</f>
        <v>  </v>
      </c>
      <c r="K366" s="85"/>
      <c r="L366" s="86"/>
      <c r="M366" s="86"/>
      <c r="N366" s="86" t="n">
        <f aca="false">L366*M366</f>
        <v>0</v>
      </c>
      <c r="O366" s="86"/>
      <c r="P366" s="87" t="n">
        <f aca="false">(M366*L366)+O366</f>
        <v>0</v>
      </c>
      <c r="Q366" s="91"/>
    </row>
    <row r="367" customFormat="false" ht="14.25" hidden="false" customHeight="false" outlineLevel="0" collapsed="false">
      <c r="A367" s="77"/>
      <c r="B367" s="78"/>
      <c r="C367" s="79"/>
      <c r="D367" s="80" t="str">
        <f aca="false">_xlfn.IFNA(VLOOKUP(C367,'بيانات الآليات '!A:G,4,FALSE()),"")</f>
        <v/>
      </c>
      <c r="E367" s="81" t="str">
        <f aca="false">_xlfn.IFNA(VLOOKUP(C367,'بيانات الآليات '!A:G,2,FALSE()),"")</f>
        <v/>
      </c>
      <c r="F367" s="81" t="str">
        <f aca="false">_xlfn.IFNA(VLOOKUP(C367,'بيانات الآليات '!A:G,5,FALSE()),"")</f>
        <v/>
      </c>
      <c r="G367" s="82"/>
      <c r="H367" s="83" t="str">
        <f aca="false">_xlfn.IFNA(VLOOKUP(G367,Table14543[],2,FALSE()),"")</f>
        <v/>
      </c>
      <c r="I367" s="84" t="str">
        <f aca="false">_xlfn.IFNA(VLOOKUP(G367,Table14543[],3,FALSE()),"")</f>
        <v/>
      </c>
      <c r="J367" s="83" t="str">
        <f aca="false">CONCATENATE("",G367,""," ",H367," ",I367)</f>
        <v>  </v>
      </c>
      <c r="K367" s="85"/>
      <c r="L367" s="86"/>
      <c r="M367" s="86"/>
      <c r="N367" s="86" t="n">
        <f aca="false">L367*M367</f>
        <v>0</v>
      </c>
      <c r="O367" s="86"/>
      <c r="P367" s="87" t="n">
        <f aca="false">(M367*L367)+O367</f>
        <v>0</v>
      </c>
      <c r="Q367" s="91"/>
    </row>
    <row r="368" customFormat="false" ht="14.25" hidden="false" customHeight="false" outlineLevel="0" collapsed="false">
      <c r="A368" s="77"/>
      <c r="B368" s="78"/>
      <c r="C368" s="79"/>
      <c r="D368" s="80" t="str">
        <f aca="false">_xlfn.IFNA(VLOOKUP(C368,'بيانات الآليات '!A:G,4,FALSE()),"")</f>
        <v/>
      </c>
      <c r="E368" s="81" t="str">
        <f aca="false">_xlfn.IFNA(VLOOKUP(C368,'بيانات الآليات '!A:G,2,FALSE()),"")</f>
        <v/>
      </c>
      <c r="F368" s="81" t="str">
        <f aca="false">_xlfn.IFNA(VLOOKUP(C368,'بيانات الآليات '!A:G,5,FALSE()),"")</f>
        <v/>
      </c>
      <c r="G368" s="82"/>
      <c r="H368" s="83" t="str">
        <f aca="false">_xlfn.IFNA(VLOOKUP(G368,Table14543[],2,FALSE()),"")</f>
        <v/>
      </c>
      <c r="I368" s="84" t="str">
        <f aca="false">_xlfn.IFNA(VLOOKUP(G368,Table14543[],3,FALSE()),"")</f>
        <v/>
      </c>
      <c r="J368" s="83" t="str">
        <f aca="false">CONCATENATE("",G368,""," ",H368," ",I368)</f>
        <v>  </v>
      </c>
      <c r="K368" s="85"/>
      <c r="L368" s="86"/>
      <c r="M368" s="86"/>
      <c r="N368" s="86" t="n">
        <f aca="false">L368*M368</f>
        <v>0</v>
      </c>
      <c r="O368" s="86"/>
      <c r="P368" s="87" t="n">
        <f aca="false">(M368*L368)+O368</f>
        <v>0</v>
      </c>
      <c r="Q368" s="91"/>
    </row>
    <row r="369" customFormat="false" ht="14.25" hidden="false" customHeight="false" outlineLevel="0" collapsed="false">
      <c r="A369" s="77"/>
      <c r="B369" s="78"/>
      <c r="C369" s="79"/>
      <c r="D369" s="80" t="str">
        <f aca="false">_xlfn.IFNA(VLOOKUP(C369,'بيانات الآليات '!A:G,4,FALSE()),"")</f>
        <v/>
      </c>
      <c r="E369" s="81" t="str">
        <f aca="false">_xlfn.IFNA(VLOOKUP(C369,'بيانات الآليات '!A:G,2,FALSE()),"")</f>
        <v/>
      </c>
      <c r="F369" s="81" t="str">
        <f aca="false">_xlfn.IFNA(VLOOKUP(C369,'بيانات الآليات '!A:G,5,FALSE()),"")</f>
        <v/>
      </c>
      <c r="G369" s="82"/>
      <c r="H369" s="83" t="str">
        <f aca="false">_xlfn.IFNA(VLOOKUP(G369,Table14543[],2,FALSE()),"")</f>
        <v/>
      </c>
      <c r="I369" s="84" t="str">
        <f aca="false">_xlfn.IFNA(VLOOKUP(G369,Table14543[],3,FALSE()),"")</f>
        <v/>
      </c>
      <c r="J369" s="83" t="str">
        <f aca="false">CONCATENATE("",G369,""," ",H369," ",I369)</f>
        <v>  </v>
      </c>
      <c r="K369" s="85"/>
      <c r="L369" s="86"/>
      <c r="M369" s="86"/>
      <c r="N369" s="86" t="n">
        <f aca="false">L369*M369</f>
        <v>0</v>
      </c>
      <c r="O369" s="86"/>
      <c r="P369" s="87" t="n">
        <f aca="false">(M369*L369)+O369</f>
        <v>0</v>
      </c>
      <c r="Q369" s="91"/>
    </row>
    <row r="370" customFormat="false" ht="14.25" hidden="false" customHeight="false" outlineLevel="0" collapsed="false">
      <c r="A370" s="77"/>
      <c r="B370" s="78"/>
      <c r="C370" s="79"/>
      <c r="D370" s="80" t="str">
        <f aca="false">_xlfn.IFNA(VLOOKUP(C370,'بيانات الآليات '!A:G,4,FALSE()),"")</f>
        <v/>
      </c>
      <c r="E370" s="81" t="str">
        <f aca="false">_xlfn.IFNA(VLOOKUP(C370,'بيانات الآليات '!A:G,2,FALSE()),"")</f>
        <v/>
      </c>
      <c r="F370" s="81" t="str">
        <f aca="false">_xlfn.IFNA(VLOOKUP(C370,'بيانات الآليات '!A:G,5,FALSE()),"")</f>
        <v/>
      </c>
      <c r="G370" s="82"/>
      <c r="H370" s="83" t="str">
        <f aca="false">_xlfn.IFNA(VLOOKUP(G370,Table14543[],2,FALSE()),"")</f>
        <v/>
      </c>
      <c r="I370" s="84" t="str">
        <f aca="false">_xlfn.IFNA(VLOOKUP(G370,Table14543[],3,FALSE()),"")</f>
        <v/>
      </c>
      <c r="J370" s="83" t="str">
        <f aca="false">CONCATENATE("",G370,""," ",H370," ",I370)</f>
        <v>  </v>
      </c>
      <c r="K370" s="85"/>
      <c r="L370" s="86"/>
      <c r="M370" s="86"/>
      <c r="N370" s="86" t="n">
        <f aca="false">L370*M370</f>
        <v>0</v>
      </c>
      <c r="O370" s="86"/>
      <c r="P370" s="87" t="n">
        <f aca="false">(M370*L370)+O370</f>
        <v>0</v>
      </c>
      <c r="Q370" s="91"/>
    </row>
    <row r="371" customFormat="false" ht="14.25" hidden="false" customHeight="false" outlineLevel="0" collapsed="false">
      <c r="A371" s="77"/>
      <c r="B371" s="78"/>
      <c r="C371" s="79"/>
      <c r="D371" s="80" t="str">
        <f aca="false">_xlfn.IFNA(VLOOKUP(C371,'بيانات الآليات '!A:G,4,FALSE()),"")</f>
        <v/>
      </c>
      <c r="E371" s="81" t="str">
        <f aca="false">_xlfn.IFNA(VLOOKUP(C371,'بيانات الآليات '!A:G,2,FALSE()),"")</f>
        <v/>
      </c>
      <c r="F371" s="81" t="str">
        <f aca="false">_xlfn.IFNA(VLOOKUP(C371,'بيانات الآليات '!A:G,5,FALSE()),"")</f>
        <v/>
      </c>
      <c r="G371" s="82"/>
      <c r="H371" s="83" t="str">
        <f aca="false">_xlfn.IFNA(VLOOKUP(G371,Table14543[],2,FALSE()),"")</f>
        <v/>
      </c>
      <c r="I371" s="84" t="str">
        <f aca="false">_xlfn.IFNA(VLOOKUP(G371,Table14543[],3,FALSE()),"")</f>
        <v/>
      </c>
      <c r="J371" s="83" t="str">
        <f aca="false">CONCATENATE("",G371,""," ",H371," ",I371)</f>
        <v>  </v>
      </c>
      <c r="K371" s="85"/>
      <c r="L371" s="86"/>
      <c r="M371" s="86"/>
      <c r="N371" s="86" t="n">
        <f aca="false">L371*M371</f>
        <v>0</v>
      </c>
      <c r="O371" s="86"/>
      <c r="P371" s="87" t="n">
        <f aca="false">(M371*L371)+O371</f>
        <v>0</v>
      </c>
      <c r="Q371" s="91"/>
    </row>
    <row r="372" customFormat="false" ht="14.25" hidden="false" customHeight="false" outlineLevel="0" collapsed="false">
      <c r="A372" s="77"/>
      <c r="B372" s="78"/>
      <c r="C372" s="79"/>
      <c r="D372" s="80" t="str">
        <f aca="false">_xlfn.IFNA(VLOOKUP(C372,'بيانات الآليات '!A:G,4,FALSE()),"")</f>
        <v/>
      </c>
      <c r="E372" s="81" t="str">
        <f aca="false">_xlfn.IFNA(VLOOKUP(C372,'بيانات الآليات '!A:G,2,FALSE()),"")</f>
        <v/>
      </c>
      <c r="F372" s="81" t="str">
        <f aca="false">_xlfn.IFNA(VLOOKUP(C372,'بيانات الآليات '!A:G,5,FALSE()),"")</f>
        <v/>
      </c>
      <c r="G372" s="82"/>
      <c r="H372" s="83" t="str">
        <f aca="false">_xlfn.IFNA(VLOOKUP(G372,Table14543[],2,FALSE()),"")</f>
        <v/>
      </c>
      <c r="I372" s="84" t="str">
        <f aca="false">_xlfn.IFNA(VLOOKUP(G372,Table14543[],3,FALSE()),"")</f>
        <v/>
      </c>
      <c r="J372" s="83" t="str">
        <f aca="false">CONCATENATE("",G372,""," ",H372," ",I372)</f>
        <v>  </v>
      </c>
      <c r="K372" s="85"/>
      <c r="L372" s="86"/>
      <c r="M372" s="86"/>
      <c r="N372" s="86" t="n">
        <f aca="false">L372*M372</f>
        <v>0</v>
      </c>
      <c r="O372" s="86"/>
      <c r="P372" s="87" t="n">
        <f aca="false">(M372*L372)+O372</f>
        <v>0</v>
      </c>
      <c r="Q372" s="91"/>
    </row>
    <row r="373" customFormat="false" ht="14.25" hidden="false" customHeight="false" outlineLevel="0" collapsed="false">
      <c r="A373" s="77"/>
      <c r="B373" s="78"/>
      <c r="C373" s="79"/>
      <c r="D373" s="80" t="str">
        <f aca="false">_xlfn.IFNA(VLOOKUP(C373,'بيانات الآليات '!A:G,4,FALSE()),"")</f>
        <v/>
      </c>
      <c r="E373" s="81" t="str">
        <f aca="false">_xlfn.IFNA(VLOOKUP(C373,'بيانات الآليات '!A:G,2,FALSE()),"")</f>
        <v/>
      </c>
      <c r="F373" s="81" t="str">
        <f aca="false">_xlfn.IFNA(VLOOKUP(C373,'بيانات الآليات '!A:G,5,FALSE()),"")</f>
        <v/>
      </c>
      <c r="G373" s="82"/>
      <c r="H373" s="83" t="str">
        <f aca="false">_xlfn.IFNA(VLOOKUP(G373,Table14543[],2,FALSE()),"")</f>
        <v/>
      </c>
      <c r="I373" s="84" t="str">
        <f aca="false">_xlfn.IFNA(VLOOKUP(G373,Table14543[],3,FALSE()),"")</f>
        <v/>
      </c>
      <c r="J373" s="83" t="str">
        <f aca="false">CONCATENATE("",G373,""," ",H373," ",I373)</f>
        <v>  </v>
      </c>
      <c r="K373" s="85"/>
      <c r="L373" s="86"/>
      <c r="M373" s="86"/>
      <c r="N373" s="86" t="n">
        <f aca="false">L373*M373</f>
        <v>0</v>
      </c>
      <c r="O373" s="86"/>
      <c r="P373" s="87" t="n">
        <f aca="false">(M373*L373)+O373</f>
        <v>0</v>
      </c>
      <c r="Q373" s="91"/>
    </row>
    <row r="374" customFormat="false" ht="14.25" hidden="false" customHeight="false" outlineLevel="0" collapsed="false">
      <c r="A374" s="77"/>
      <c r="B374" s="78"/>
      <c r="C374" s="79"/>
      <c r="D374" s="80" t="str">
        <f aca="false">_xlfn.IFNA(VLOOKUP(C374,'بيانات الآليات '!A:G,4,FALSE()),"")</f>
        <v/>
      </c>
      <c r="E374" s="81" t="str">
        <f aca="false">_xlfn.IFNA(VLOOKUP(C374,'بيانات الآليات '!A:G,2,FALSE()),"")</f>
        <v/>
      </c>
      <c r="F374" s="81" t="str">
        <f aca="false">_xlfn.IFNA(VLOOKUP(C374,'بيانات الآليات '!A:G,5,FALSE()),"")</f>
        <v/>
      </c>
      <c r="G374" s="82"/>
      <c r="H374" s="83" t="str">
        <f aca="false">_xlfn.IFNA(VLOOKUP(G374,Table14543[],2,FALSE()),"")</f>
        <v/>
      </c>
      <c r="I374" s="84" t="str">
        <f aca="false">_xlfn.IFNA(VLOOKUP(G374,Table14543[],3,FALSE()),"")</f>
        <v/>
      </c>
      <c r="J374" s="83" t="str">
        <f aca="false">CONCATENATE("",G374,""," ",H374," ",I374)</f>
        <v>  </v>
      </c>
      <c r="K374" s="85"/>
      <c r="L374" s="86"/>
      <c r="M374" s="86"/>
      <c r="N374" s="86" t="n">
        <f aca="false">L374*M374</f>
        <v>0</v>
      </c>
      <c r="O374" s="86"/>
      <c r="P374" s="87" t="n">
        <f aca="false">(M374*L374)+O374</f>
        <v>0</v>
      </c>
      <c r="Q374" s="91"/>
    </row>
    <row r="375" customFormat="false" ht="14.25" hidden="false" customHeight="false" outlineLevel="0" collapsed="false">
      <c r="A375" s="77"/>
      <c r="B375" s="78"/>
      <c r="C375" s="79"/>
      <c r="D375" s="80" t="str">
        <f aca="false">_xlfn.IFNA(VLOOKUP(C375,'بيانات الآليات '!A:G,4,FALSE()),"")</f>
        <v/>
      </c>
      <c r="E375" s="81" t="str">
        <f aca="false">_xlfn.IFNA(VLOOKUP(C375,'بيانات الآليات '!A:G,2,FALSE()),"")</f>
        <v/>
      </c>
      <c r="F375" s="81" t="str">
        <f aca="false">_xlfn.IFNA(VLOOKUP(C375,'بيانات الآليات '!A:G,5,FALSE()),"")</f>
        <v/>
      </c>
      <c r="G375" s="82"/>
      <c r="H375" s="83" t="str">
        <f aca="false">_xlfn.IFNA(VLOOKUP(G375,Table14543[],2,FALSE()),"")</f>
        <v/>
      </c>
      <c r="I375" s="84" t="str">
        <f aca="false">_xlfn.IFNA(VLOOKUP(G375,Table14543[],3,FALSE()),"")</f>
        <v/>
      </c>
      <c r="J375" s="83" t="str">
        <f aca="false">CONCATENATE("",G375,""," ",H375," ",I375)</f>
        <v>  </v>
      </c>
      <c r="K375" s="85"/>
      <c r="L375" s="86"/>
      <c r="M375" s="86"/>
      <c r="N375" s="86" t="n">
        <f aca="false">L375*M375</f>
        <v>0</v>
      </c>
      <c r="O375" s="86"/>
      <c r="P375" s="87" t="n">
        <f aca="false">(M375*L375)+O375</f>
        <v>0</v>
      </c>
      <c r="Q375" s="91"/>
    </row>
    <row r="376" customFormat="false" ht="14.25" hidden="false" customHeight="false" outlineLevel="0" collapsed="false">
      <c r="A376" s="77"/>
      <c r="B376" s="78"/>
      <c r="C376" s="79"/>
      <c r="D376" s="80" t="str">
        <f aca="false">_xlfn.IFNA(VLOOKUP(C376,'بيانات الآليات '!A:G,4,FALSE()),"")</f>
        <v/>
      </c>
      <c r="E376" s="81" t="str">
        <f aca="false">_xlfn.IFNA(VLOOKUP(C376,'بيانات الآليات '!A:G,2,FALSE()),"")</f>
        <v/>
      </c>
      <c r="F376" s="81" t="str">
        <f aca="false">_xlfn.IFNA(VLOOKUP(C376,'بيانات الآليات '!A:G,5,FALSE()),"")</f>
        <v/>
      </c>
      <c r="G376" s="82"/>
      <c r="H376" s="83" t="str">
        <f aca="false">_xlfn.IFNA(VLOOKUP(G376,Table14543[],2,FALSE()),"")</f>
        <v/>
      </c>
      <c r="I376" s="84" t="str">
        <f aca="false">_xlfn.IFNA(VLOOKUP(G376,Table14543[],3,FALSE()),"")</f>
        <v/>
      </c>
      <c r="J376" s="83" t="str">
        <f aca="false">CONCATENATE("",G376,""," ",H376," ",I376)</f>
        <v>  </v>
      </c>
      <c r="K376" s="85"/>
      <c r="L376" s="86"/>
      <c r="M376" s="86"/>
      <c r="N376" s="86" t="n">
        <f aca="false">L376*M376</f>
        <v>0</v>
      </c>
      <c r="O376" s="86"/>
      <c r="P376" s="87" t="n">
        <f aca="false">(M376*L376)+O376</f>
        <v>0</v>
      </c>
      <c r="Q376" s="91"/>
    </row>
    <row r="377" customFormat="false" ht="14.25" hidden="false" customHeight="false" outlineLevel="0" collapsed="false">
      <c r="A377" s="77"/>
      <c r="B377" s="78"/>
      <c r="C377" s="79"/>
      <c r="D377" s="80" t="str">
        <f aca="false">_xlfn.IFNA(VLOOKUP(C377,'بيانات الآليات '!A:G,4,FALSE()),"")</f>
        <v/>
      </c>
      <c r="E377" s="81" t="str">
        <f aca="false">_xlfn.IFNA(VLOOKUP(C377,'بيانات الآليات '!A:G,2,FALSE()),"")</f>
        <v/>
      </c>
      <c r="F377" s="81" t="str">
        <f aca="false">_xlfn.IFNA(VLOOKUP(C377,'بيانات الآليات '!A:G,5,FALSE()),"")</f>
        <v/>
      </c>
      <c r="G377" s="82"/>
      <c r="H377" s="83" t="str">
        <f aca="false">_xlfn.IFNA(VLOOKUP(G377,Table14543[],2,FALSE()),"")</f>
        <v/>
      </c>
      <c r="I377" s="84" t="str">
        <f aca="false">_xlfn.IFNA(VLOOKUP(G377,Table14543[],3,FALSE()),"")</f>
        <v/>
      </c>
      <c r="J377" s="83" t="str">
        <f aca="false">CONCATENATE("",G377,""," ",H377," ",I377)</f>
        <v>  </v>
      </c>
      <c r="K377" s="85"/>
      <c r="L377" s="86"/>
      <c r="M377" s="86"/>
      <c r="N377" s="86" t="n">
        <f aca="false">L377*M377</f>
        <v>0</v>
      </c>
      <c r="O377" s="86"/>
      <c r="P377" s="87" t="n">
        <f aca="false">(M377*L377)+O377</f>
        <v>0</v>
      </c>
      <c r="Q377" s="91"/>
    </row>
    <row r="378" customFormat="false" ht="14.25" hidden="false" customHeight="false" outlineLevel="0" collapsed="false">
      <c r="A378" s="77"/>
      <c r="B378" s="78"/>
      <c r="C378" s="79"/>
      <c r="D378" s="80" t="str">
        <f aca="false">_xlfn.IFNA(VLOOKUP(C378,'بيانات الآليات '!A:G,4,FALSE()),"")</f>
        <v/>
      </c>
      <c r="E378" s="81" t="str">
        <f aca="false">_xlfn.IFNA(VLOOKUP(C378,'بيانات الآليات '!A:G,2,FALSE()),"")</f>
        <v/>
      </c>
      <c r="F378" s="81" t="str">
        <f aca="false">_xlfn.IFNA(VLOOKUP(C378,'بيانات الآليات '!A:G,5,FALSE()),"")</f>
        <v/>
      </c>
      <c r="G378" s="82"/>
      <c r="H378" s="83" t="str">
        <f aca="false">_xlfn.IFNA(VLOOKUP(G378,Table14543[],2,FALSE()),"")</f>
        <v/>
      </c>
      <c r="I378" s="84" t="str">
        <f aca="false">_xlfn.IFNA(VLOOKUP(G378,Table14543[],3,FALSE()),"")</f>
        <v/>
      </c>
      <c r="J378" s="83" t="str">
        <f aca="false">CONCATENATE("",G378,""," ",H378," ",I378)</f>
        <v>  </v>
      </c>
      <c r="K378" s="85"/>
      <c r="L378" s="86"/>
      <c r="M378" s="86"/>
      <c r="N378" s="86" t="n">
        <f aca="false">L378*M378</f>
        <v>0</v>
      </c>
      <c r="O378" s="86"/>
      <c r="P378" s="87" t="n">
        <f aca="false">(M378*L378)+O378</f>
        <v>0</v>
      </c>
      <c r="Q378" s="91"/>
    </row>
    <row r="379" customFormat="false" ht="14.25" hidden="false" customHeight="false" outlineLevel="0" collapsed="false">
      <c r="A379" s="77"/>
      <c r="B379" s="78"/>
      <c r="C379" s="79"/>
      <c r="D379" s="80" t="str">
        <f aca="false">_xlfn.IFNA(VLOOKUP(C379,'بيانات الآليات '!A:G,4,FALSE()),"")</f>
        <v/>
      </c>
      <c r="E379" s="81" t="str">
        <f aca="false">_xlfn.IFNA(VLOOKUP(C379,'بيانات الآليات '!A:G,2,FALSE()),"")</f>
        <v/>
      </c>
      <c r="F379" s="81" t="str">
        <f aca="false">_xlfn.IFNA(VLOOKUP(C379,'بيانات الآليات '!A:G,5,FALSE()),"")</f>
        <v/>
      </c>
      <c r="G379" s="82"/>
      <c r="H379" s="83" t="str">
        <f aca="false">_xlfn.IFNA(VLOOKUP(G379,Table14543[],2,FALSE()),"")</f>
        <v/>
      </c>
      <c r="I379" s="84" t="str">
        <f aca="false">_xlfn.IFNA(VLOOKUP(G379,Table14543[],3,FALSE()),"")</f>
        <v/>
      </c>
      <c r="J379" s="83" t="str">
        <f aca="false">CONCATENATE("",G379,""," ",H379," ",I379)</f>
        <v>  </v>
      </c>
      <c r="K379" s="85"/>
      <c r="L379" s="86"/>
      <c r="M379" s="86"/>
      <c r="N379" s="86" t="n">
        <f aca="false">L379*M379</f>
        <v>0</v>
      </c>
      <c r="O379" s="86"/>
      <c r="P379" s="87" t="n">
        <f aca="false">(M379*L379)+O379</f>
        <v>0</v>
      </c>
      <c r="Q379" s="91"/>
    </row>
    <row r="380" customFormat="false" ht="14.25" hidden="false" customHeight="false" outlineLevel="0" collapsed="false">
      <c r="A380" s="77"/>
      <c r="B380" s="78"/>
      <c r="C380" s="79"/>
      <c r="D380" s="80" t="str">
        <f aca="false">_xlfn.IFNA(VLOOKUP(C380,'بيانات الآليات '!A:G,4,FALSE()),"")</f>
        <v/>
      </c>
      <c r="E380" s="81" t="str">
        <f aca="false">_xlfn.IFNA(VLOOKUP(C380,'بيانات الآليات '!A:G,2,FALSE()),"")</f>
        <v/>
      </c>
      <c r="F380" s="81" t="str">
        <f aca="false">_xlfn.IFNA(VLOOKUP(C380,'بيانات الآليات '!A:G,5,FALSE()),"")</f>
        <v/>
      </c>
      <c r="G380" s="82"/>
      <c r="H380" s="83" t="str">
        <f aca="false">_xlfn.IFNA(VLOOKUP(G380,Table14543[],2,FALSE()),"")</f>
        <v/>
      </c>
      <c r="I380" s="84" t="str">
        <f aca="false">_xlfn.IFNA(VLOOKUP(G380,Table14543[],3,FALSE()),"")</f>
        <v/>
      </c>
      <c r="J380" s="83" t="str">
        <f aca="false">CONCATENATE("",G380,""," ",H380," ",I380)</f>
        <v>  </v>
      </c>
      <c r="K380" s="85"/>
      <c r="L380" s="86"/>
      <c r="M380" s="86"/>
      <c r="N380" s="86" t="n">
        <f aca="false">L380*M380</f>
        <v>0</v>
      </c>
      <c r="O380" s="86"/>
      <c r="P380" s="87" t="n">
        <f aca="false">(M380*L380)+O380</f>
        <v>0</v>
      </c>
      <c r="Q380" s="91"/>
    </row>
    <row r="381" customFormat="false" ht="14.25" hidden="false" customHeight="false" outlineLevel="0" collapsed="false">
      <c r="A381" s="77"/>
      <c r="B381" s="78"/>
      <c r="C381" s="79"/>
      <c r="D381" s="80" t="str">
        <f aca="false">_xlfn.IFNA(VLOOKUP(C381,'بيانات الآليات '!A:G,4,FALSE()),"")</f>
        <v/>
      </c>
      <c r="E381" s="81" t="str">
        <f aca="false">_xlfn.IFNA(VLOOKUP(C381,'بيانات الآليات '!A:G,2,FALSE()),"")</f>
        <v/>
      </c>
      <c r="F381" s="81" t="str">
        <f aca="false">_xlfn.IFNA(VLOOKUP(C381,'بيانات الآليات '!A:G,5,FALSE()),"")</f>
        <v/>
      </c>
      <c r="G381" s="82"/>
      <c r="H381" s="83" t="str">
        <f aca="false">_xlfn.IFNA(VLOOKUP(G381,Table14543[],2,FALSE()),"")</f>
        <v/>
      </c>
      <c r="I381" s="84" t="str">
        <f aca="false">_xlfn.IFNA(VLOOKUP(G381,Table14543[],3,FALSE()),"")</f>
        <v/>
      </c>
      <c r="J381" s="83" t="str">
        <f aca="false">CONCATENATE("",G381,""," ",H381," ",I381)</f>
        <v>  </v>
      </c>
      <c r="K381" s="85"/>
      <c r="L381" s="86"/>
      <c r="M381" s="86"/>
      <c r="N381" s="86" t="n">
        <f aca="false">L381*M381</f>
        <v>0</v>
      </c>
      <c r="O381" s="86"/>
      <c r="P381" s="87" t="n">
        <f aca="false">(M381*L381)+O381</f>
        <v>0</v>
      </c>
      <c r="Q381" s="91"/>
    </row>
    <row r="382" customFormat="false" ht="14.25" hidden="false" customHeight="false" outlineLevel="0" collapsed="false">
      <c r="A382" s="77"/>
      <c r="B382" s="78"/>
      <c r="C382" s="79"/>
      <c r="D382" s="80" t="str">
        <f aca="false">_xlfn.IFNA(VLOOKUP(C382,'بيانات الآليات '!A:G,4,FALSE()),"")</f>
        <v/>
      </c>
      <c r="E382" s="81" t="str">
        <f aca="false">_xlfn.IFNA(VLOOKUP(C382,'بيانات الآليات '!A:G,2,FALSE()),"")</f>
        <v/>
      </c>
      <c r="F382" s="81" t="str">
        <f aca="false">_xlfn.IFNA(VLOOKUP(C382,'بيانات الآليات '!A:G,5,FALSE()),"")</f>
        <v/>
      </c>
      <c r="G382" s="82"/>
      <c r="H382" s="83" t="str">
        <f aca="false">_xlfn.IFNA(VLOOKUP(G382,Table14543[],2,FALSE()),"")</f>
        <v/>
      </c>
      <c r="I382" s="84" t="str">
        <f aca="false">_xlfn.IFNA(VLOOKUP(G382,Table14543[],3,FALSE()),"")</f>
        <v/>
      </c>
      <c r="J382" s="83" t="str">
        <f aca="false">CONCATENATE("",G382,""," ",H382," ",I382)</f>
        <v>  </v>
      </c>
      <c r="K382" s="85"/>
      <c r="L382" s="86"/>
      <c r="M382" s="86"/>
      <c r="N382" s="86" t="n">
        <f aca="false">L382*M382</f>
        <v>0</v>
      </c>
      <c r="O382" s="86"/>
      <c r="P382" s="87" t="n">
        <f aca="false">(M382*L382)+O382</f>
        <v>0</v>
      </c>
      <c r="Q382" s="91"/>
    </row>
    <row r="383" customFormat="false" ht="14.25" hidden="false" customHeight="false" outlineLevel="0" collapsed="false">
      <c r="A383" s="77"/>
      <c r="B383" s="78"/>
      <c r="C383" s="79"/>
      <c r="D383" s="80" t="str">
        <f aca="false">_xlfn.IFNA(VLOOKUP(C383,'بيانات الآليات '!A:G,4,FALSE()),"")</f>
        <v/>
      </c>
      <c r="E383" s="81" t="str">
        <f aca="false">_xlfn.IFNA(VLOOKUP(C383,'بيانات الآليات '!A:G,2,FALSE()),"")</f>
        <v/>
      </c>
      <c r="F383" s="81" t="str">
        <f aca="false">_xlfn.IFNA(VLOOKUP(C383,'بيانات الآليات '!A:G,5,FALSE()),"")</f>
        <v/>
      </c>
      <c r="G383" s="82"/>
      <c r="H383" s="83" t="str">
        <f aca="false">_xlfn.IFNA(VLOOKUP(G383,Table14543[],2,FALSE()),"")</f>
        <v/>
      </c>
      <c r="I383" s="84" t="str">
        <f aca="false">_xlfn.IFNA(VLOOKUP(G383,Table14543[],3,FALSE()),"")</f>
        <v/>
      </c>
      <c r="J383" s="83" t="str">
        <f aca="false">CONCATENATE("",G383,""," ",H383," ",I383)</f>
        <v>  </v>
      </c>
      <c r="K383" s="85"/>
      <c r="L383" s="86"/>
      <c r="M383" s="86"/>
      <c r="N383" s="86" t="n">
        <f aca="false">L383*M383</f>
        <v>0</v>
      </c>
      <c r="O383" s="86"/>
      <c r="P383" s="87" t="n">
        <f aca="false">(M383*L383)+O383</f>
        <v>0</v>
      </c>
      <c r="Q383" s="91"/>
    </row>
    <row r="384" customFormat="false" ht="14.25" hidden="false" customHeight="false" outlineLevel="0" collapsed="false">
      <c r="A384" s="77"/>
      <c r="B384" s="78"/>
      <c r="C384" s="79"/>
      <c r="D384" s="80" t="str">
        <f aca="false">_xlfn.IFNA(VLOOKUP(C384,'بيانات الآليات '!A:G,4,FALSE()),"")</f>
        <v/>
      </c>
      <c r="E384" s="81" t="str">
        <f aca="false">_xlfn.IFNA(VLOOKUP(C384,'بيانات الآليات '!A:G,2,FALSE()),"")</f>
        <v/>
      </c>
      <c r="F384" s="81" t="str">
        <f aca="false">_xlfn.IFNA(VLOOKUP(C384,'بيانات الآليات '!A:G,5,FALSE()),"")</f>
        <v/>
      </c>
      <c r="G384" s="82"/>
      <c r="H384" s="83" t="str">
        <f aca="false">_xlfn.IFNA(VLOOKUP(G384,Table14543[],2,FALSE()),"")</f>
        <v/>
      </c>
      <c r="I384" s="84" t="str">
        <f aca="false">_xlfn.IFNA(VLOOKUP(G384,Table14543[],3,FALSE()),"")</f>
        <v/>
      </c>
      <c r="J384" s="83" t="str">
        <f aca="false">CONCATENATE("",G384,""," ",H384," ",I384)</f>
        <v>  </v>
      </c>
      <c r="K384" s="85"/>
      <c r="L384" s="86"/>
      <c r="M384" s="86"/>
      <c r="N384" s="86" t="n">
        <f aca="false">L384*M384</f>
        <v>0</v>
      </c>
      <c r="O384" s="86"/>
      <c r="P384" s="87" t="n">
        <f aca="false">(M384*L384)+O384</f>
        <v>0</v>
      </c>
      <c r="Q384" s="91"/>
    </row>
    <row r="385" customFormat="false" ht="14.25" hidden="false" customHeight="false" outlineLevel="0" collapsed="false">
      <c r="A385" s="77"/>
      <c r="B385" s="78"/>
      <c r="C385" s="79"/>
      <c r="D385" s="80" t="str">
        <f aca="false">_xlfn.IFNA(VLOOKUP(C385,'بيانات الآليات '!A:G,4,FALSE()),"")</f>
        <v/>
      </c>
      <c r="E385" s="81" t="str">
        <f aca="false">_xlfn.IFNA(VLOOKUP(C385,'بيانات الآليات '!A:G,2,FALSE()),"")</f>
        <v/>
      </c>
      <c r="F385" s="81" t="str">
        <f aca="false">_xlfn.IFNA(VLOOKUP(C385,'بيانات الآليات '!A:G,5,FALSE()),"")</f>
        <v/>
      </c>
      <c r="G385" s="82"/>
      <c r="H385" s="83" t="str">
        <f aca="false">_xlfn.IFNA(VLOOKUP(G385,Table14543[],2,FALSE()),"")</f>
        <v/>
      </c>
      <c r="I385" s="84" t="str">
        <f aca="false">_xlfn.IFNA(VLOOKUP(G385,Table14543[],3,FALSE()),"")</f>
        <v/>
      </c>
      <c r="J385" s="83" t="str">
        <f aca="false">CONCATENATE("",G385,""," ",H385," ",I385)</f>
        <v>  </v>
      </c>
      <c r="K385" s="85"/>
      <c r="L385" s="86"/>
      <c r="M385" s="86"/>
      <c r="N385" s="86" t="n">
        <f aca="false">L385*M385</f>
        <v>0</v>
      </c>
      <c r="O385" s="86"/>
      <c r="P385" s="87" t="n">
        <f aca="false">(M385*L385)+O385</f>
        <v>0</v>
      </c>
      <c r="Q385" s="91"/>
    </row>
    <row r="386" customFormat="false" ht="14.25" hidden="false" customHeight="false" outlineLevel="0" collapsed="false">
      <c r="A386" s="77"/>
      <c r="B386" s="78"/>
      <c r="C386" s="79"/>
      <c r="D386" s="80" t="str">
        <f aca="false">_xlfn.IFNA(VLOOKUP(C386,'بيانات الآليات '!A:G,4,FALSE()),"")</f>
        <v/>
      </c>
      <c r="E386" s="81" t="str">
        <f aca="false">_xlfn.IFNA(VLOOKUP(C386,'بيانات الآليات '!A:G,2,FALSE()),"")</f>
        <v/>
      </c>
      <c r="F386" s="81" t="str">
        <f aca="false">_xlfn.IFNA(VLOOKUP(C386,'بيانات الآليات '!A:G,5,FALSE()),"")</f>
        <v/>
      </c>
      <c r="G386" s="82"/>
      <c r="H386" s="83" t="str">
        <f aca="false">_xlfn.IFNA(VLOOKUP(G386,Table14543[],2,FALSE()),"")</f>
        <v/>
      </c>
      <c r="I386" s="84" t="str">
        <f aca="false">_xlfn.IFNA(VLOOKUP(G386,Table14543[],3,FALSE()),"")</f>
        <v/>
      </c>
      <c r="J386" s="83" t="str">
        <f aca="false">CONCATENATE("",G386,""," ",H386," ",I386)</f>
        <v>  </v>
      </c>
      <c r="K386" s="85"/>
      <c r="L386" s="86"/>
      <c r="M386" s="86"/>
      <c r="N386" s="86" t="n">
        <f aca="false">L386*M386</f>
        <v>0</v>
      </c>
      <c r="O386" s="86"/>
      <c r="P386" s="87" t="n">
        <f aca="false">(M386*L386)+O386</f>
        <v>0</v>
      </c>
      <c r="Q386" s="91"/>
    </row>
    <row r="387" customFormat="false" ht="14.25" hidden="false" customHeight="false" outlineLevel="0" collapsed="false">
      <c r="A387" s="77"/>
      <c r="B387" s="78"/>
      <c r="C387" s="79"/>
      <c r="D387" s="80" t="str">
        <f aca="false">_xlfn.IFNA(VLOOKUP(C387,'بيانات الآليات '!A:G,4,FALSE()),"")</f>
        <v/>
      </c>
      <c r="E387" s="81" t="str">
        <f aca="false">_xlfn.IFNA(VLOOKUP(C387,'بيانات الآليات '!A:G,2,FALSE()),"")</f>
        <v/>
      </c>
      <c r="F387" s="81" t="str">
        <f aca="false">_xlfn.IFNA(VLOOKUP(C387,'بيانات الآليات '!A:G,5,FALSE()),"")</f>
        <v/>
      </c>
      <c r="G387" s="82"/>
      <c r="H387" s="83" t="str">
        <f aca="false">_xlfn.IFNA(VLOOKUP(G387,Table14543[],2,FALSE()),"")</f>
        <v/>
      </c>
      <c r="I387" s="84" t="str">
        <f aca="false">_xlfn.IFNA(VLOOKUP(G387,Table14543[],3,FALSE()),"")</f>
        <v/>
      </c>
      <c r="J387" s="83" t="str">
        <f aca="false">CONCATENATE("",G387,""," ",H387," ",I387)</f>
        <v>  </v>
      </c>
      <c r="K387" s="85"/>
      <c r="L387" s="86"/>
      <c r="M387" s="86"/>
      <c r="N387" s="86" t="n">
        <f aca="false">L387*M387</f>
        <v>0</v>
      </c>
      <c r="O387" s="86"/>
      <c r="P387" s="87" t="n">
        <f aca="false">(M387*L387)+O387</f>
        <v>0</v>
      </c>
      <c r="Q387" s="91"/>
    </row>
    <row r="388" customFormat="false" ht="14.25" hidden="false" customHeight="false" outlineLevel="0" collapsed="false">
      <c r="A388" s="77"/>
      <c r="B388" s="78"/>
      <c r="C388" s="79"/>
      <c r="D388" s="80" t="str">
        <f aca="false">_xlfn.IFNA(VLOOKUP(C388,'بيانات الآليات '!A:G,4,FALSE()),"")</f>
        <v/>
      </c>
      <c r="E388" s="81" t="str">
        <f aca="false">_xlfn.IFNA(VLOOKUP(C388,'بيانات الآليات '!A:G,2,FALSE()),"")</f>
        <v/>
      </c>
      <c r="F388" s="81" t="str">
        <f aca="false">_xlfn.IFNA(VLOOKUP(C388,'بيانات الآليات '!A:G,5,FALSE()),"")</f>
        <v/>
      </c>
      <c r="G388" s="82"/>
      <c r="H388" s="83" t="str">
        <f aca="false">_xlfn.IFNA(VLOOKUP(G388,Table14543[],2,FALSE()),"")</f>
        <v/>
      </c>
      <c r="I388" s="84" t="str">
        <f aca="false">_xlfn.IFNA(VLOOKUP(G388,Table14543[],3,FALSE()),"")</f>
        <v/>
      </c>
      <c r="J388" s="83" t="str">
        <f aca="false">CONCATENATE("",G388,""," ",H388," ",I388)</f>
        <v>  </v>
      </c>
      <c r="K388" s="85"/>
      <c r="L388" s="86"/>
      <c r="M388" s="86"/>
      <c r="N388" s="86" t="n">
        <f aca="false">L388*M388</f>
        <v>0</v>
      </c>
      <c r="O388" s="86"/>
      <c r="P388" s="87" t="n">
        <f aca="false">(M388*L388)+O388</f>
        <v>0</v>
      </c>
      <c r="Q388" s="91"/>
    </row>
    <row r="389" customFormat="false" ht="14.25" hidden="false" customHeight="false" outlineLevel="0" collapsed="false">
      <c r="A389" s="77"/>
      <c r="B389" s="78"/>
      <c r="C389" s="79"/>
      <c r="D389" s="80" t="str">
        <f aca="false">_xlfn.IFNA(VLOOKUP(C389,'بيانات الآليات '!A:G,4,FALSE()),"")</f>
        <v/>
      </c>
      <c r="E389" s="81" t="str">
        <f aca="false">_xlfn.IFNA(VLOOKUP(C389,'بيانات الآليات '!A:G,2,FALSE()),"")</f>
        <v/>
      </c>
      <c r="F389" s="81" t="str">
        <f aca="false">_xlfn.IFNA(VLOOKUP(C389,'بيانات الآليات '!A:G,5,FALSE()),"")</f>
        <v/>
      </c>
      <c r="G389" s="82"/>
      <c r="H389" s="83" t="str">
        <f aca="false">_xlfn.IFNA(VLOOKUP(G389,Table14543[],2,FALSE()),"")</f>
        <v/>
      </c>
      <c r="I389" s="84" t="str">
        <f aca="false">_xlfn.IFNA(VLOOKUP(G389,Table14543[],3,FALSE()),"")</f>
        <v/>
      </c>
      <c r="J389" s="83" t="str">
        <f aca="false">CONCATENATE("",G389,""," ",H389," ",I389)</f>
        <v>  </v>
      </c>
      <c r="K389" s="85"/>
      <c r="L389" s="86"/>
      <c r="M389" s="86"/>
      <c r="N389" s="86" t="n">
        <f aca="false">L389*M389</f>
        <v>0</v>
      </c>
      <c r="O389" s="86"/>
      <c r="P389" s="87" t="n">
        <f aca="false">(M389*L389)+O389</f>
        <v>0</v>
      </c>
      <c r="Q389" s="91"/>
    </row>
    <row r="390" customFormat="false" ht="14.25" hidden="false" customHeight="false" outlineLevel="0" collapsed="false">
      <c r="A390" s="77"/>
      <c r="B390" s="78"/>
      <c r="C390" s="79"/>
      <c r="D390" s="80" t="str">
        <f aca="false">_xlfn.IFNA(VLOOKUP(C390,'بيانات الآليات '!A:G,4,FALSE()),"")</f>
        <v/>
      </c>
      <c r="E390" s="81" t="str">
        <f aca="false">_xlfn.IFNA(VLOOKUP(C390,'بيانات الآليات '!A:G,2,FALSE()),"")</f>
        <v/>
      </c>
      <c r="F390" s="81" t="str">
        <f aca="false">_xlfn.IFNA(VLOOKUP(C390,'بيانات الآليات '!A:G,5,FALSE()),"")</f>
        <v/>
      </c>
      <c r="G390" s="82"/>
      <c r="H390" s="83" t="str">
        <f aca="false">_xlfn.IFNA(VLOOKUP(G390,Table14543[],2,FALSE()),"")</f>
        <v/>
      </c>
      <c r="I390" s="84" t="str">
        <f aca="false">_xlfn.IFNA(VLOOKUP(G390,Table14543[],3,FALSE()),"")</f>
        <v/>
      </c>
      <c r="J390" s="83" t="str">
        <f aca="false">CONCATENATE("",G390,""," ",H390," ",I390)</f>
        <v>  </v>
      </c>
      <c r="K390" s="85"/>
      <c r="L390" s="86"/>
      <c r="M390" s="86"/>
      <c r="N390" s="86" t="n">
        <f aca="false">L390*M390</f>
        <v>0</v>
      </c>
      <c r="O390" s="86"/>
      <c r="P390" s="87" t="n">
        <f aca="false">(M390*L390)+O390</f>
        <v>0</v>
      </c>
      <c r="Q390" s="91"/>
    </row>
    <row r="391" customFormat="false" ht="14.25" hidden="false" customHeight="false" outlineLevel="0" collapsed="false">
      <c r="A391" s="77"/>
      <c r="B391" s="78"/>
      <c r="C391" s="79"/>
      <c r="D391" s="80" t="str">
        <f aca="false">_xlfn.IFNA(VLOOKUP(C391,'بيانات الآليات '!A:G,4,FALSE()),"")</f>
        <v/>
      </c>
      <c r="E391" s="81" t="str">
        <f aca="false">_xlfn.IFNA(VLOOKUP(C391,'بيانات الآليات '!A:G,2,FALSE()),"")</f>
        <v/>
      </c>
      <c r="F391" s="81" t="str">
        <f aca="false">_xlfn.IFNA(VLOOKUP(C391,'بيانات الآليات '!A:G,5,FALSE()),"")</f>
        <v/>
      </c>
      <c r="G391" s="82"/>
      <c r="H391" s="83" t="str">
        <f aca="false">_xlfn.IFNA(VLOOKUP(G391,Table14543[],2,FALSE()),"")</f>
        <v/>
      </c>
      <c r="I391" s="84" t="str">
        <f aca="false">_xlfn.IFNA(VLOOKUP(G391,Table14543[],3,FALSE()),"")</f>
        <v/>
      </c>
      <c r="J391" s="83" t="str">
        <f aca="false">CONCATENATE("",G391,""," ",H391," ",I391)</f>
        <v>  </v>
      </c>
      <c r="K391" s="85"/>
      <c r="L391" s="86"/>
      <c r="M391" s="86"/>
      <c r="N391" s="86" t="n">
        <f aca="false">L391*M391</f>
        <v>0</v>
      </c>
      <c r="O391" s="86"/>
      <c r="P391" s="87" t="n">
        <f aca="false">(M391*L391)+O391</f>
        <v>0</v>
      </c>
      <c r="Q391" s="91"/>
    </row>
    <row r="392" customFormat="false" ht="14.25" hidden="false" customHeight="false" outlineLevel="0" collapsed="false">
      <c r="A392" s="77"/>
      <c r="B392" s="78"/>
      <c r="C392" s="79"/>
      <c r="D392" s="80" t="str">
        <f aca="false">_xlfn.IFNA(VLOOKUP(C392,'بيانات الآليات '!A:G,4,FALSE()),"")</f>
        <v/>
      </c>
      <c r="E392" s="81" t="str">
        <f aca="false">_xlfn.IFNA(VLOOKUP(C392,'بيانات الآليات '!A:G,2,FALSE()),"")</f>
        <v/>
      </c>
      <c r="F392" s="81" t="str">
        <f aca="false">_xlfn.IFNA(VLOOKUP(C392,'بيانات الآليات '!A:G,5,FALSE()),"")</f>
        <v/>
      </c>
      <c r="G392" s="82"/>
      <c r="H392" s="83" t="str">
        <f aca="false">_xlfn.IFNA(VLOOKUP(G392,Table14543[],2,FALSE()),"")</f>
        <v/>
      </c>
      <c r="I392" s="84" t="str">
        <f aca="false">_xlfn.IFNA(VLOOKUP(G392,Table14543[],3,FALSE()),"")</f>
        <v/>
      </c>
      <c r="J392" s="83" t="str">
        <f aca="false">CONCATENATE("",G392,""," ",H392," ",I392)</f>
        <v>  </v>
      </c>
      <c r="K392" s="85"/>
      <c r="L392" s="86"/>
      <c r="M392" s="86"/>
      <c r="N392" s="86" t="n">
        <f aca="false">L392*M392</f>
        <v>0</v>
      </c>
      <c r="O392" s="86"/>
      <c r="P392" s="87" t="n">
        <f aca="false">(M392*L392)+O392</f>
        <v>0</v>
      </c>
      <c r="Q392" s="91"/>
    </row>
    <row r="393" customFormat="false" ht="14.25" hidden="false" customHeight="false" outlineLevel="0" collapsed="false">
      <c r="A393" s="77"/>
      <c r="B393" s="78"/>
      <c r="C393" s="79"/>
      <c r="D393" s="80" t="str">
        <f aca="false">_xlfn.IFNA(VLOOKUP(C393,'بيانات الآليات '!A:G,4,FALSE()),"")</f>
        <v/>
      </c>
      <c r="E393" s="81" t="str">
        <f aca="false">_xlfn.IFNA(VLOOKUP(C393,'بيانات الآليات '!A:G,2,FALSE()),"")</f>
        <v/>
      </c>
      <c r="F393" s="81" t="str">
        <f aca="false">_xlfn.IFNA(VLOOKUP(C393,'بيانات الآليات '!A:G,5,FALSE()),"")</f>
        <v/>
      </c>
      <c r="G393" s="82"/>
      <c r="H393" s="83" t="str">
        <f aca="false">_xlfn.IFNA(VLOOKUP(G393,Table14543[],2,FALSE()),"")</f>
        <v/>
      </c>
      <c r="I393" s="84" t="str">
        <f aca="false">_xlfn.IFNA(VLOOKUP(G393,Table14543[],3,FALSE()),"")</f>
        <v/>
      </c>
      <c r="J393" s="83" t="str">
        <f aca="false">CONCATENATE("",G393,""," ",H393," ",I393)</f>
        <v>  </v>
      </c>
      <c r="K393" s="85"/>
      <c r="L393" s="86"/>
      <c r="M393" s="86"/>
      <c r="N393" s="86" t="n">
        <f aca="false">L393*M393</f>
        <v>0</v>
      </c>
      <c r="O393" s="86"/>
      <c r="P393" s="87" t="n">
        <f aca="false">(M393*L393)+O393</f>
        <v>0</v>
      </c>
      <c r="Q393" s="91"/>
    </row>
    <row r="394" customFormat="false" ht="14.25" hidden="false" customHeight="false" outlineLevel="0" collapsed="false">
      <c r="A394" s="77"/>
      <c r="B394" s="78"/>
      <c r="C394" s="79"/>
      <c r="D394" s="80" t="str">
        <f aca="false">_xlfn.IFNA(VLOOKUP(C394,'بيانات الآليات '!A:G,4,FALSE()),"")</f>
        <v/>
      </c>
      <c r="E394" s="81" t="str">
        <f aca="false">_xlfn.IFNA(VLOOKUP(C394,'بيانات الآليات '!A:G,2,FALSE()),"")</f>
        <v/>
      </c>
      <c r="F394" s="81" t="str">
        <f aca="false">_xlfn.IFNA(VLOOKUP(C394,'بيانات الآليات '!A:G,5,FALSE()),"")</f>
        <v/>
      </c>
      <c r="G394" s="82"/>
      <c r="H394" s="83" t="str">
        <f aca="false">_xlfn.IFNA(VLOOKUP(G394,Table14543[],2,FALSE()),"")</f>
        <v/>
      </c>
      <c r="I394" s="84" t="str">
        <f aca="false">_xlfn.IFNA(VLOOKUP(G394,Table14543[],3,FALSE()),"")</f>
        <v/>
      </c>
      <c r="J394" s="83" t="str">
        <f aca="false">CONCATENATE("",G394,""," ",H394," ",I394)</f>
        <v>  </v>
      </c>
      <c r="K394" s="85"/>
      <c r="L394" s="86"/>
      <c r="M394" s="86"/>
      <c r="N394" s="86" t="n">
        <f aca="false">L394*M394</f>
        <v>0</v>
      </c>
      <c r="O394" s="86"/>
      <c r="P394" s="87" t="n">
        <f aca="false">(M394*L394)+O394</f>
        <v>0</v>
      </c>
      <c r="Q394" s="91"/>
    </row>
    <row r="395" customFormat="false" ht="14.25" hidden="false" customHeight="false" outlineLevel="0" collapsed="false">
      <c r="A395" s="77"/>
      <c r="B395" s="78"/>
      <c r="C395" s="79"/>
      <c r="D395" s="80" t="str">
        <f aca="false">_xlfn.IFNA(VLOOKUP(C395,'بيانات الآليات '!A:G,4,FALSE()),"")</f>
        <v/>
      </c>
      <c r="E395" s="81" t="str">
        <f aca="false">_xlfn.IFNA(VLOOKUP(C395,'بيانات الآليات '!A:G,2,FALSE()),"")</f>
        <v/>
      </c>
      <c r="F395" s="81" t="str">
        <f aca="false">_xlfn.IFNA(VLOOKUP(C395,'بيانات الآليات '!A:G,5,FALSE()),"")</f>
        <v/>
      </c>
      <c r="G395" s="82"/>
      <c r="H395" s="83" t="str">
        <f aca="false">_xlfn.IFNA(VLOOKUP(G395,Table14543[],2,FALSE()),"")</f>
        <v/>
      </c>
      <c r="I395" s="84" t="str">
        <f aca="false">_xlfn.IFNA(VLOOKUP(G395,Table14543[],3,FALSE()),"")</f>
        <v/>
      </c>
      <c r="J395" s="83" t="str">
        <f aca="false">CONCATENATE("",G395,""," ",H395," ",I395)</f>
        <v>  </v>
      </c>
      <c r="K395" s="85"/>
      <c r="L395" s="86"/>
      <c r="M395" s="86"/>
      <c r="N395" s="86" t="n">
        <f aca="false">L395*M395</f>
        <v>0</v>
      </c>
      <c r="O395" s="86"/>
      <c r="P395" s="87" t="n">
        <f aca="false">(M395*L395)+O395</f>
        <v>0</v>
      </c>
      <c r="Q395" s="91"/>
    </row>
    <row r="396" customFormat="false" ht="14.25" hidden="false" customHeight="false" outlineLevel="0" collapsed="false">
      <c r="A396" s="77"/>
      <c r="B396" s="78"/>
      <c r="C396" s="79"/>
      <c r="D396" s="80" t="str">
        <f aca="false">_xlfn.IFNA(VLOOKUP(C396,'بيانات الآليات '!A:G,4,FALSE()),"")</f>
        <v/>
      </c>
      <c r="E396" s="81" t="str">
        <f aca="false">_xlfn.IFNA(VLOOKUP(C396,'بيانات الآليات '!A:G,2,FALSE()),"")</f>
        <v/>
      </c>
      <c r="F396" s="81" t="str">
        <f aca="false">_xlfn.IFNA(VLOOKUP(C396,'بيانات الآليات '!A:G,5,FALSE()),"")</f>
        <v/>
      </c>
      <c r="G396" s="82"/>
      <c r="H396" s="83" t="str">
        <f aca="false">_xlfn.IFNA(VLOOKUP(G396,Table14543[],2,FALSE()),"")</f>
        <v/>
      </c>
      <c r="I396" s="84" t="str">
        <f aca="false">_xlfn.IFNA(VLOOKUP(G396,Table14543[],3,FALSE()),"")</f>
        <v/>
      </c>
      <c r="J396" s="83" t="str">
        <f aca="false">CONCATENATE("",G396,""," ",H396," ",I396)</f>
        <v>  </v>
      </c>
      <c r="K396" s="85"/>
      <c r="L396" s="86"/>
      <c r="M396" s="86"/>
      <c r="N396" s="86" t="n">
        <f aca="false">L396*M396</f>
        <v>0</v>
      </c>
      <c r="O396" s="86"/>
      <c r="P396" s="87" t="n">
        <f aca="false">(M396*L396)+O396</f>
        <v>0</v>
      </c>
      <c r="Q396" s="91"/>
    </row>
    <row r="397" customFormat="false" ht="14.25" hidden="false" customHeight="false" outlineLevel="0" collapsed="false">
      <c r="A397" s="77"/>
      <c r="B397" s="78"/>
      <c r="C397" s="79"/>
      <c r="D397" s="80" t="str">
        <f aca="false">_xlfn.IFNA(VLOOKUP(C397,'بيانات الآليات '!A:G,4,FALSE()),"")</f>
        <v/>
      </c>
      <c r="E397" s="81" t="str">
        <f aca="false">_xlfn.IFNA(VLOOKUP(C397,'بيانات الآليات '!A:G,2,FALSE()),"")</f>
        <v/>
      </c>
      <c r="F397" s="81" t="str">
        <f aca="false">_xlfn.IFNA(VLOOKUP(C397,'بيانات الآليات '!A:G,5,FALSE()),"")</f>
        <v/>
      </c>
      <c r="G397" s="82"/>
      <c r="H397" s="83" t="str">
        <f aca="false">_xlfn.IFNA(VLOOKUP(G397,Table14543[],2,FALSE()),"")</f>
        <v/>
      </c>
      <c r="I397" s="84" t="str">
        <f aca="false">_xlfn.IFNA(VLOOKUP(G397,Table14543[],3,FALSE()),"")</f>
        <v/>
      </c>
      <c r="J397" s="83" t="str">
        <f aca="false">CONCATENATE("",G397,""," ",H397," ",I397)</f>
        <v>  </v>
      </c>
      <c r="K397" s="85"/>
      <c r="L397" s="86"/>
      <c r="M397" s="86"/>
      <c r="N397" s="86" t="n">
        <f aca="false">L397*M397</f>
        <v>0</v>
      </c>
      <c r="O397" s="86"/>
      <c r="P397" s="87" t="n">
        <f aca="false">(M397*L397)+O397</f>
        <v>0</v>
      </c>
      <c r="Q397" s="91"/>
    </row>
    <row r="398" customFormat="false" ht="14.25" hidden="false" customHeight="false" outlineLevel="0" collapsed="false">
      <c r="A398" s="77"/>
      <c r="B398" s="78"/>
      <c r="C398" s="79"/>
      <c r="D398" s="80" t="str">
        <f aca="false">_xlfn.IFNA(VLOOKUP(C398,'بيانات الآليات '!A:G,4,FALSE()),"")</f>
        <v/>
      </c>
      <c r="E398" s="81" t="str">
        <f aca="false">_xlfn.IFNA(VLOOKUP(C398,'بيانات الآليات '!A:G,2,FALSE()),"")</f>
        <v/>
      </c>
      <c r="F398" s="81" t="str">
        <f aca="false">_xlfn.IFNA(VLOOKUP(C398,'بيانات الآليات '!A:G,5,FALSE()),"")</f>
        <v/>
      </c>
      <c r="G398" s="82"/>
      <c r="H398" s="83" t="str">
        <f aca="false">_xlfn.IFNA(VLOOKUP(G398,Table14543[],2,FALSE()),"")</f>
        <v/>
      </c>
      <c r="I398" s="84" t="str">
        <f aca="false">_xlfn.IFNA(VLOOKUP(G398,Table14543[],3,FALSE()),"")</f>
        <v/>
      </c>
      <c r="J398" s="83" t="str">
        <f aca="false">CONCATENATE("",G398,""," ",H398," ",I398)</f>
        <v>  </v>
      </c>
      <c r="K398" s="85"/>
      <c r="L398" s="86"/>
      <c r="M398" s="86"/>
      <c r="N398" s="86" t="n">
        <f aca="false">L398*M398</f>
        <v>0</v>
      </c>
      <c r="O398" s="86"/>
      <c r="P398" s="87" t="n">
        <f aca="false">(M398*L398)+O398</f>
        <v>0</v>
      </c>
      <c r="Q398" s="91"/>
    </row>
    <row r="399" customFormat="false" ht="14.25" hidden="false" customHeight="false" outlineLevel="0" collapsed="false">
      <c r="A399" s="77"/>
      <c r="B399" s="78"/>
      <c r="C399" s="79"/>
      <c r="D399" s="80" t="str">
        <f aca="false">_xlfn.IFNA(VLOOKUP(C399,'بيانات الآليات '!A:G,4,FALSE()),"")</f>
        <v/>
      </c>
      <c r="E399" s="81" t="str">
        <f aca="false">_xlfn.IFNA(VLOOKUP(C399,'بيانات الآليات '!A:G,2,FALSE()),"")</f>
        <v/>
      </c>
      <c r="F399" s="81" t="str">
        <f aca="false">_xlfn.IFNA(VLOOKUP(C399,'بيانات الآليات '!A:G,5,FALSE()),"")</f>
        <v/>
      </c>
      <c r="G399" s="82"/>
      <c r="H399" s="83" t="str">
        <f aca="false">_xlfn.IFNA(VLOOKUP(G399,Table14543[],2,FALSE()),"")</f>
        <v/>
      </c>
      <c r="I399" s="84" t="str">
        <f aca="false">_xlfn.IFNA(VLOOKUP(G399,Table14543[],3,FALSE()),"")</f>
        <v/>
      </c>
      <c r="J399" s="83" t="str">
        <f aca="false">CONCATENATE("",G399,""," ",H399," ",I399)</f>
        <v>  </v>
      </c>
      <c r="K399" s="85"/>
      <c r="L399" s="86"/>
      <c r="M399" s="86"/>
      <c r="N399" s="86" t="n">
        <f aca="false">L399*M399</f>
        <v>0</v>
      </c>
      <c r="O399" s="86"/>
      <c r="P399" s="87" t="n">
        <f aca="false">(M399*L399)+O399</f>
        <v>0</v>
      </c>
      <c r="Q399" s="91"/>
    </row>
    <row r="400" customFormat="false" ht="14.25" hidden="false" customHeight="false" outlineLevel="0" collapsed="false">
      <c r="A400" s="77"/>
      <c r="B400" s="78"/>
      <c r="C400" s="79"/>
      <c r="D400" s="80" t="str">
        <f aca="false">_xlfn.IFNA(VLOOKUP(C400,'بيانات الآليات '!A:G,4,FALSE()),"")</f>
        <v/>
      </c>
      <c r="E400" s="81" t="str">
        <f aca="false">_xlfn.IFNA(VLOOKUP(C400,'بيانات الآليات '!A:G,2,FALSE()),"")</f>
        <v/>
      </c>
      <c r="F400" s="81" t="str">
        <f aca="false">_xlfn.IFNA(VLOOKUP(C400,'بيانات الآليات '!A:G,5,FALSE()),"")</f>
        <v/>
      </c>
      <c r="G400" s="82"/>
      <c r="H400" s="83" t="str">
        <f aca="false">_xlfn.IFNA(VLOOKUP(G400,Table14543[],2,FALSE()),"")</f>
        <v/>
      </c>
      <c r="I400" s="84" t="str">
        <f aca="false">_xlfn.IFNA(VLOOKUP(G400,Table14543[],3,FALSE()),"")</f>
        <v/>
      </c>
      <c r="J400" s="83" t="str">
        <f aca="false">CONCATENATE("",G400,""," ",H400," ",I400)</f>
        <v>  </v>
      </c>
      <c r="K400" s="85"/>
      <c r="L400" s="86"/>
      <c r="M400" s="86"/>
      <c r="N400" s="86" t="n">
        <f aca="false">L400*M400</f>
        <v>0</v>
      </c>
      <c r="O400" s="86"/>
      <c r="P400" s="87" t="n">
        <f aca="false">(M400*L400)+O400</f>
        <v>0</v>
      </c>
      <c r="Q400" s="91"/>
    </row>
    <row r="401" customFormat="false" ht="14.25" hidden="false" customHeight="false" outlineLevel="0" collapsed="false">
      <c r="A401" s="77"/>
      <c r="B401" s="78"/>
      <c r="C401" s="79"/>
      <c r="D401" s="80" t="str">
        <f aca="false">_xlfn.IFNA(VLOOKUP(C401,'بيانات الآليات '!A:G,4,FALSE()),"")</f>
        <v/>
      </c>
      <c r="E401" s="81" t="str">
        <f aca="false">_xlfn.IFNA(VLOOKUP(C401,'بيانات الآليات '!A:G,2,FALSE()),"")</f>
        <v/>
      </c>
      <c r="F401" s="81" t="str">
        <f aca="false">_xlfn.IFNA(VLOOKUP(C401,'بيانات الآليات '!A:G,5,FALSE()),"")</f>
        <v/>
      </c>
      <c r="G401" s="82"/>
      <c r="H401" s="83" t="str">
        <f aca="false">_xlfn.IFNA(VLOOKUP(G401,Table14543[],2,FALSE()),"")</f>
        <v/>
      </c>
      <c r="I401" s="84" t="str">
        <f aca="false">_xlfn.IFNA(VLOOKUP(G401,Table14543[],3,FALSE()),"")</f>
        <v/>
      </c>
      <c r="J401" s="83" t="str">
        <f aca="false">CONCATENATE("",G401,""," ",H401," ",I401)</f>
        <v>  </v>
      </c>
      <c r="K401" s="85"/>
      <c r="L401" s="86"/>
      <c r="M401" s="86"/>
      <c r="N401" s="86" t="n">
        <f aca="false">L401*M401</f>
        <v>0</v>
      </c>
      <c r="O401" s="86"/>
      <c r="P401" s="87" t="n">
        <f aca="false">(M401*L401)+O401</f>
        <v>0</v>
      </c>
      <c r="Q401" s="91"/>
    </row>
    <row r="402" customFormat="false" ht="14.25" hidden="false" customHeight="false" outlineLevel="0" collapsed="false">
      <c r="A402" s="77"/>
      <c r="B402" s="78"/>
      <c r="C402" s="79"/>
      <c r="D402" s="80" t="str">
        <f aca="false">_xlfn.IFNA(VLOOKUP(C402,'بيانات الآليات '!A:G,4,FALSE()),"")</f>
        <v/>
      </c>
      <c r="E402" s="81" t="str">
        <f aca="false">_xlfn.IFNA(VLOOKUP(C402,'بيانات الآليات '!A:G,2,FALSE()),"")</f>
        <v/>
      </c>
      <c r="F402" s="81" t="str">
        <f aca="false">_xlfn.IFNA(VLOOKUP(C402,'بيانات الآليات '!A:G,5,FALSE()),"")</f>
        <v/>
      </c>
      <c r="G402" s="82"/>
      <c r="H402" s="83" t="str">
        <f aca="false">_xlfn.IFNA(VLOOKUP(G402,Table14543[],2,FALSE()),"")</f>
        <v/>
      </c>
      <c r="I402" s="84" t="str">
        <f aca="false">_xlfn.IFNA(VLOOKUP(G402,Table14543[],3,FALSE()),"")</f>
        <v/>
      </c>
      <c r="J402" s="83" t="str">
        <f aca="false">CONCATENATE("",G402,""," ",H402," ",I402)</f>
        <v>  </v>
      </c>
      <c r="K402" s="85"/>
      <c r="L402" s="86"/>
      <c r="M402" s="86"/>
      <c r="N402" s="86" t="n">
        <f aca="false">L402*M402</f>
        <v>0</v>
      </c>
      <c r="O402" s="86"/>
      <c r="P402" s="87" t="n">
        <f aca="false">(M402*L402)+O402</f>
        <v>0</v>
      </c>
      <c r="Q402" s="91"/>
    </row>
    <row r="403" customFormat="false" ht="14.25" hidden="false" customHeight="false" outlineLevel="0" collapsed="false">
      <c r="A403" s="77"/>
      <c r="B403" s="78"/>
      <c r="C403" s="79"/>
      <c r="D403" s="80" t="str">
        <f aca="false">_xlfn.IFNA(VLOOKUP(C403,'بيانات الآليات '!A:G,4,FALSE()),"")</f>
        <v/>
      </c>
      <c r="E403" s="81" t="str">
        <f aca="false">_xlfn.IFNA(VLOOKUP(C403,'بيانات الآليات '!A:G,2,FALSE()),"")</f>
        <v/>
      </c>
      <c r="F403" s="81" t="str">
        <f aca="false">_xlfn.IFNA(VLOOKUP(C403,'بيانات الآليات '!A:G,5,FALSE()),"")</f>
        <v/>
      </c>
      <c r="G403" s="82"/>
      <c r="H403" s="83" t="str">
        <f aca="false">_xlfn.IFNA(VLOOKUP(G403,Table14543[],2,FALSE()),"")</f>
        <v/>
      </c>
      <c r="I403" s="84" t="str">
        <f aca="false">_xlfn.IFNA(VLOOKUP(G403,Table14543[],3,FALSE()),"")</f>
        <v/>
      </c>
      <c r="J403" s="83" t="str">
        <f aca="false">CONCATENATE("",G403,""," ",H403," ",I403)</f>
        <v>  </v>
      </c>
      <c r="K403" s="85"/>
      <c r="L403" s="86"/>
      <c r="M403" s="86"/>
      <c r="N403" s="86" t="n">
        <f aca="false">L403*M403</f>
        <v>0</v>
      </c>
      <c r="O403" s="86"/>
      <c r="P403" s="87" t="n">
        <f aca="false">(M403*L403)+O403</f>
        <v>0</v>
      </c>
      <c r="Q403" s="91"/>
    </row>
    <row r="404" customFormat="false" ht="14.25" hidden="false" customHeight="false" outlineLevel="0" collapsed="false">
      <c r="A404" s="77"/>
      <c r="B404" s="78"/>
      <c r="C404" s="79"/>
      <c r="D404" s="80" t="str">
        <f aca="false">_xlfn.IFNA(VLOOKUP(C404,'بيانات الآليات '!A:G,4,FALSE()),"")</f>
        <v/>
      </c>
      <c r="E404" s="81" t="str">
        <f aca="false">_xlfn.IFNA(VLOOKUP(C404,'بيانات الآليات '!A:G,2,FALSE()),"")</f>
        <v/>
      </c>
      <c r="F404" s="81" t="str">
        <f aca="false">_xlfn.IFNA(VLOOKUP(C404,'بيانات الآليات '!A:G,5,FALSE()),"")</f>
        <v/>
      </c>
      <c r="G404" s="82"/>
      <c r="H404" s="83" t="str">
        <f aca="false">_xlfn.IFNA(VLOOKUP(G404,Table14543[],2,FALSE()),"")</f>
        <v/>
      </c>
      <c r="I404" s="84" t="str">
        <f aca="false">_xlfn.IFNA(VLOOKUP(G404,Table14543[],3,FALSE()),"")</f>
        <v/>
      </c>
      <c r="J404" s="83" t="str">
        <f aca="false">CONCATENATE("",G404,""," ",H404," ",I404)</f>
        <v>  </v>
      </c>
      <c r="K404" s="85"/>
      <c r="L404" s="86"/>
      <c r="M404" s="86"/>
      <c r="N404" s="86" t="n">
        <f aca="false">L404*M404</f>
        <v>0</v>
      </c>
      <c r="O404" s="86"/>
      <c r="P404" s="87" t="n">
        <f aca="false">(M404*L404)+O404</f>
        <v>0</v>
      </c>
      <c r="Q404" s="91"/>
    </row>
    <row r="405" customFormat="false" ht="14.25" hidden="false" customHeight="false" outlineLevel="0" collapsed="false">
      <c r="A405" s="77"/>
      <c r="B405" s="78"/>
      <c r="C405" s="79"/>
      <c r="D405" s="80" t="str">
        <f aca="false">_xlfn.IFNA(VLOOKUP(C405,'بيانات الآليات '!A:G,4,FALSE()),"")</f>
        <v/>
      </c>
      <c r="E405" s="81" t="str">
        <f aca="false">_xlfn.IFNA(VLOOKUP(C405,'بيانات الآليات '!A:G,2,FALSE()),"")</f>
        <v/>
      </c>
      <c r="F405" s="81" t="str">
        <f aca="false">_xlfn.IFNA(VLOOKUP(C405,'بيانات الآليات '!A:G,5,FALSE()),"")</f>
        <v/>
      </c>
      <c r="G405" s="82"/>
      <c r="H405" s="83" t="str">
        <f aca="false">_xlfn.IFNA(VLOOKUP(G405,Table14543[],2,FALSE()),"")</f>
        <v/>
      </c>
      <c r="I405" s="84" t="str">
        <f aca="false">_xlfn.IFNA(VLOOKUP(G405,Table14543[],3,FALSE()),"")</f>
        <v/>
      </c>
      <c r="J405" s="83" t="str">
        <f aca="false">CONCATENATE("",G405,""," ",H405," ",I405)</f>
        <v>  </v>
      </c>
      <c r="K405" s="85"/>
      <c r="L405" s="86"/>
      <c r="M405" s="86"/>
      <c r="N405" s="86" t="n">
        <f aca="false">L405*M405</f>
        <v>0</v>
      </c>
      <c r="O405" s="86"/>
      <c r="P405" s="87" t="n">
        <f aca="false">(M405*L405)+O405</f>
        <v>0</v>
      </c>
      <c r="Q405" s="91"/>
    </row>
    <row r="406" customFormat="false" ht="14.25" hidden="false" customHeight="false" outlineLevel="0" collapsed="false">
      <c r="A406" s="77"/>
      <c r="B406" s="78"/>
      <c r="C406" s="79"/>
      <c r="D406" s="80" t="str">
        <f aca="false">_xlfn.IFNA(VLOOKUP(C406,'بيانات الآليات '!A:G,4,FALSE()),"")</f>
        <v/>
      </c>
      <c r="E406" s="81" t="str">
        <f aca="false">_xlfn.IFNA(VLOOKUP(C406,'بيانات الآليات '!A:G,2,FALSE()),"")</f>
        <v/>
      </c>
      <c r="F406" s="81" t="str">
        <f aca="false">_xlfn.IFNA(VLOOKUP(C406,'بيانات الآليات '!A:G,5,FALSE()),"")</f>
        <v/>
      </c>
      <c r="G406" s="82"/>
      <c r="H406" s="83" t="str">
        <f aca="false">_xlfn.IFNA(VLOOKUP(G406,Table14543[],2,FALSE()),"")</f>
        <v/>
      </c>
      <c r="I406" s="84" t="str">
        <f aca="false">_xlfn.IFNA(VLOOKUP(G406,Table14543[],3,FALSE()),"")</f>
        <v/>
      </c>
      <c r="J406" s="83" t="str">
        <f aca="false">CONCATENATE("",G406,""," ",H406," ",I406)</f>
        <v>  </v>
      </c>
      <c r="K406" s="85"/>
      <c r="L406" s="86"/>
      <c r="M406" s="86"/>
      <c r="N406" s="86" t="n">
        <f aca="false">L406*M406</f>
        <v>0</v>
      </c>
      <c r="O406" s="86"/>
      <c r="P406" s="87" t="n">
        <f aca="false">(M406*L406)+O406</f>
        <v>0</v>
      </c>
      <c r="Q406" s="91"/>
    </row>
    <row r="407" customFormat="false" ht="14.25" hidden="false" customHeight="false" outlineLevel="0" collapsed="false">
      <c r="A407" s="77"/>
      <c r="B407" s="78"/>
      <c r="C407" s="79"/>
      <c r="D407" s="80" t="str">
        <f aca="false">_xlfn.IFNA(VLOOKUP(C407,'بيانات الآليات '!A:G,4,FALSE()),"")</f>
        <v/>
      </c>
      <c r="E407" s="81" t="str">
        <f aca="false">_xlfn.IFNA(VLOOKUP(C407,'بيانات الآليات '!A:G,2,FALSE()),"")</f>
        <v/>
      </c>
      <c r="F407" s="81" t="str">
        <f aca="false">_xlfn.IFNA(VLOOKUP(C407,'بيانات الآليات '!A:G,5,FALSE()),"")</f>
        <v/>
      </c>
      <c r="G407" s="82"/>
      <c r="H407" s="83" t="str">
        <f aca="false">_xlfn.IFNA(VLOOKUP(G407,Table14543[],2,FALSE()),"")</f>
        <v/>
      </c>
      <c r="I407" s="84" t="str">
        <f aca="false">_xlfn.IFNA(VLOOKUP(G407,Table14543[],3,FALSE()),"")</f>
        <v/>
      </c>
      <c r="J407" s="83" t="str">
        <f aca="false">CONCATENATE("",G407,""," ",H407," ",I407)</f>
        <v>  </v>
      </c>
      <c r="K407" s="85"/>
      <c r="L407" s="86"/>
      <c r="M407" s="86"/>
      <c r="N407" s="86" t="n">
        <f aca="false">L407*M407</f>
        <v>0</v>
      </c>
      <c r="O407" s="86"/>
      <c r="P407" s="87" t="n">
        <f aca="false">(M407*L407)+O407</f>
        <v>0</v>
      </c>
      <c r="Q407" s="91"/>
    </row>
    <row r="408" customFormat="false" ht="14.25" hidden="false" customHeight="false" outlineLevel="0" collapsed="false">
      <c r="A408" s="77"/>
      <c r="B408" s="78"/>
      <c r="C408" s="79"/>
      <c r="D408" s="80" t="str">
        <f aca="false">_xlfn.IFNA(VLOOKUP(C408,'بيانات الآليات '!A:G,4,FALSE()),"")</f>
        <v/>
      </c>
      <c r="E408" s="81" t="str">
        <f aca="false">_xlfn.IFNA(VLOOKUP(C408,'بيانات الآليات '!A:G,2,FALSE()),"")</f>
        <v/>
      </c>
      <c r="F408" s="81" t="str">
        <f aca="false">_xlfn.IFNA(VLOOKUP(C408,'بيانات الآليات '!A:G,5,FALSE()),"")</f>
        <v/>
      </c>
      <c r="G408" s="82"/>
      <c r="H408" s="83" t="str">
        <f aca="false">_xlfn.IFNA(VLOOKUP(G408,Table14543[],2,FALSE()),"")</f>
        <v/>
      </c>
      <c r="I408" s="84" t="str">
        <f aca="false">_xlfn.IFNA(VLOOKUP(G408,Table14543[],3,FALSE()),"")</f>
        <v/>
      </c>
      <c r="J408" s="83" t="str">
        <f aca="false">CONCATENATE("",G408,""," ",H408," ",I408)</f>
        <v>  </v>
      </c>
      <c r="K408" s="85"/>
      <c r="L408" s="86"/>
      <c r="M408" s="86"/>
      <c r="N408" s="86" t="n">
        <f aca="false">L408*M408</f>
        <v>0</v>
      </c>
      <c r="O408" s="86"/>
      <c r="P408" s="87" t="n">
        <f aca="false">(M408*L408)+O408</f>
        <v>0</v>
      </c>
      <c r="Q408" s="91"/>
    </row>
    <row r="409" customFormat="false" ht="14.25" hidden="false" customHeight="false" outlineLevel="0" collapsed="false">
      <c r="A409" s="77"/>
      <c r="B409" s="78"/>
      <c r="C409" s="79"/>
      <c r="D409" s="80" t="str">
        <f aca="false">_xlfn.IFNA(VLOOKUP(C409,'بيانات الآليات '!A:G,4,FALSE()),"")</f>
        <v/>
      </c>
      <c r="E409" s="81" t="str">
        <f aca="false">_xlfn.IFNA(VLOOKUP(C409,'بيانات الآليات '!A:G,2,FALSE()),"")</f>
        <v/>
      </c>
      <c r="F409" s="81" t="str">
        <f aca="false">_xlfn.IFNA(VLOOKUP(C409,'بيانات الآليات '!A:G,5,FALSE()),"")</f>
        <v/>
      </c>
      <c r="G409" s="82"/>
      <c r="H409" s="83" t="str">
        <f aca="false">_xlfn.IFNA(VLOOKUP(G409,Table14543[],2,FALSE()),"")</f>
        <v/>
      </c>
      <c r="I409" s="84" t="str">
        <f aca="false">_xlfn.IFNA(VLOOKUP(G409,Table14543[],3,FALSE()),"")</f>
        <v/>
      </c>
      <c r="J409" s="83" t="str">
        <f aca="false">CONCATENATE("",G409,""," ",H409," ",I409)</f>
        <v>  </v>
      </c>
      <c r="K409" s="85"/>
      <c r="L409" s="86"/>
      <c r="M409" s="86"/>
      <c r="N409" s="86" t="n">
        <f aca="false">L409*M409</f>
        <v>0</v>
      </c>
      <c r="O409" s="86"/>
      <c r="P409" s="87" t="n">
        <f aca="false">(M409*L409)+O409</f>
        <v>0</v>
      </c>
      <c r="Q409" s="91"/>
    </row>
    <row r="410" customFormat="false" ht="14.25" hidden="false" customHeight="false" outlineLevel="0" collapsed="false">
      <c r="A410" s="77"/>
      <c r="B410" s="78"/>
      <c r="C410" s="79"/>
      <c r="D410" s="80" t="str">
        <f aca="false">_xlfn.IFNA(VLOOKUP(C410,'بيانات الآليات '!A:G,4,FALSE()),"")</f>
        <v/>
      </c>
      <c r="E410" s="81" t="str">
        <f aca="false">_xlfn.IFNA(VLOOKUP(C410,'بيانات الآليات '!A:G,2,FALSE()),"")</f>
        <v/>
      </c>
      <c r="F410" s="81" t="str">
        <f aca="false">_xlfn.IFNA(VLOOKUP(C410,'بيانات الآليات '!A:G,5,FALSE()),"")</f>
        <v/>
      </c>
      <c r="G410" s="82"/>
      <c r="H410" s="83" t="str">
        <f aca="false">_xlfn.IFNA(VLOOKUP(G410,Table14543[],2,FALSE()),"")</f>
        <v/>
      </c>
      <c r="I410" s="84" t="str">
        <f aca="false">_xlfn.IFNA(VLOOKUP(G410,Table14543[],3,FALSE()),"")</f>
        <v/>
      </c>
      <c r="J410" s="83" t="str">
        <f aca="false">CONCATENATE("",G410,""," ",H410," ",I410)</f>
        <v>  </v>
      </c>
      <c r="K410" s="85"/>
      <c r="L410" s="86"/>
      <c r="M410" s="86"/>
      <c r="N410" s="86" t="n">
        <f aca="false">L410*M410</f>
        <v>0</v>
      </c>
      <c r="O410" s="86"/>
      <c r="P410" s="87" t="n">
        <f aca="false">(M410*L410)+O410</f>
        <v>0</v>
      </c>
      <c r="Q410" s="91"/>
    </row>
    <row r="411" customFormat="false" ht="14.25" hidden="false" customHeight="false" outlineLevel="0" collapsed="false">
      <c r="A411" s="77"/>
      <c r="B411" s="78"/>
      <c r="C411" s="79"/>
      <c r="D411" s="80" t="str">
        <f aca="false">_xlfn.IFNA(VLOOKUP(C411,'بيانات الآليات '!A:G,4,FALSE()),"")</f>
        <v/>
      </c>
      <c r="E411" s="81" t="str">
        <f aca="false">_xlfn.IFNA(VLOOKUP(C411,'بيانات الآليات '!A:G,2,FALSE()),"")</f>
        <v/>
      </c>
      <c r="F411" s="81" t="str">
        <f aca="false">_xlfn.IFNA(VLOOKUP(C411,'بيانات الآليات '!A:G,5,FALSE()),"")</f>
        <v/>
      </c>
      <c r="G411" s="82"/>
      <c r="H411" s="83" t="str">
        <f aca="false">_xlfn.IFNA(VLOOKUP(G411,Table14543[],2,FALSE()),"")</f>
        <v/>
      </c>
      <c r="I411" s="84" t="str">
        <f aca="false">_xlfn.IFNA(VLOOKUP(G411,Table14543[],3,FALSE()),"")</f>
        <v/>
      </c>
      <c r="J411" s="83" t="str">
        <f aca="false">CONCATENATE("",G411,""," ",H411," ",I411)</f>
        <v>  </v>
      </c>
      <c r="K411" s="85"/>
      <c r="L411" s="86"/>
      <c r="M411" s="86"/>
      <c r="N411" s="86" t="n">
        <f aca="false">L411*M411</f>
        <v>0</v>
      </c>
      <c r="O411" s="86"/>
      <c r="P411" s="87" t="n">
        <f aca="false">(M411*L411)+O411</f>
        <v>0</v>
      </c>
      <c r="Q411" s="91"/>
    </row>
    <row r="412" customFormat="false" ht="14.25" hidden="false" customHeight="false" outlineLevel="0" collapsed="false">
      <c r="A412" s="77"/>
      <c r="B412" s="78"/>
      <c r="C412" s="79"/>
      <c r="D412" s="80" t="str">
        <f aca="false">_xlfn.IFNA(VLOOKUP(C412,'بيانات الآليات '!A:G,4,FALSE()),"")</f>
        <v/>
      </c>
      <c r="E412" s="81" t="str">
        <f aca="false">_xlfn.IFNA(VLOOKUP(C412,'بيانات الآليات '!A:G,2,FALSE()),"")</f>
        <v/>
      </c>
      <c r="F412" s="81" t="str">
        <f aca="false">_xlfn.IFNA(VLOOKUP(C412,'بيانات الآليات '!A:G,5,FALSE()),"")</f>
        <v/>
      </c>
      <c r="G412" s="82"/>
      <c r="H412" s="83" t="str">
        <f aca="false">_xlfn.IFNA(VLOOKUP(G412,Table14543[],2,FALSE()),"")</f>
        <v/>
      </c>
      <c r="I412" s="84" t="str">
        <f aca="false">_xlfn.IFNA(VLOOKUP(G412,Table14543[],3,FALSE()),"")</f>
        <v/>
      </c>
      <c r="J412" s="83" t="str">
        <f aca="false">CONCATENATE("",G412,""," ",H412," ",I412)</f>
        <v>  </v>
      </c>
      <c r="K412" s="85"/>
      <c r="L412" s="86"/>
      <c r="M412" s="86"/>
      <c r="N412" s="86" t="n">
        <f aca="false">L412*M412</f>
        <v>0</v>
      </c>
      <c r="O412" s="86"/>
      <c r="P412" s="87" t="n">
        <f aca="false">(M412*L412)+O412</f>
        <v>0</v>
      </c>
      <c r="Q412" s="91"/>
    </row>
    <row r="413" customFormat="false" ht="14.25" hidden="false" customHeight="false" outlineLevel="0" collapsed="false">
      <c r="A413" s="77"/>
      <c r="B413" s="78"/>
      <c r="C413" s="79"/>
      <c r="D413" s="80" t="str">
        <f aca="false">_xlfn.IFNA(VLOOKUP(C413,'بيانات الآليات '!A:G,4,FALSE()),"")</f>
        <v/>
      </c>
      <c r="E413" s="81" t="str">
        <f aca="false">_xlfn.IFNA(VLOOKUP(C413,'بيانات الآليات '!A:G,2,FALSE()),"")</f>
        <v/>
      </c>
      <c r="F413" s="81" t="str">
        <f aca="false">_xlfn.IFNA(VLOOKUP(C413,'بيانات الآليات '!A:G,5,FALSE()),"")</f>
        <v/>
      </c>
      <c r="G413" s="82"/>
      <c r="H413" s="83" t="str">
        <f aca="false">_xlfn.IFNA(VLOOKUP(G413,Table14543[],2,FALSE()),"")</f>
        <v/>
      </c>
      <c r="I413" s="84" t="str">
        <f aca="false">_xlfn.IFNA(VLOOKUP(G413,Table14543[],3,FALSE()),"")</f>
        <v/>
      </c>
      <c r="J413" s="83" t="str">
        <f aca="false">CONCATENATE("",G413,""," ",H413," ",I413)</f>
        <v>  </v>
      </c>
      <c r="K413" s="85"/>
      <c r="L413" s="86"/>
      <c r="M413" s="86"/>
      <c r="N413" s="86" t="n">
        <f aca="false">L413*M413</f>
        <v>0</v>
      </c>
      <c r="O413" s="86"/>
      <c r="P413" s="87" t="n">
        <f aca="false">(M413*L413)+O413</f>
        <v>0</v>
      </c>
      <c r="Q413" s="91"/>
    </row>
    <row r="414" customFormat="false" ht="14.25" hidden="false" customHeight="false" outlineLevel="0" collapsed="false">
      <c r="A414" s="77"/>
      <c r="B414" s="78"/>
      <c r="C414" s="79"/>
      <c r="D414" s="80" t="str">
        <f aca="false">_xlfn.IFNA(VLOOKUP(C414,'بيانات الآليات '!A:G,4,FALSE()),"")</f>
        <v/>
      </c>
      <c r="E414" s="81" t="str">
        <f aca="false">_xlfn.IFNA(VLOOKUP(C414,'بيانات الآليات '!A:G,2,FALSE()),"")</f>
        <v/>
      </c>
      <c r="F414" s="81" t="str">
        <f aca="false">_xlfn.IFNA(VLOOKUP(C414,'بيانات الآليات '!A:G,5,FALSE()),"")</f>
        <v/>
      </c>
      <c r="G414" s="82"/>
      <c r="H414" s="83" t="str">
        <f aca="false">_xlfn.IFNA(VLOOKUP(G414,Table14543[],2,FALSE()),"")</f>
        <v/>
      </c>
      <c r="I414" s="84" t="str">
        <f aca="false">_xlfn.IFNA(VLOOKUP(G414,Table14543[],3,FALSE()),"")</f>
        <v/>
      </c>
      <c r="J414" s="83" t="str">
        <f aca="false">CONCATENATE("",G414,""," ",H414," ",I414)</f>
        <v>  </v>
      </c>
      <c r="K414" s="85"/>
      <c r="L414" s="86"/>
      <c r="M414" s="86"/>
      <c r="N414" s="86" t="n">
        <f aca="false">L414*M414</f>
        <v>0</v>
      </c>
      <c r="O414" s="86"/>
      <c r="P414" s="87" t="n">
        <f aca="false">(M414*L414)+O414</f>
        <v>0</v>
      </c>
      <c r="Q414" s="91"/>
    </row>
    <row r="415" customFormat="false" ht="14.25" hidden="false" customHeight="false" outlineLevel="0" collapsed="false">
      <c r="A415" s="77"/>
      <c r="B415" s="78"/>
      <c r="C415" s="79"/>
      <c r="D415" s="80" t="str">
        <f aca="false">_xlfn.IFNA(VLOOKUP(C415,'بيانات الآليات '!A:G,4,FALSE()),"")</f>
        <v/>
      </c>
      <c r="E415" s="81" t="str">
        <f aca="false">_xlfn.IFNA(VLOOKUP(C415,'بيانات الآليات '!A:G,2,FALSE()),"")</f>
        <v/>
      </c>
      <c r="F415" s="81" t="str">
        <f aca="false">_xlfn.IFNA(VLOOKUP(C415,'بيانات الآليات '!A:G,5,FALSE()),"")</f>
        <v/>
      </c>
      <c r="G415" s="82"/>
      <c r="H415" s="83" t="str">
        <f aca="false">_xlfn.IFNA(VLOOKUP(G415,Table14543[],2,FALSE()),"")</f>
        <v/>
      </c>
      <c r="I415" s="84" t="str">
        <f aca="false">_xlfn.IFNA(VLOOKUP(G415,Table14543[],3,FALSE()),"")</f>
        <v/>
      </c>
      <c r="J415" s="83" t="str">
        <f aca="false">CONCATENATE("",G415,""," ",H415," ",I415)</f>
        <v>  </v>
      </c>
      <c r="K415" s="85"/>
      <c r="L415" s="86"/>
      <c r="M415" s="86"/>
      <c r="N415" s="86" t="n">
        <f aca="false">L415*M415</f>
        <v>0</v>
      </c>
      <c r="O415" s="86"/>
      <c r="P415" s="87" t="n">
        <f aca="false">(M415*L415)+O415</f>
        <v>0</v>
      </c>
      <c r="Q415" s="91"/>
    </row>
    <row r="416" customFormat="false" ht="14.25" hidden="false" customHeight="false" outlineLevel="0" collapsed="false">
      <c r="A416" s="77"/>
      <c r="B416" s="78"/>
      <c r="C416" s="79"/>
      <c r="D416" s="80" t="str">
        <f aca="false">_xlfn.IFNA(VLOOKUP(C416,'بيانات الآليات '!A:G,4,FALSE()),"")</f>
        <v/>
      </c>
      <c r="E416" s="81" t="str">
        <f aca="false">_xlfn.IFNA(VLOOKUP(C416,'بيانات الآليات '!A:G,2,FALSE()),"")</f>
        <v/>
      </c>
      <c r="F416" s="81" t="str">
        <f aca="false">_xlfn.IFNA(VLOOKUP(C416,'بيانات الآليات '!A:G,5,FALSE()),"")</f>
        <v/>
      </c>
      <c r="G416" s="82"/>
      <c r="H416" s="83" t="str">
        <f aca="false">_xlfn.IFNA(VLOOKUP(G416,Table14543[],2,FALSE()),"")</f>
        <v/>
      </c>
      <c r="I416" s="84" t="str">
        <f aca="false">_xlfn.IFNA(VLOOKUP(G416,Table14543[],3,FALSE()),"")</f>
        <v/>
      </c>
      <c r="J416" s="83" t="str">
        <f aca="false">CONCATENATE("",G416,""," ",H416," ",I416)</f>
        <v>  </v>
      </c>
      <c r="K416" s="85"/>
      <c r="L416" s="86"/>
      <c r="M416" s="86"/>
      <c r="N416" s="86" t="n">
        <f aca="false">L416*M416</f>
        <v>0</v>
      </c>
      <c r="O416" s="86"/>
      <c r="P416" s="87" t="n">
        <f aca="false">(M416*L416)+O416</f>
        <v>0</v>
      </c>
      <c r="Q416" s="91"/>
    </row>
    <row r="417" customFormat="false" ht="14.25" hidden="false" customHeight="false" outlineLevel="0" collapsed="false">
      <c r="A417" s="77"/>
      <c r="B417" s="78"/>
      <c r="C417" s="79"/>
      <c r="D417" s="80" t="str">
        <f aca="false">_xlfn.IFNA(VLOOKUP(C417,'بيانات الآليات '!A:G,4,FALSE()),"")</f>
        <v/>
      </c>
      <c r="E417" s="81" t="str">
        <f aca="false">_xlfn.IFNA(VLOOKUP(C417,'بيانات الآليات '!A:G,2,FALSE()),"")</f>
        <v/>
      </c>
      <c r="F417" s="81" t="str">
        <f aca="false">_xlfn.IFNA(VLOOKUP(C417,'بيانات الآليات '!A:G,5,FALSE()),"")</f>
        <v/>
      </c>
      <c r="G417" s="82"/>
      <c r="H417" s="83" t="str">
        <f aca="false">_xlfn.IFNA(VLOOKUP(G417,Table14543[],2,FALSE()),"")</f>
        <v/>
      </c>
      <c r="I417" s="84" t="str">
        <f aca="false">_xlfn.IFNA(VLOOKUP(G417,Table14543[],3,FALSE()),"")</f>
        <v/>
      </c>
      <c r="J417" s="83" t="str">
        <f aca="false">CONCATENATE("",G417,""," ",H417," ",I417)</f>
        <v>  </v>
      </c>
      <c r="K417" s="85"/>
      <c r="L417" s="86"/>
      <c r="M417" s="86"/>
      <c r="N417" s="86" t="n">
        <f aca="false">L417*M417</f>
        <v>0</v>
      </c>
      <c r="O417" s="86"/>
      <c r="P417" s="87" t="n">
        <f aca="false">(M417*L417)+O417</f>
        <v>0</v>
      </c>
      <c r="Q417" s="91"/>
    </row>
    <row r="418" customFormat="false" ht="14.25" hidden="false" customHeight="false" outlineLevel="0" collapsed="false">
      <c r="A418" s="77"/>
      <c r="B418" s="78"/>
      <c r="C418" s="79"/>
      <c r="D418" s="80" t="str">
        <f aca="false">_xlfn.IFNA(VLOOKUP(C418,'بيانات الآليات '!A:G,4,FALSE()),"")</f>
        <v/>
      </c>
      <c r="E418" s="81" t="str">
        <f aca="false">_xlfn.IFNA(VLOOKUP(C418,'بيانات الآليات '!A:G,2,FALSE()),"")</f>
        <v/>
      </c>
      <c r="F418" s="81" t="str">
        <f aca="false">_xlfn.IFNA(VLOOKUP(C418,'بيانات الآليات '!A:G,5,FALSE()),"")</f>
        <v/>
      </c>
      <c r="G418" s="82"/>
      <c r="H418" s="83" t="str">
        <f aca="false">_xlfn.IFNA(VLOOKUP(G418,Table14543[],2,FALSE()),"")</f>
        <v/>
      </c>
      <c r="I418" s="84" t="str">
        <f aca="false">_xlfn.IFNA(VLOOKUP(G418,Table14543[],3,FALSE()),"")</f>
        <v/>
      </c>
      <c r="J418" s="83" t="str">
        <f aca="false">CONCATENATE("",G418,""," ",H418," ",I418)</f>
        <v>  </v>
      </c>
      <c r="K418" s="85"/>
      <c r="L418" s="86"/>
      <c r="M418" s="86"/>
      <c r="N418" s="86" t="n">
        <f aca="false">L418*M418</f>
        <v>0</v>
      </c>
      <c r="O418" s="86"/>
      <c r="P418" s="87" t="n">
        <f aca="false">(M418*L418)+O418</f>
        <v>0</v>
      </c>
      <c r="Q418" s="91"/>
    </row>
    <row r="419" customFormat="false" ht="14.25" hidden="false" customHeight="false" outlineLevel="0" collapsed="false">
      <c r="A419" s="77"/>
      <c r="B419" s="78"/>
      <c r="C419" s="79"/>
      <c r="D419" s="80" t="str">
        <f aca="false">_xlfn.IFNA(VLOOKUP(C419,'بيانات الآليات '!A:G,4,FALSE()),"")</f>
        <v/>
      </c>
      <c r="E419" s="81" t="str">
        <f aca="false">_xlfn.IFNA(VLOOKUP(C419,'بيانات الآليات '!A:G,2,FALSE()),"")</f>
        <v/>
      </c>
      <c r="F419" s="81" t="str">
        <f aca="false">_xlfn.IFNA(VLOOKUP(C419,'بيانات الآليات '!A:G,5,FALSE()),"")</f>
        <v/>
      </c>
      <c r="G419" s="82"/>
      <c r="H419" s="83" t="str">
        <f aca="false">_xlfn.IFNA(VLOOKUP(G419,Table14543[],2,FALSE()),"")</f>
        <v/>
      </c>
      <c r="I419" s="84" t="str">
        <f aca="false">_xlfn.IFNA(VLOOKUP(G419,Table14543[],3,FALSE()),"")</f>
        <v/>
      </c>
      <c r="J419" s="83" t="str">
        <f aca="false">CONCATENATE("",G419,""," ",H419," ",I419)</f>
        <v>  </v>
      </c>
      <c r="K419" s="85"/>
      <c r="L419" s="86"/>
      <c r="M419" s="86"/>
      <c r="N419" s="86" t="n">
        <f aca="false">L419*M419</f>
        <v>0</v>
      </c>
      <c r="O419" s="86"/>
      <c r="P419" s="87" t="n">
        <f aca="false">(M419*L419)+O419</f>
        <v>0</v>
      </c>
      <c r="Q419" s="91"/>
    </row>
    <row r="420" customFormat="false" ht="14.25" hidden="false" customHeight="false" outlineLevel="0" collapsed="false">
      <c r="A420" s="77"/>
      <c r="B420" s="78"/>
      <c r="C420" s="79"/>
      <c r="D420" s="80" t="str">
        <f aca="false">_xlfn.IFNA(VLOOKUP(C420,'بيانات الآليات '!A:G,4,FALSE()),"")</f>
        <v/>
      </c>
      <c r="E420" s="81" t="str">
        <f aca="false">_xlfn.IFNA(VLOOKUP(C420,'بيانات الآليات '!A:G,2,FALSE()),"")</f>
        <v/>
      </c>
      <c r="F420" s="81" t="str">
        <f aca="false">_xlfn.IFNA(VLOOKUP(C420,'بيانات الآليات '!A:G,5,FALSE()),"")</f>
        <v/>
      </c>
      <c r="G420" s="82"/>
      <c r="H420" s="83" t="str">
        <f aca="false">_xlfn.IFNA(VLOOKUP(G420,Table14543[],2,FALSE()),"")</f>
        <v/>
      </c>
      <c r="I420" s="84" t="str">
        <f aca="false">_xlfn.IFNA(VLOOKUP(G420,Table14543[],3,FALSE()),"")</f>
        <v/>
      </c>
      <c r="J420" s="83" t="str">
        <f aca="false">CONCATENATE("",G420,""," ",H420," ",I420)</f>
        <v>  </v>
      </c>
      <c r="K420" s="85"/>
      <c r="L420" s="86"/>
      <c r="M420" s="86"/>
      <c r="N420" s="86" t="n">
        <f aca="false">L420*M420</f>
        <v>0</v>
      </c>
      <c r="O420" s="86"/>
      <c r="P420" s="87" t="n">
        <f aca="false">(M420*L420)+O420</f>
        <v>0</v>
      </c>
      <c r="Q420" s="91"/>
    </row>
    <row r="421" customFormat="false" ht="14.25" hidden="false" customHeight="false" outlineLevel="0" collapsed="false">
      <c r="A421" s="77"/>
      <c r="B421" s="78"/>
      <c r="C421" s="79"/>
      <c r="D421" s="80" t="str">
        <f aca="false">_xlfn.IFNA(VLOOKUP(C421,'بيانات الآليات '!A:G,4,FALSE()),"")</f>
        <v/>
      </c>
      <c r="E421" s="81" t="str">
        <f aca="false">_xlfn.IFNA(VLOOKUP(C421,'بيانات الآليات '!A:G,2,FALSE()),"")</f>
        <v/>
      </c>
      <c r="F421" s="81" t="str">
        <f aca="false">_xlfn.IFNA(VLOOKUP(C421,'بيانات الآليات '!A:G,5,FALSE()),"")</f>
        <v/>
      </c>
      <c r="G421" s="82"/>
      <c r="H421" s="83" t="str">
        <f aca="false">_xlfn.IFNA(VLOOKUP(G421,Table14543[],2,FALSE()),"")</f>
        <v/>
      </c>
      <c r="I421" s="84" t="str">
        <f aca="false">_xlfn.IFNA(VLOOKUP(G421,Table14543[],3,FALSE()),"")</f>
        <v/>
      </c>
      <c r="J421" s="83" t="str">
        <f aca="false">CONCATENATE("",G421,""," ",H421," ",I421)</f>
        <v>  </v>
      </c>
      <c r="K421" s="85"/>
      <c r="L421" s="86"/>
      <c r="M421" s="86"/>
      <c r="N421" s="86" t="n">
        <f aca="false">L421*M421</f>
        <v>0</v>
      </c>
      <c r="O421" s="86"/>
      <c r="P421" s="87" t="n">
        <f aca="false">(M421*L421)+O421</f>
        <v>0</v>
      </c>
      <c r="Q421" s="91"/>
    </row>
    <row r="422" customFormat="false" ht="14.25" hidden="false" customHeight="false" outlineLevel="0" collapsed="false">
      <c r="A422" s="77"/>
      <c r="B422" s="78"/>
      <c r="C422" s="79"/>
      <c r="D422" s="80" t="str">
        <f aca="false">_xlfn.IFNA(VLOOKUP(C422,'بيانات الآليات '!A:G,4,FALSE()),"")</f>
        <v/>
      </c>
      <c r="E422" s="81" t="str">
        <f aca="false">_xlfn.IFNA(VLOOKUP(C422,'بيانات الآليات '!A:G,2,FALSE()),"")</f>
        <v/>
      </c>
      <c r="F422" s="81" t="str">
        <f aca="false">_xlfn.IFNA(VLOOKUP(C422,'بيانات الآليات '!A:G,5,FALSE()),"")</f>
        <v/>
      </c>
      <c r="G422" s="82"/>
      <c r="H422" s="83" t="str">
        <f aca="false">_xlfn.IFNA(VLOOKUP(G422,Table14543[],2,FALSE()),"")</f>
        <v/>
      </c>
      <c r="I422" s="84" t="str">
        <f aca="false">_xlfn.IFNA(VLOOKUP(G422,Table14543[],3,FALSE()),"")</f>
        <v/>
      </c>
      <c r="J422" s="83" t="str">
        <f aca="false">CONCATENATE("",G422,""," ",H422," ",I422)</f>
        <v>  </v>
      </c>
      <c r="K422" s="85"/>
      <c r="L422" s="86"/>
      <c r="M422" s="86"/>
      <c r="N422" s="86" t="n">
        <f aca="false">L422*M422</f>
        <v>0</v>
      </c>
      <c r="O422" s="86"/>
      <c r="P422" s="87" t="n">
        <f aca="false">(M422*L422)+O422</f>
        <v>0</v>
      </c>
      <c r="Q422" s="91"/>
    </row>
    <row r="423" customFormat="false" ht="14.25" hidden="false" customHeight="false" outlineLevel="0" collapsed="false">
      <c r="A423" s="77"/>
      <c r="B423" s="78"/>
      <c r="C423" s="79"/>
      <c r="D423" s="80" t="str">
        <f aca="false">_xlfn.IFNA(VLOOKUP(C423,'بيانات الآليات '!A:G,4,FALSE()),"")</f>
        <v/>
      </c>
      <c r="E423" s="81" t="str">
        <f aca="false">_xlfn.IFNA(VLOOKUP(C423,'بيانات الآليات '!A:G,2,FALSE()),"")</f>
        <v/>
      </c>
      <c r="F423" s="81" t="str">
        <f aca="false">_xlfn.IFNA(VLOOKUP(C423,'بيانات الآليات '!A:G,5,FALSE()),"")</f>
        <v/>
      </c>
      <c r="G423" s="82"/>
      <c r="H423" s="83" t="str">
        <f aca="false">_xlfn.IFNA(VLOOKUP(G423,Table14543[],2,FALSE()),"")</f>
        <v/>
      </c>
      <c r="I423" s="84" t="str">
        <f aca="false">_xlfn.IFNA(VLOOKUP(G423,Table14543[],3,FALSE()),"")</f>
        <v/>
      </c>
      <c r="J423" s="83" t="str">
        <f aca="false">CONCATENATE("",G423,""," ",H423," ",I423)</f>
        <v>  </v>
      </c>
      <c r="K423" s="85"/>
      <c r="L423" s="86"/>
      <c r="M423" s="86"/>
      <c r="N423" s="86" t="n">
        <f aca="false">L423*M423</f>
        <v>0</v>
      </c>
      <c r="O423" s="86"/>
      <c r="P423" s="87" t="n">
        <f aca="false">(M423*L423)+O423</f>
        <v>0</v>
      </c>
      <c r="Q423" s="91"/>
    </row>
    <row r="424" customFormat="false" ht="14.25" hidden="false" customHeight="false" outlineLevel="0" collapsed="false">
      <c r="A424" s="77"/>
      <c r="B424" s="78"/>
      <c r="C424" s="79"/>
      <c r="D424" s="80" t="str">
        <f aca="false">_xlfn.IFNA(VLOOKUP(C424,'بيانات الآليات '!A:G,4,FALSE()),"")</f>
        <v/>
      </c>
      <c r="E424" s="81" t="str">
        <f aca="false">_xlfn.IFNA(VLOOKUP(C424,'بيانات الآليات '!A:G,2,FALSE()),"")</f>
        <v/>
      </c>
      <c r="F424" s="81" t="str">
        <f aca="false">_xlfn.IFNA(VLOOKUP(C424,'بيانات الآليات '!A:G,5,FALSE()),"")</f>
        <v/>
      </c>
      <c r="G424" s="82"/>
      <c r="H424" s="83" t="str">
        <f aca="false">_xlfn.IFNA(VLOOKUP(G424,Table14543[],2,FALSE()),"")</f>
        <v/>
      </c>
      <c r="I424" s="84" t="str">
        <f aca="false">_xlfn.IFNA(VLOOKUP(G424,Table14543[],3,FALSE()),"")</f>
        <v/>
      </c>
      <c r="J424" s="83" t="str">
        <f aca="false">CONCATENATE("",G424,""," ",H424," ",I424)</f>
        <v>  </v>
      </c>
      <c r="K424" s="85"/>
      <c r="L424" s="86"/>
      <c r="M424" s="86"/>
      <c r="N424" s="86" t="n">
        <f aca="false">L424*M424</f>
        <v>0</v>
      </c>
      <c r="O424" s="86"/>
      <c r="P424" s="87" t="n">
        <f aca="false">(M424*L424)+O424</f>
        <v>0</v>
      </c>
      <c r="Q424" s="91"/>
    </row>
    <row r="425" customFormat="false" ht="14.25" hidden="false" customHeight="false" outlineLevel="0" collapsed="false">
      <c r="A425" s="77"/>
      <c r="B425" s="78"/>
      <c r="C425" s="79"/>
      <c r="D425" s="80" t="str">
        <f aca="false">_xlfn.IFNA(VLOOKUP(C425,'بيانات الآليات '!A:G,4,FALSE()),"")</f>
        <v/>
      </c>
      <c r="E425" s="81" t="str">
        <f aca="false">_xlfn.IFNA(VLOOKUP(C425,'بيانات الآليات '!A:G,2,FALSE()),"")</f>
        <v/>
      </c>
      <c r="F425" s="81" t="str">
        <f aca="false">_xlfn.IFNA(VLOOKUP(C425,'بيانات الآليات '!A:G,5,FALSE()),"")</f>
        <v/>
      </c>
      <c r="G425" s="82"/>
      <c r="H425" s="83" t="str">
        <f aca="false">_xlfn.IFNA(VLOOKUP(G425,Table14543[],2,FALSE()),"")</f>
        <v/>
      </c>
      <c r="I425" s="84" t="str">
        <f aca="false">_xlfn.IFNA(VLOOKUP(G425,Table14543[],3,FALSE()),"")</f>
        <v/>
      </c>
      <c r="J425" s="83" t="str">
        <f aca="false">CONCATENATE("",G425,""," ",H425," ",I425)</f>
        <v>  </v>
      </c>
      <c r="K425" s="85"/>
      <c r="L425" s="86"/>
      <c r="M425" s="86"/>
      <c r="N425" s="86" t="n">
        <f aca="false">L425*M425</f>
        <v>0</v>
      </c>
      <c r="O425" s="86"/>
      <c r="P425" s="87" t="n">
        <f aca="false">(M425*L425)+O425</f>
        <v>0</v>
      </c>
      <c r="Q425" s="91"/>
    </row>
    <row r="426" customFormat="false" ht="14.25" hidden="false" customHeight="false" outlineLevel="0" collapsed="false">
      <c r="A426" s="77"/>
      <c r="B426" s="78"/>
      <c r="C426" s="79"/>
      <c r="D426" s="80" t="str">
        <f aca="false">_xlfn.IFNA(VLOOKUP(C426,'بيانات الآليات '!A:G,4,FALSE()),"")</f>
        <v/>
      </c>
      <c r="E426" s="81" t="str">
        <f aca="false">_xlfn.IFNA(VLOOKUP(C426,'بيانات الآليات '!A:G,2,FALSE()),"")</f>
        <v/>
      </c>
      <c r="F426" s="81" t="str">
        <f aca="false">_xlfn.IFNA(VLOOKUP(C426,'بيانات الآليات '!A:G,5,FALSE()),"")</f>
        <v/>
      </c>
      <c r="G426" s="82"/>
      <c r="H426" s="83" t="str">
        <f aca="false">_xlfn.IFNA(VLOOKUP(G426,Table14543[],2,FALSE()),"")</f>
        <v/>
      </c>
      <c r="I426" s="84" t="str">
        <f aca="false">_xlfn.IFNA(VLOOKUP(G426,Table14543[],3,FALSE()),"")</f>
        <v/>
      </c>
      <c r="J426" s="83" t="str">
        <f aca="false">CONCATENATE("",G426,""," ",H426," ",I426)</f>
        <v>  </v>
      </c>
      <c r="K426" s="85"/>
      <c r="L426" s="86"/>
      <c r="M426" s="86"/>
      <c r="N426" s="86" t="n">
        <f aca="false">L426*M426</f>
        <v>0</v>
      </c>
      <c r="O426" s="86"/>
      <c r="P426" s="87" t="n">
        <f aca="false">(M426*L426)+O426</f>
        <v>0</v>
      </c>
      <c r="Q426" s="91"/>
    </row>
    <row r="427" customFormat="false" ht="14.25" hidden="false" customHeight="false" outlineLevel="0" collapsed="false">
      <c r="A427" s="77"/>
      <c r="B427" s="78"/>
      <c r="C427" s="79"/>
      <c r="D427" s="80" t="str">
        <f aca="false">_xlfn.IFNA(VLOOKUP(C427,'بيانات الآليات '!A:G,4,FALSE()),"")</f>
        <v/>
      </c>
      <c r="E427" s="81" t="str">
        <f aca="false">_xlfn.IFNA(VLOOKUP(C427,'بيانات الآليات '!A:G,2,FALSE()),"")</f>
        <v/>
      </c>
      <c r="F427" s="81" t="str">
        <f aca="false">_xlfn.IFNA(VLOOKUP(C427,'بيانات الآليات '!A:G,5,FALSE()),"")</f>
        <v/>
      </c>
      <c r="G427" s="82"/>
      <c r="H427" s="83" t="str">
        <f aca="false">_xlfn.IFNA(VLOOKUP(G427,Table14543[],2,FALSE()),"")</f>
        <v/>
      </c>
      <c r="I427" s="84" t="str">
        <f aca="false">_xlfn.IFNA(VLOOKUP(G427,Table14543[],3,FALSE()),"")</f>
        <v/>
      </c>
      <c r="J427" s="83" t="str">
        <f aca="false">CONCATENATE("",G427,""," ",H427," ",I427)</f>
        <v>  </v>
      </c>
      <c r="K427" s="85"/>
      <c r="L427" s="86"/>
      <c r="M427" s="86"/>
      <c r="N427" s="86" t="n">
        <f aca="false">L427*M427</f>
        <v>0</v>
      </c>
      <c r="O427" s="86"/>
      <c r="P427" s="87" t="n">
        <f aca="false">(M427*L427)+O427</f>
        <v>0</v>
      </c>
      <c r="Q427" s="91"/>
    </row>
    <row r="428" customFormat="false" ht="14.25" hidden="false" customHeight="false" outlineLevel="0" collapsed="false">
      <c r="A428" s="77"/>
      <c r="B428" s="78"/>
      <c r="C428" s="79"/>
      <c r="D428" s="80" t="str">
        <f aca="false">_xlfn.IFNA(VLOOKUP(C428,'بيانات الآليات '!A:G,4,FALSE()),"")</f>
        <v/>
      </c>
      <c r="E428" s="81" t="str">
        <f aca="false">_xlfn.IFNA(VLOOKUP(C428,'بيانات الآليات '!A:G,2,FALSE()),"")</f>
        <v/>
      </c>
      <c r="F428" s="81" t="str">
        <f aca="false">_xlfn.IFNA(VLOOKUP(C428,'بيانات الآليات '!A:G,5,FALSE()),"")</f>
        <v/>
      </c>
      <c r="G428" s="82"/>
      <c r="H428" s="83" t="str">
        <f aca="false">_xlfn.IFNA(VLOOKUP(G428,Table14543[],2,FALSE()),"")</f>
        <v/>
      </c>
      <c r="I428" s="84" t="str">
        <f aca="false">_xlfn.IFNA(VLOOKUP(G428,Table14543[],3,FALSE()),"")</f>
        <v/>
      </c>
      <c r="J428" s="83" t="str">
        <f aca="false">CONCATENATE("",G428,""," ",H428," ",I428)</f>
        <v>  </v>
      </c>
      <c r="K428" s="85"/>
      <c r="L428" s="86"/>
      <c r="M428" s="86"/>
      <c r="N428" s="86" t="n">
        <f aca="false">L428*M428</f>
        <v>0</v>
      </c>
      <c r="O428" s="86"/>
      <c r="P428" s="87" t="n">
        <f aca="false">(M428*L428)+O428</f>
        <v>0</v>
      </c>
      <c r="Q428" s="91"/>
    </row>
    <row r="429" customFormat="false" ht="14.25" hidden="false" customHeight="false" outlineLevel="0" collapsed="false">
      <c r="A429" s="77"/>
      <c r="B429" s="78"/>
      <c r="C429" s="79"/>
      <c r="D429" s="80" t="str">
        <f aca="false">_xlfn.IFNA(VLOOKUP(C429,'بيانات الآليات '!A:G,4,FALSE()),"")</f>
        <v/>
      </c>
      <c r="E429" s="81" t="str">
        <f aca="false">_xlfn.IFNA(VLOOKUP(C429,'بيانات الآليات '!A:G,2,FALSE()),"")</f>
        <v/>
      </c>
      <c r="F429" s="81" t="str">
        <f aca="false">_xlfn.IFNA(VLOOKUP(C429,'بيانات الآليات '!A:G,5,FALSE()),"")</f>
        <v/>
      </c>
      <c r="G429" s="82"/>
      <c r="H429" s="83" t="str">
        <f aca="false">_xlfn.IFNA(VLOOKUP(G429,Table14543[],2,FALSE()),"")</f>
        <v/>
      </c>
      <c r="I429" s="84" t="str">
        <f aca="false">_xlfn.IFNA(VLOOKUP(G429,Table14543[],3,FALSE()),"")</f>
        <v/>
      </c>
      <c r="J429" s="83" t="str">
        <f aca="false">CONCATENATE("",G429,""," ",H429," ",I429)</f>
        <v>  </v>
      </c>
      <c r="K429" s="85"/>
      <c r="L429" s="86"/>
      <c r="M429" s="86"/>
      <c r="N429" s="86" t="n">
        <f aca="false">L429*M429</f>
        <v>0</v>
      </c>
      <c r="O429" s="86"/>
      <c r="P429" s="87" t="n">
        <f aca="false">(M429*L429)+O429</f>
        <v>0</v>
      </c>
      <c r="Q429" s="91"/>
    </row>
    <row r="430" customFormat="false" ht="14.25" hidden="false" customHeight="false" outlineLevel="0" collapsed="false">
      <c r="A430" s="77"/>
      <c r="B430" s="78"/>
      <c r="C430" s="79"/>
      <c r="D430" s="80" t="str">
        <f aca="false">_xlfn.IFNA(VLOOKUP(C430,'بيانات الآليات '!A:G,4,FALSE()),"")</f>
        <v/>
      </c>
      <c r="E430" s="81" t="str">
        <f aca="false">_xlfn.IFNA(VLOOKUP(C430,'بيانات الآليات '!A:G,2,FALSE()),"")</f>
        <v/>
      </c>
      <c r="F430" s="81" t="str">
        <f aca="false">_xlfn.IFNA(VLOOKUP(C430,'بيانات الآليات '!A:G,5,FALSE()),"")</f>
        <v/>
      </c>
      <c r="G430" s="82"/>
      <c r="H430" s="83" t="str">
        <f aca="false">_xlfn.IFNA(VLOOKUP(G430,Table14543[],2,FALSE()),"")</f>
        <v/>
      </c>
      <c r="I430" s="84" t="str">
        <f aca="false">_xlfn.IFNA(VLOOKUP(G430,Table14543[],3,FALSE()),"")</f>
        <v/>
      </c>
      <c r="J430" s="83" t="str">
        <f aca="false">CONCATENATE("",G430,""," ",H430," ",I430)</f>
        <v>  </v>
      </c>
      <c r="K430" s="85"/>
      <c r="L430" s="86"/>
      <c r="M430" s="86"/>
      <c r="N430" s="86" t="n">
        <f aca="false">L430*M430</f>
        <v>0</v>
      </c>
      <c r="O430" s="86"/>
      <c r="P430" s="87" t="n">
        <f aca="false">(M430*L430)+O430</f>
        <v>0</v>
      </c>
      <c r="Q430" s="91"/>
    </row>
    <row r="431" customFormat="false" ht="14.25" hidden="false" customHeight="false" outlineLevel="0" collapsed="false">
      <c r="A431" s="77"/>
      <c r="B431" s="78"/>
      <c r="C431" s="79"/>
      <c r="D431" s="80" t="str">
        <f aca="false">_xlfn.IFNA(VLOOKUP(C431,'بيانات الآليات '!A:G,4,FALSE()),"")</f>
        <v/>
      </c>
      <c r="E431" s="81" t="str">
        <f aca="false">_xlfn.IFNA(VLOOKUP(C431,'بيانات الآليات '!A:G,2,FALSE()),"")</f>
        <v/>
      </c>
      <c r="F431" s="81" t="str">
        <f aca="false">_xlfn.IFNA(VLOOKUP(C431,'بيانات الآليات '!A:G,5,FALSE()),"")</f>
        <v/>
      </c>
      <c r="G431" s="82"/>
      <c r="H431" s="83" t="str">
        <f aca="false">_xlfn.IFNA(VLOOKUP(G431,Table14543[],2,FALSE()),"")</f>
        <v/>
      </c>
      <c r="I431" s="84" t="str">
        <f aca="false">_xlfn.IFNA(VLOOKUP(G431,Table14543[],3,FALSE()),"")</f>
        <v/>
      </c>
      <c r="J431" s="83" t="str">
        <f aca="false">CONCATENATE("",G431,""," ",H431," ",I431)</f>
        <v>  </v>
      </c>
      <c r="K431" s="85"/>
      <c r="L431" s="86"/>
      <c r="M431" s="86"/>
      <c r="N431" s="86" t="n">
        <f aca="false">L431*M431</f>
        <v>0</v>
      </c>
      <c r="O431" s="86"/>
      <c r="P431" s="87" t="n">
        <f aca="false">(M431*L431)+O431</f>
        <v>0</v>
      </c>
      <c r="Q431" s="91"/>
    </row>
    <row r="432" customFormat="false" ht="14.25" hidden="false" customHeight="false" outlineLevel="0" collapsed="false">
      <c r="A432" s="77"/>
      <c r="B432" s="78"/>
      <c r="C432" s="79"/>
      <c r="D432" s="80" t="str">
        <f aca="false">_xlfn.IFNA(VLOOKUP(C432,'بيانات الآليات '!A:G,4,FALSE()),"")</f>
        <v/>
      </c>
      <c r="E432" s="81" t="str">
        <f aca="false">_xlfn.IFNA(VLOOKUP(C432,'بيانات الآليات '!A:G,2,FALSE()),"")</f>
        <v/>
      </c>
      <c r="F432" s="81" t="str">
        <f aca="false">_xlfn.IFNA(VLOOKUP(C432,'بيانات الآليات '!A:G,5,FALSE()),"")</f>
        <v/>
      </c>
      <c r="G432" s="82"/>
      <c r="H432" s="83" t="str">
        <f aca="false">_xlfn.IFNA(VLOOKUP(G432,Table14543[],2,FALSE()),"")</f>
        <v/>
      </c>
      <c r="I432" s="84" t="str">
        <f aca="false">_xlfn.IFNA(VLOOKUP(G432,Table14543[],3,FALSE()),"")</f>
        <v/>
      </c>
      <c r="J432" s="83" t="str">
        <f aca="false">CONCATENATE("",G432,""," ",H432," ",I432)</f>
        <v>  </v>
      </c>
      <c r="K432" s="85"/>
      <c r="L432" s="86"/>
      <c r="M432" s="86"/>
      <c r="N432" s="86" t="n">
        <f aca="false">L432*M432</f>
        <v>0</v>
      </c>
      <c r="O432" s="86"/>
      <c r="P432" s="87" t="n">
        <f aca="false">(M432*L432)+O432</f>
        <v>0</v>
      </c>
      <c r="Q432" s="91"/>
    </row>
    <row r="433" customFormat="false" ht="14.25" hidden="false" customHeight="false" outlineLevel="0" collapsed="false">
      <c r="A433" s="77"/>
      <c r="B433" s="78"/>
      <c r="C433" s="79"/>
      <c r="D433" s="80" t="str">
        <f aca="false">_xlfn.IFNA(VLOOKUP(C433,'بيانات الآليات '!A:G,4,FALSE()),"")</f>
        <v/>
      </c>
      <c r="E433" s="81" t="str">
        <f aca="false">_xlfn.IFNA(VLOOKUP(C433,'بيانات الآليات '!A:G,2,FALSE()),"")</f>
        <v/>
      </c>
      <c r="F433" s="81" t="str">
        <f aca="false">_xlfn.IFNA(VLOOKUP(C433,'بيانات الآليات '!A:G,5,FALSE()),"")</f>
        <v/>
      </c>
      <c r="G433" s="82"/>
      <c r="H433" s="83" t="str">
        <f aca="false">_xlfn.IFNA(VLOOKUP(G433,Table14543[],2,FALSE()),"")</f>
        <v/>
      </c>
      <c r="I433" s="84" t="str">
        <f aca="false">_xlfn.IFNA(VLOOKUP(G433,Table14543[],3,FALSE()),"")</f>
        <v/>
      </c>
      <c r="J433" s="83" t="str">
        <f aca="false">CONCATENATE("",G433,""," ",H433," ",I433)</f>
        <v>  </v>
      </c>
      <c r="K433" s="85"/>
      <c r="L433" s="86"/>
      <c r="M433" s="86"/>
      <c r="N433" s="86" t="n">
        <f aca="false">L433*M433</f>
        <v>0</v>
      </c>
      <c r="O433" s="86"/>
      <c r="P433" s="87" t="n">
        <f aca="false">(M433*L433)+O433</f>
        <v>0</v>
      </c>
      <c r="Q433" s="91"/>
    </row>
    <row r="434" customFormat="false" ht="14.25" hidden="false" customHeight="false" outlineLevel="0" collapsed="false">
      <c r="A434" s="77"/>
      <c r="B434" s="78"/>
      <c r="C434" s="79"/>
      <c r="D434" s="80" t="str">
        <f aca="false">_xlfn.IFNA(VLOOKUP(C434,'بيانات الآليات '!A:G,4,FALSE()),"")</f>
        <v/>
      </c>
      <c r="E434" s="81" t="str">
        <f aca="false">_xlfn.IFNA(VLOOKUP(C434,'بيانات الآليات '!A:G,2,FALSE()),"")</f>
        <v/>
      </c>
      <c r="F434" s="81" t="str">
        <f aca="false">_xlfn.IFNA(VLOOKUP(C434,'بيانات الآليات '!A:G,5,FALSE()),"")</f>
        <v/>
      </c>
      <c r="G434" s="82"/>
      <c r="H434" s="83" t="str">
        <f aca="false">_xlfn.IFNA(VLOOKUP(G434,Table14543[],2,FALSE()),"")</f>
        <v/>
      </c>
      <c r="I434" s="84" t="str">
        <f aca="false">_xlfn.IFNA(VLOOKUP(G434,Table14543[],3,FALSE()),"")</f>
        <v/>
      </c>
      <c r="J434" s="83" t="str">
        <f aca="false">CONCATENATE("",G434,""," ",H434," ",I434)</f>
        <v>  </v>
      </c>
      <c r="K434" s="85"/>
      <c r="L434" s="86"/>
      <c r="M434" s="86"/>
      <c r="N434" s="86" t="n">
        <f aca="false">L434*M434</f>
        <v>0</v>
      </c>
      <c r="O434" s="86"/>
      <c r="P434" s="87" t="n">
        <f aca="false">(M434*L434)+O434</f>
        <v>0</v>
      </c>
      <c r="Q434" s="91"/>
    </row>
    <row r="435" customFormat="false" ht="14.25" hidden="false" customHeight="false" outlineLevel="0" collapsed="false">
      <c r="A435" s="77"/>
      <c r="B435" s="78"/>
      <c r="C435" s="79"/>
      <c r="D435" s="80" t="str">
        <f aca="false">_xlfn.IFNA(VLOOKUP(C435,'بيانات الآليات '!A:G,4,FALSE()),"")</f>
        <v/>
      </c>
      <c r="E435" s="81" t="str">
        <f aca="false">_xlfn.IFNA(VLOOKUP(C435,'بيانات الآليات '!A:G,2,FALSE()),"")</f>
        <v/>
      </c>
      <c r="F435" s="81" t="str">
        <f aca="false">_xlfn.IFNA(VLOOKUP(C435,'بيانات الآليات '!A:G,5,FALSE()),"")</f>
        <v/>
      </c>
      <c r="G435" s="82"/>
      <c r="H435" s="83" t="str">
        <f aca="false">_xlfn.IFNA(VLOOKUP(G435,Table14543[],2,FALSE()),"")</f>
        <v/>
      </c>
      <c r="I435" s="84" t="str">
        <f aca="false">_xlfn.IFNA(VLOOKUP(G435,Table14543[],3,FALSE()),"")</f>
        <v/>
      </c>
      <c r="J435" s="83" t="str">
        <f aca="false">CONCATENATE("",G435,""," ",H435," ",I435)</f>
        <v>  </v>
      </c>
      <c r="K435" s="85"/>
      <c r="L435" s="86"/>
      <c r="M435" s="86"/>
      <c r="N435" s="86" t="n">
        <f aca="false">L435*M435</f>
        <v>0</v>
      </c>
      <c r="O435" s="86"/>
      <c r="P435" s="87" t="n">
        <f aca="false">(M435*L435)+O435</f>
        <v>0</v>
      </c>
      <c r="Q435" s="91"/>
    </row>
    <row r="436" customFormat="false" ht="14.25" hidden="false" customHeight="false" outlineLevel="0" collapsed="false">
      <c r="A436" s="77"/>
      <c r="B436" s="78"/>
      <c r="C436" s="79"/>
      <c r="D436" s="80" t="str">
        <f aca="false">_xlfn.IFNA(VLOOKUP(C436,'بيانات الآليات '!A:G,4,FALSE()),"")</f>
        <v/>
      </c>
      <c r="E436" s="81" t="str">
        <f aca="false">_xlfn.IFNA(VLOOKUP(C436,'بيانات الآليات '!A:G,2,FALSE()),"")</f>
        <v/>
      </c>
      <c r="F436" s="81" t="str">
        <f aca="false">_xlfn.IFNA(VLOOKUP(C436,'بيانات الآليات '!A:G,5,FALSE()),"")</f>
        <v/>
      </c>
      <c r="G436" s="82"/>
      <c r="H436" s="83" t="str">
        <f aca="false">_xlfn.IFNA(VLOOKUP(G436,Table14543[],2,FALSE()),"")</f>
        <v/>
      </c>
      <c r="I436" s="84" t="str">
        <f aca="false">_xlfn.IFNA(VLOOKUP(G436,Table14543[],3,FALSE()),"")</f>
        <v/>
      </c>
      <c r="J436" s="83" t="str">
        <f aca="false">CONCATENATE("",G436,""," ",H436," ",I436)</f>
        <v>  </v>
      </c>
      <c r="K436" s="85"/>
      <c r="L436" s="86"/>
      <c r="M436" s="86"/>
      <c r="N436" s="86" t="n">
        <f aca="false">L436*M436</f>
        <v>0</v>
      </c>
      <c r="O436" s="86"/>
      <c r="P436" s="87" t="n">
        <f aca="false">(M436*L436)+O436</f>
        <v>0</v>
      </c>
      <c r="Q436" s="91"/>
    </row>
    <row r="437" customFormat="false" ht="14.25" hidden="false" customHeight="false" outlineLevel="0" collapsed="false">
      <c r="A437" s="77"/>
      <c r="B437" s="78"/>
      <c r="C437" s="79"/>
      <c r="D437" s="80" t="str">
        <f aca="false">_xlfn.IFNA(VLOOKUP(C437,'بيانات الآليات '!A:G,4,FALSE()),"")</f>
        <v/>
      </c>
      <c r="E437" s="81" t="str">
        <f aca="false">_xlfn.IFNA(VLOOKUP(C437,'بيانات الآليات '!A:G,2,FALSE()),"")</f>
        <v/>
      </c>
      <c r="F437" s="81" t="str">
        <f aca="false">_xlfn.IFNA(VLOOKUP(C437,'بيانات الآليات '!A:G,5,FALSE()),"")</f>
        <v/>
      </c>
      <c r="G437" s="82"/>
      <c r="H437" s="83" t="str">
        <f aca="false">_xlfn.IFNA(VLOOKUP(G437,Table14543[],2,FALSE()),"")</f>
        <v/>
      </c>
      <c r="I437" s="84" t="str">
        <f aca="false">_xlfn.IFNA(VLOOKUP(G437,Table14543[],3,FALSE()),"")</f>
        <v/>
      </c>
      <c r="J437" s="83" t="str">
        <f aca="false">CONCATENATE("",G437,""," ",H437," ",I437)</f>
        <v>  </v>
      </c>
      <c r="K437" s="85"/>
      <c r="L437" s="86"/>
      <c r="M437" s="86"/>
      <c r="N437" s="86" t="n">
        <f aca="false">L437*M437</f>
        <v>0</v>
      </c>
      <c r="O437" s="86"/>
      <c r="P437" s="87" t="n">
        <f aca="false">(M437*L437)+O437</f>
        <v>0</v>
      </c>
      <c r="Q437" s="91"/>
    </row>
    <row r="438" customFormat="false" ht="14.25" hidden="false" customHeight="false" outlineLevel="0" collapsed="false">
      <c r="A438" s="77"/>
      <c r="B438" s="78"/>
      <c r="C438" s="79"/>
      <c r="D438" s="80" t="str">
        <f aca="false">_xlfn.IFNA(VLOOKUP(C438,'بيانات الآليات '!A:G,4,FALSE()),"")</f>
        <v/>
      </c>
      <c r="E438" s="81" t="str">
        <f aca="false">_xlfn.IFNA(VLOOKUP(C438,'بيانات الآليات '!A:G,2,FALSE()),"")</f>
        <v/>
      </c>
      <c r="F438" s="81" t="str">
        <f aca="false">_xlfn.IFNA(VLOOKUP(C438,'بيانات الآليات '!A:G,5,FALSE()),"")</f>
        <v/>
      </c>
      <c r="G438" s="82"/>
      <c r="H438" s="83" t="str">
        <f aca="false">_xlfn.IFNA(VLOOKUP(G438,Table14543[],2,FALSE()),"")</f>
        <v/>
      </c>
      <c r="I438" s="84" t="str">
        <f aca="false">_xlfn.IFNA(VLOOKUP(G438,Table14543[],3,FALSE()),"")</f>
        <v/>
      </c>
      <c r="J438" s="83" t="str">
        <f aca="false">CONCATENATE("",G438,""," ",H438," ",I438)</f>
        <v>  </v>
      </c>
      <c r="K438" s="85"/>
      <c r="L438" s="86"/>
      <c r="M438" s="86"/>
      <c r="N438" s="86" t="n">
        <f aca="false">L438*M438</f>
        <v>0</v>
      </c>
      <c r="O438" s="86"/>
      <c r="P438" s="87" t="n">
        <f aca="false">(M438*L438)+O438</f>
        <v>0</v>
      </c>
      <c r="Q438" s="91"/>
    </row>
    <row r="439" customFormat="false" ht="14.25" hidden="false" customHeight="false" outlineLevel="0" collapsed="false">
      <c r="A439" s="77"/>
      <c r="B439" s="78"/>
      <c r="C439" s="79"/>
      <c r="D439" s="80" t="str">
        <f aca="false">_xlfn.IFNA(VLOOKUP(C439,'بيانات الآليات '!A:G,4,FALSE()),"")</f>
        <v/>
      </c>
      <c r="E439" s="81" t="str">
        <f aca="false">_xlfn.IFNA(VLOOKUP(C439,'بيانات الآليات '!A:G,2,FALSE()),"")</f>
        <v/>
      </c>
      <c r="F439" s="81" t="str">
        <f aca="false">_xlfn.IFNA(VLOOKUP(C439,'بيانات الآليات '!A:G,5,FALSE()),"")</f>
        <v/>
      </c>
      <c r="G439" s="82"/>
      <c r="H439" s="83" t="str">
        <f aca="false">_xlfn.IFNA(VLOOKUP(G439,Table14543[],2,FALSE()),"")</f>
        <v/>
      </c>
      <c r="I439" s="84" t="str">
        <f aca="false">_xlfn.IFNA(VLOOKUP(G439,Table14543[],3,FALSE()),"")</f>
        <v/>
      </c>
      <c r="J439" s="83" t="str">
        <f aca="false">CONCATENATE("",G439,""," ",H439," ",I439)</f>
        <v>  </v>
      </c>
      <c r="K439" s="85"/>
      <c r="L439" s="86"/>
      <c r="M439" s="86"/>
      <c r="N439" s="86" t="n">
        <f aca="false">L439*M439</f>
        <v>0</v>
      </c>
      <c r="O439" s="86"/>
      <c r="P439" s="87" t="n">
        <f aca="false">(M439*L439)+O439</f>
        <v>0</v>
      </c>
      <c r="Q439" s="91"/>
    </row>
    <row r="440" customFormat="false" ht="14.25" hidden="false" customHeight="false" outlineLevel="0" collapsed="false">
      <c r="A440" s="77"/>
      <c r="B440" s="78"/>
      <c r="C440" s="79"/>
      <c r="D440" s="80" t="str">
        <f aca="false">_xlfn.IFNA(VLOOKUP(C440,'بيانات الآليات '!A:G,4,FALSE()),"")</f>
        <v/>
      </c>
      <c r="E440" s="81" t="str">
        <f aca="false">_xlfn.IFNA(VLOOKUP(C440,'بيانات الآليات '!A:G,2,FALSE()),"")</f>
        <v/>
      </c>
      <c r="F440" s="81" t="str">
        <f aca="false">_xlfn.IFNA(VLOOKUP(C440,'بيانات الآليات '!A:G,5,FALSE()),"")</f>
        <v/>
      </c>
      <c r="G440" s="82"/>
      <c r="H440" s="83" t="str">
        <f aca="false">_xlfn.IFNA(VLOOKUP(G440,Table14543[],2,FALSE()),"")</f>
        <v/>
      </c>
      <c r="I440" s="84" t="str">
        <f aca="false">_xlfn.IFNA(VLOOKUP(G440,Table14543[],3,FALSE()),"")</f>
        <v/>
      </c>
      <c r="J440" s="83" t="str">
        <f aca="false">CONCATENATE("",G440,""," ",H440," ",I440)</f>
        <v>  </v>
      </c>
      <c r="K440" s="85"/>
      <c r="L440" s="86"/>
      <c r="M440" s="86"/>
      <c r="N440" s="86" t="n">
        <f aca="false">L440*M440</f>
        <v>0</v>
      </c>
      <c r="O440" s="86"/>
      <c r="P440" s="87" t="n">
        <f aca="false">(M440*L440)+O440</f>
        <v>0</v>
      </c>
      <c r="Q440" s="91"/>
    </row>
    <row r="441" customFormat="false" ht="14.25" hidden="false" customHeight="false" outlineLevel="0" collapsed="false">
      <c r="A441" s="77"/>
      <c r="B441" s="78"/>
      <c r="C441" s="79"/>
      <c r="D441" s="80" t="str">
        <f aca="false">_xlfn.IFNA(VLOOKUP(C441,'بيانات الآليات '!A:G,4,FALSE()),"")</f>
        <v/>
      </c>
      <c r="E441" s="81" t="str">
        <f aca="false">_xlfn.IFNA(VLOOKUP(C441,'بيانات الآليات '!A:G,2,FALSE()),"")</f>
        <v/>
      </c>
      <c r="F441" s="81" t="str">
        <f aca="false">_xlfn.IFNA(VLOOKUP(C441,'بيانات الآليات '!A:G,5,FALSE()),"")</f>
        <v/>
      </c>
      <c r="G441" s="82"/>
      <c r="H441" s="83" t="str">
        <f aca="false">_xlfn.IFNA(VLOOKUP(G441,Table14543[],2,FALSE()),"")</f>
        <v/>
      </c>
      <c r="I441" s="84" t="str">
        <f aca="false">_xlfn.IFNA(VLOOKUP(G441,Table14543[],3,FALSE()),"")</f>
        <v/>
      </c>
      <c r="J441" s="83" t="str">
        <f aca="false">CONCATENATE("",G441,""," ",H441," ",I441)</f>
        <v>  </v>
      </c>
      <c r="K441" s="85"/>
      <c r="L441" s="86"/>
      <c r="M441" s="86"/>
      <c r="N441" s="86" t="n">
        <f aca="false">L441*M441</f>
        <v>0</v>
      </c>
      <c r="O441" s="86"/>
      <c r="P441" s="87" t="n">
        <f aca="false">(M441*L441)+O441</f>
        <v>0</v>
      </c>
      <c r="Q441" s="91"/>
    </row>
    <row r="442" customFormat="false" ht="14.25" hidden="false" customHeight="false" outlineLevel="0" collapsed="false">
      <c r="A442" s="77"/>
      <c r="B442" s="78"/>
      <c r="C442" s="79"/>
      <c r="D442" s="80" t="str">
        <f aca="false">_xlfn.IFNA(VLOOKUP(C442,'بيانات الآليات '!A:G,4,FALSE()),"")</f>
        <v/>
      </c>
      <c r="E442" s="81" t="str">
        <f aca="false">_xlfn.IFNA(VLOOKUP(C442,'بيانات الآليات '!A:G,2,FALSE()),"")</f>
        <v/>
      </c>
      <c r="F442" s="81" t="str">
        <f aca="false">_xlfn.IFNA(VLOOKUP(C442,'بيانات الآليات '!A:G,5,FALSE()),"")</f>
        <v/>
      </c>
      <c r="G442" s="82"/>
      <c r="H442" s="83" t="str">
        <f aca="false">_xlfn.IFNA(VLOOKUP(G442,Table14543[],2,FALSE()),"")</f>
        <v/>
      </c>
      <c r="I442" s="84" t="str">
        <f aca="false">_xlfn.IFNA(VLOOKUP(G442,Table14543[],3,FALSE()),"")</f>
        <v/>
      </c>
      <c r="J442" s="83" t="str">
        <f aca="false">CONCATENATE("",G442,""," ",H442," ",I442)</f>
        <v>  </v>
      </c>
      <c r="K442" s="85"/>
      <c r="L442" s="86"/>
      <c r="M442" s="86"/>
      <c r="N442" s="86" t="n">
        <f aca="false">L442*M442</f>
        <v>0</v>
      </c>
      <c r="O442" s="86"/>
      <c r="P442" s="87" t="n">
        <f aca="false">(M442*L442)+O442</f>
        <v>0</v>
      </c>
      <c r="Q442" s="91"/>
    </row>
    <row r="443" customFormat="false" ht="14.25" hidden="false" customHeight="false" outlineLevel="0" collapsed="false">
      <c r="A443" s="77"/>
      <c r="B443" s="78"/>
      <c r="C443" s="79"/>
      <c r="D443" s="80" t="str">
        <f aca="false">_xlfn.IFNA(VLOOKUP(C443,'بيانات الآليات '!A:G,4,FALSE()),"")</f>
        <v/>
      </c>
      <c r="E443" s="81" t="str">
        <f aca="false">_xlfn.IFNA(VLOOKUP(C443,'بيانات الآليات '!A:G,2,FALSE()),"")</f>
        <v/>
      </c>
      <c r="F443" s="81" t="str">
        <f aca="false">_xlfn.IFNA(VLOOKUP(C443,'بيانات الآليات '!A:G,5,FALSE()),"")</f>
        <v/>
      </c>
      <c r="G443" s="82"/>
      <c r="H443" s="83" t="str">
        <f aca="false">_xlfn.IFNA(VLOOKUP(G443,Table14543[],2,FALSE()),"")</f>
        <v/>
      </c>
      <c r="I443" s="84" t="str">
        <f aca="false">_xlfn.IFNA(VLOOKUP(G443,Table14543[],3,FALSE()),"")</f>
        <v/>
      </c>
      <c r="J443" s="83" t="str">
        <f aca="false">CONCATENATE("",G443,""," ",H443," ",I443)</f>
        <v>  </v>
      </c>
      <c r="K443" s="85"/>
      <c r="L443" s="86"/>
      <c r="M443" s="86"/>
      <c r="N443" s="86" t="n">
        <f aca="false">L443*M443</f>
        <v>0</v>
      </c>
      <c r="O443" s="86"/>
      <c r="P443" s="87" t="n">
        <f aca="false">(M443*L443)+O443</f>
        <v>0</v>
      </c>
      <c r="Q443" s="91"/>
    </row>
    <row r="444" customFormat="false" ht="14.25" hidden="false" customHeight="false" outlineLevel="0" collapsed="false">
      <c r="A444" s="77"/>
      <c r="B444" s="78"/>
      <c r="C444" s="79"/>
      <c r="D444" s="80" t="str">
        <f aca="false">_xlfn.IFNA(VLOOKUP(C444,'بيانات الآليات '!A:G,4,FALSE()),"")</f>
        <v/>
      </c>
      <c r="E444" s="81" t="str">
        <f aca="false">_xlfn.IFNA(VLOOKUP(C444,'بيانات الآليات '!A:G,2,FALSE()),"")</f>
        <v/>
      </c>
      <c r="F444" s="81" t="str">
        <f aca="false">_xlfn.IFNA(VLOOKUP(C444,'بيانات الآليات '!A:G,5,FALSE()),"")</f>
        <v/>
      </c>
      <c r="G444" s="82"/>
      <c r="H444" s="83" t="str">
        <f aca="false">_xlfn.IFNA(VLOOKUP(G444,Table14543[],2,FALSE()),"")</f>
        <v/>
      </c>
      <c r="I444" s="84" t="str">
        <f aca="false">_xlfn.IFNA(VLOOKUP(G444,Table14543[],3,FALSE()),"")</f>
        <v/>
      </c>
      <c r="J444" s="83" t="str">
        <f aca="false">CONCATENATE("",G444,""," ",H444," ",I444)</f>
        <v>  </v>
      </c>
      <c r="K444" s="85"/>
      <c r="L444" s="86"/>
      <c r="M444" s="86"/>
      <c r="N444" s="86" t="n">
        <f aca="false">L444*M444</f>
        <v>0</v>
      </c>
      <c r="O444" s="86"/>
      <c r="P444" s="87" t="n">
        <f aca="false">(M444*L444)+O444</f>
        <v>0</v>
      </c>
      <c r="Q444" s="91"/>
    </row>
    <row r="445" customFormat="false" ht="14.25" hidden="false" customHeight="false" outlineLevel="0" collapsed="false">
      <c r="A445" s="77"/>
      <c r="B445" s="78"/>
      <c r="C445" s="79"/>
      <c r="D445" s="80" t="str">
        <f aca="false">_xlfn.IFNA(VLOOKUP(C445,'بيانات الآليات '!A:G,4,FALSE()),"")</f>
        <v/>
      </c>
      <c r="E445" s="81" t="str">
        <f aca="false">_xlfn.IFNA(VLOOKUP(C445,'بيانات الآليات '!A:G,2,FALSE()),"")</f>
        <v/>
      </c>
      <c r="F445" s="81" t="str">
        <f aca="false">_xlfn.IFNA(VLOOKUP(C445,'بيانات الآليات '!A:G,5,FALSE()),"")</f>
        <v/>
      </c>
      <c r="G445" s="82"/>
      <c r="H445" s="83" t="str">
        <f aca="false">_xlfn.IFNA(VLOOKUP(G445,Table14543[],2,FALSE()),"")</f>
        <v/>
      </c>
      <c r="I445" s="84" t="str">
        <f aca="false">_xlfn.IFNA(VLOOKUP(G445,Table14543[],3,FALSE()),"")</f>
        <v/>
      </c>
      <c r="J445" s="83" t="str">
        <f aca="false">CONCATENATE("",G445,""," ",H445," ",I445)</f>
        <v>  </v>
      </c>
      <c r="K445" s="85"/>
      <c r="L445" s="86"/>
      <c r="M445" s="86"/>
      <c r="N445" s="86" t="n">
        <f aca="false">L445*M445</f>
        <v>0</v>
      </c>
      <c r="O445" s="86"/>
      <c r="P445" s="87" t="n">
        <f aca="false">(M445*L445)+O445</f>
        <v>0</v>
      </c>
      <c r="Q445" s="91"/>
    </row>
    <row r="446" customFormat="false" ht="14.25" hidden="false" customHeight="false" outlineLevel="0" collapsed="false">
      <c r="A446" s="77"/>
      <c r="B446" s="78"/>
      <c r="C446" s="79"/>
      <c r="D446" s="80" t="str">
        <f aca="false">_xlfn.IFNA(VLOOKUP(C446,'بيانات الآليات '!A:G,4,FALSE()),"")</f>
        <v/>
      </c>
      <c r="E446" s="81" t="str">
        <f aca="false">_xlfn.IFNA(VLOOKUP(C446,'بيانات الآليات '!A:G,2,FALSE()),"")</f>
        <v/>
      </c>
      <c r="F446" s="81" t="str">
        <f aca="false">_xlfn.IFNA(VLOOKUP(C446,'بيانات الآليات '!A:G,5,FALSE()),"")</f>
        <v/>
      </c>
      <c r="G446" s="82"/>
      <c r="H446" s="83" t="str">
        <f aca="false">_xlfn.IFNA(VLOOKUP(G446,Table14543[],2,FALSE()),"")</f>
        <v/>
      </c>
      <c r="I446" s="84" t="str">
        <f aca="false">_xlfn.IFNA(VLOOKUP(G446,Table14543[],3,FALSE()),"")</f>
        <v/>
      </c>
      <c r="J446" s="83" t="str">
        <f aca="false">CONCATENATE("",G446,""," ",H446," ",I446)</f>
        <v>  </v>
      </c>
      <c r="K446" s="85"/>
      <c r="L446" s="86"/>
      <c r="M446" s="86"/>
      <c r="N446" s="86" t="n">
        <f aca="false">L446*M446</f>
        <v>0</v>
      </c>
      <c r="O446" s="86"/>
      <c r="P446" s="87" t="n">
        <f aca="false">(M446*L446)+O446</f>
        <v>0</v>
      </c>
      <c r="Q446" s="91"/>
    </row>
    <row r="447" customFormat="false" ht="14.25" hidden="false" customHeight="false" outlineLevel="0" collapsed="false">
      <c r="A447" s="77"/>
      <c r="B447" s="78"/>
      <c r="C447" s="79"/>
      <c r="D447" s="80" t="str">
        <f aca="false">_xlfn.IFNA(VLOOKUP(C447,'بيانات الآليات '!A:G,4,FALSE()),"")</f>
        <v/>
      </c>
      <c r="E447" s="81" t="str">
        <f aca="false">_xlfn.IFNA(VLOOKUP(C447,'بيانات الآليات '!A:G,2,FALSE()),"")</f>
        <v/>
      </c>
      <c r="F447" s="81" t="str">
        <f aca="false">_xlfn.IFNA(VLOOKUP(C447,'بيانات الآليات '!A:G,5,FALSE()),"")</f>
        <v/>
      </c>
      <c r="G447" s="82"/>
      <c r="H447" s="83" t="str">
        <f aca="false">_xlfn.IFNA(VLOOKUP(G447,Table14543[],2,FALSE()),"")</f>
        <v/>
      </c>
      <c r="I447" s="84" t="str">
        <f aca="false">_xlfn.IFNA(VLOOKUP(G447,Table14543[],3,FALSE()),"")</f>
        <v/>
      </c>
      <c r="J447" s="83" t="str">
        <f aca="false">CONCATENATE("",G447,""," ",H447," ",I447)</f>
        <v>  </v>
      </c>
      <c r="K447" s="85"/>
      <c r="L447" s="86"/>
      <c r="M447" s="86"/>
      <c r="N447" s="86" t="n">
        <f aca="false">L447*M447</f>
        <v>0</v>
      </c>
      <c r="O447" s="86"/>
      <c r="P447" s="87" t="n">
        <f aca="false">(M447*L447)+O447</f>
        <v>0</v>
      </c>
      <c r="Q447" s="91"/>
    </row>
    <row r="448" customFormat="false" ht="14.25" hidden="false" customHeight="false" outlineLevel="0" collapsed="false">
      <c r="A448" s="77"/>
      <c r="B448" s="78"/>
      <c r="C448" s="79"/>
      <c r="D448" s="80" t="str">
        <f aca="false">_xlfn.IFNA(VLOOKUP(C448,'بيانات الآليات '!A:G,4,FALSE()),"")</f>
        <v/>
      </c>
      <c r="E448" s="81" t="str">
        <f aca="false">_xlfn.IFNA(VLOOKUP(C448,'بيانات الآليات '!A:G,2,FALSE()),"")</f>
        <v/>
      </c>
      <c r="F448" s="81" t="str">
        <f aca="false">_xlfn.IFNA(VLOOKUP(C448,'بيانات الآليات '!A:G,5,FALSE()),"")</f>
        <v/>
      </c>
      <c r="G448" s="82"/>
      <c r="H448" s="83" t="str">
        <f aca="false">_xlfn.IFNA(VLOOKUP(G448,Table14543[],2,FALSE()),"")</f>
        <v/>
      </c>
      <c r="I448" s="84" t="str">
        <f aca="false">_xlfn.IFNA(VLOOKUP(G448,Table14543[],3,FALSE()),"")</f>
        <v/>
      </c>
      <c r="J448" s="83" t="str">
        <f aca="false">CONCATENATE("",G448,""," ",H448," ",I448)</f>
        <v>  </v>
      </c>
      <c r="K448" s="85"/>
      <c r="L448" s="86"/>
      <c r="M448" s="86"/>
      <c r="N448" s="86" t="n">
        <f aca="false">L448*M448</f>
        <v>0</v>
      </c>
      <c r="O448" s="86"/>
      <c r="P448" s="87" t="n">
        <f aca="false">(M448*L448)+O448</f>
        <v>0</v>
      </c>
      <c r="Q448" s="91"/>
    </row>
    <row r="449" customFormat="false" ht="14.25" hidden="false" customHeight="false" outlineLevel="0" collapsed="false">
      <c r="A449" s="77"/>
      <c r="B449" s="78"/>
      <c r="C449" s="79"/>
      <c r="D449" s="80" t="str">
        <f aca="false">_xlfn.IFNA(VLOOKUP(C449,'بيانات الآليات '!A:G,4,FALSE()),"")</f>
        <v/>
      </c>
      <c r="E449" s="81" t="str">
        <f aca="false">_xlfn.IFNA(VLOOKUP(C449,'بيانات الآليات '!A:G,2,FALSE()),"")</f>
        <v/>
      </c>
      <c r="F449" s="81" t="str">
        <f aca="false">_xlfn.IFNA(VLOOKUP(C449,'بيانات الآليات '!A:G,5,FALSE()),"")</f>
        <v/>
      </c>
      <c r="G449" s="82"/>
      <c r="H449" s="83" t="str">
        <f aca="false">_xlfn.IFNA(VLOOKUP(G449,Table14543[],2,FALSE()),"")</f>
        <v/>
      </c>
      <c r="I449" s="84" t="str">
        <f aca="false">_xlfn.IFNA(VLOOKUP(G449,Table14543[],3,FALSE()),"")</f>
        <v/>
      </c>
      <c r="J449" s="83" t="str">
        <f aca="false">CONCATENATE("",G449,""," ",H449," ",I449)</f>
        <v>  </v>
      </c>
      <c r="K449" s="85"/>
      <c r="L449" s="86"/>
      <c r="M449" s="86"/>
      <c r="N449" s="86" t="n">
        <f aca="false">L449*M449</f>
        <v>0</v>
      </c>
      <c r="O449" s="86"/>
      <c r="P449" s="87" t="n">
        <f aca="false">(M449*L449)+O449</f>
        <v>0</v>
      </c>
      <c r="Q449" s="91"/>
    </row>
    <row r="450" customFormat="false" ht="14.25" hidden="false" customHeight="false" outlineLevel="0" collapsed="false">
      <c r="A450" s="77"/>
      <c r="B450" s="78"/>
      <c r="C450" s="79"/>
      <c r="D450" s="80" t="str">
        <f aca="false">_xlfn.IFNA(VLOOKUP(C450,'بيانات الآليات '!A:G,4,FALSE()),"")</f>
        <v/>
      </c>
      <c r="E450" s="81" t="str">
        <f aca="false">_xlfn.IFNA(VLOOKUP(C450,'بيانات الآليات '!A:G,2,FALSE()),"")</f>
        <v/>
      </c>
      <c r="F450" s="81" t="str">
        <f aca="false">_xlfn.IFNA(VLOOKUP(C450,'بيانات الآليات '!A:G,5,FALSE()),"")</f>
        <v/>
      </c>
      <c r="G450" s="82"/>
      <c r="H450" s="83" t="str">
        <f aca="false">_xlfn.IFNA(VLOOKUP(G450,Table14543[],2,FALSE()),"")</f>
        <v/>
      </c>
      <c r="I450" s="84" t="str">
        <f aca="false">_xlfn.IFNA(VLOOKUP(G450,Table14543[],3,FALSE()),"")</f>
        <v/>
      </c>
      <c r="J450" s="83" t="str">
        <f aca="false">CONCATENATE("",G450,""," ",H450," ",I450)</f>
        <v>  </v>
      </c>
      <c r="K450" s="85"/>
      <c r="L450" s="86"/>
      <c r="M450" s="86"/>
      <c r="N450" s="86" t="n">
        <f aca="false">L450*M450</f>
        <v>0</v>
      </c>
      <c r="O450" s="86"/>
      <c r="P450" s="87" t="n">
        <f aca="false">(M450*L450)+O450</f>
        <v>0</v>
      </c>
      <c r="Q450" s="91"/>
    </row>
    <row r="451" customFormat="false" ht="14.25" hidden="false" customHeight="false" outlineLevel="0" collapsed="false">
      <c r="A451" s="77"/>
      <c r="B451" s="78"/>
      <c r="C451" s="79"/>
      <c r="D451" s="80" t="str">
        <f aca="false">_xlfn.IFNA(VLOOKUP(C451,'بيانات الآليات '!A:G,4,FALSE()),"")</f>
        <v/>
      </c>
      <c r="E451" s="81" t="str">
        <f aca="false">_xlfn.IFNA(VLOOKUP(C451,'بيانات الآليات '!A:G,2,FALSE()),"")</f>
        <v/>
      </c>
      <c r="F451" s="81" t="str">
        <f aca="false">_xlfn.IFNA(VLOOKUP(C451,'بيانات الآليات '!A:G,5,FALSE()),"")</f>
        <v/>
      </c>
      <c r="G451" s="82"/>
      <c r="H451" s="83" t="str">
        <f aca="false">_xlfn.IFNA(VLOOKUP(G451,Table14543[],2,FALSE()),"")</f>
        <v/>
      </c>
      <c r="I451" s="84" t="str">
        <f aca="false">_xlfn.IFNA(VLOOKUP(G451,Table14543[],3,FALSE()),"")</f>
        <v/>
      </c>
      <c r="J451" s="83" t="str">
        <f aca="false">CONCATENATE("",G451,""," ",H451," ",I451)</f>
        <v>  </v>
      </c>
      <c r="K451" s="85"/>
      <c r="L451" s="86"/>
      <c r="M451" s="86"/>
      <c r="N451" s="86" t="n">
        <f aca="false">L451*M451</f>
        <v>0</v>
      </c>
      <c r="O451" s="86"/>
      <c r="P451" s="87" t="n">
        <f aca="false">(M451*L451)+O451</f>
        <v>0</v>
      </c>
      <c r="Q451" s="91"/>
    </row>
    <row r="452" customFormat="false" ht="14.25" hidden="false" customHeight="false" outlineLevel="0" collapsed="false">
      <c r="A452" s="77"/>
      <c r="B452" s="78"/>
      <c r="C452" s="79"/>
      <c r="D452" s="80" t="str">
        <f aca="false">_xlfn.IFNA(VLOOKUP(C452,'بيانات الآليات '!A:G,4,FALSE()),"")</f>
        <v/>
      </c>
      <c r="E452" s="81" t="str">
        <f aca="false">_xlfn.IFNA(VLOOKUP(C452,'بيانات الآليات '!A:G,2,FALSE()),"")</f>
        <v/>
      </c>
      <c r="F452" s="81" t="str">
        <f aca="false">_xlfn.IFNA(VLOOKUP(C452,'بيانات الآليات '!A:G,5,FALSE()),"")</f>
        <v/>
      </c>
      <c r="G452" s="82"/>
      <c r="H452" s="83" t="str">
        <f aca="false">_xlfn.IFNA(VLOOKUP(G452,Table14543[],2,FALSE()),"")</f>
        <v/>
      </c>
      <c r="I452" s="84" t="str">
        <f aca="false">_xlfn.IFNA(VLOOKUP(G452,Table14543[],3,FALSE()),"")</f>
        <v/>
      </c>
      <c r="J452" s="83" t="str">
        <f aca="false">CONCATENATE("",G452,""," ",H452," ",I452)</f>
        <v>  </v>
      </c>
      <c r="K452" s="85"/>
      <c r="L452" s="86"/>
      <c r="M452" s="86"/>
      <c r="N452" s="86" t="n">
        <f aca="false">L452*M452</f>
        <v>0</v>
      </c>
      <c r="O452" s="86"/>
      <c r="P452" s="87" t="n">
        <f aca="false">(M452*L452)+O452</f>
        <v>0</v>
      </c>
      <c r="Q452" s="91"/>
    </row>
    <row r="453" customFormat="false" ht="14.25" hidden="false" customHeight="false" outlineLevel="0" collapsed="false">
      <c r="A453" s="77"/>
      <c r="B453" s="78"/>
      <c r="C453" s="79"/>
      <c r="D453" s="80" t="str">
        <f aca="false">_xlfn.IFNA(VLOOKUP(C453,'بيانات الآليات '!A:G,4,FALSE()),"")</f>
        <v/>
      </c>
      <c r="E453" s="81" t="str">
        <f aca="false">_xlfn.IFNA(VLOOKUP(C453,'بيانات الآليات '!A:G,2,FALSE()),"")</f>
        <v/>
      </c>
      <c r="F453" s="81" t="str">
        <f aca="false">_xlfn.IFNA(VLOOKUP(C453,'بيانات الآليات '!A:G,5,FALSE()),"")</f>
        <v/>
      </c>
      <c r="G453" s="82"/>
      <c r="H453" s="83" t="str">
        <f aca="false">_xlfn.IFNA(VLOOKUP(G453,Table14543[],2,FALSE()),"")</f>
        <v/>
      </c>
      <c r="I453" s="84" t="str">
        <f aca="false">_xlfn.IFNA(VLOOKUP(G453,Table14543[],3,FALSE()),"")</f>
        <v/>
      </c>
      <c r="J453" s="83" t="str">
        <f aca="false">CONCATENATE("",G453,""," ",H453," ",I453)</f>
        <v>  </v>
      </c>
      <c r="K453" s="85"/>
      <c r="L453" s="86"/>
      <c r="M453" s="86"/>
      <c r="N453" s="86" t="n">
        <f aca="false">L453*M453</f>
        <v>0</v>
      </c>
      <c r="O453" s="86"/>
      <c r="P453" s="87" t="n">
        <f aca="false">(M453*L453)+O453</f>
        <v>0</v>
      </c>
      <c r="Q453" s="91"/>
    </row>
    <row r="454" customFormat="false" ht="14.25" hidden="false" customHeight="false" outlineLevel="0" collapsed="false">
      <c r="A454" s="77"/>
      <c r="B454" s="78"/>
      <c r="C454" s="79"/>
      <c r="D454" s="80" t="str">
        <f aca="false">_xlfn.IFNA(VLOOKUP(C454,'بيانات الآليات '!A:G,4,FALSE()),"")</f>
        <v/>
      </c>
      <c r="E454" s="81" t="str">
        <f aca="false">_xlfn.IFNA(VLOOKUP(C454,'بيانات الآليات '!A:G,2,FALSE()),"")</f>
        <v/>
      </c>
      <c r="F454" s="81" t="str">
        <f aca="false">_xlfn.IFNA(VLOOKUP(C454,'بيانات الآليات '!A:G,5,FALSE()),"")</f>
        <v/>
      </c>
      <c r="G454" s="82"/>
      <c r="H454" s="83" t="str">
        <f aca="false">_xlfn.IFNA(VLOOKUP(G454,Table14543[],2,FALSE()),"")</f>
        <v/>
      </c>
      <c r="I454" s="84" t="str">
        <f aca="false">_xlfn.IFNA(VLOOKUP(G454,Table14543[],3,FALSE()),"")</f>
        <v/>
      </c>
      <c r="J454" s="83" t="str">
        <f aca="false">CONCATENATE("",G454,""," ",H454," ",I454)</f>
        <v>  </v>
      </c>
      <c r="K454" s="85"/>
      <c r="L454" s="86"/>
      <c r="M454" s="86"/>
      <c r="N454" s="86" t="n">
        <f aca="false">L454*M454</f>
        <v>0</v>
      </c>
      <c r="O454" s="86"/>
      <c r="P454" s="87" t="n">
        <f aca="false">(M454*L454)+O454</f>
        <v>0</v>
      </c>
      <c r="Q454" s="91"/>
    </row>
    <row r="455" customFormat="false" ht="14.25" hidden="false" customHeight="false" outlineLevel="0" collapsed="false">
      <c r="A455" s="77"/>
      <c r="B455" s="78"/>
      <c r="C455" s="79"/>
      <c r="D455" s="80" t="str">
        <f aca="false">_xlfn.IFNA(VLOOKUP(C455,'بيانات الآليات '!A:G,4,FALSE()),"")</f>
        <v/>
      </c>
      <c r="E455" s="81" t="str">
        <f aca="false">_xlfn.IFNA(VLOOKUP(C455,'بيانات الآليات '!A:G,2,FALSE()),"")</f>
        <v/>
      </c>
      <c r="F455" s="81" t="str">
        <f aca="false">_xlfn.IFNA(VLOOKUP(C455,'بيانات الآليات '!A:G,5,FALSE()),"")</f>
        <v/>
      </c>
      <c r="G455" s="82"/>
      <c r="H455" s="83" t="str">
        <f aca="false">_xlfn.IFNA(VLOOKUP(G455,Table14543[],2,FALSE()),"")</f>
        <v/>
      </c>
      <c r="I455" s="84" t="str">
        <f aca="false">_xlfn.IFNA(VLOOKUP(G455,Table14543[],3,FALSE()),"")</f>
        <v/>
      </c>
      <c r="J455" s="83" t="str">
        <f aca="false">CONCATENATE("",G455,""," ",H455," ",I455)</f>
        <v>  </v>
      </c>
      <c r="K455" s="85"/>
      <c r="L455" s="86"/>
      <c r="M455" s="86"/>
      <c r="N455" s="86" t="n">
        <f aca="false">L455*M455</f>
        <v>0</v>
      </c>
      <c r="O455" s="86"/>
      <c r="P455" s="87" t="n">
        <f aca="false">(M455*L455)+O455</f>
        <v>0</v>
      </c>
      <c r="Q455" s="91"/>
    </row>
    <row r="456" customFormat="false" ht="14.25" hidden="false" customHeight="false" outlineLevel="0" collapsed="false">
      <c r="A456" s="77"/>
      <c r="B456" s="78"/>
      <c r="C456" s="79"/>
      <c r="D456" s="80" t="str">
        <f aca="false">_xlfn.IFNA(VLOOKUP(C456,'بيانات الآليات '!A:G,4,FALSE()),"")</f>
        <v/>
      </c>
      <c r="E456" s="81" t="str">
        <f aca="false">_xlfn.IFNA(VLOOKUP(C456,'بيانات الآليات '!A:G,2,FALSE()),"")</f>
        <v/>
      </c>
      <c r="F456" s="81" t="str">
        <f aca="false">_xlfn.IFNA(VLOOKUP(C456,'بيانات الآليات '!A:G,5,FALSE()),"")</f>
        <v/>
      </c>
      <c r="G456" s="82"/>
      <c r="H456" s="83" t="str">
        <f aca="false">_xlfn.IFNA(VLOOKUP(G456,Table14543[],2,FALSE()),"")</f>
        <v/>
      </c>
      <c r="I456" s="84" t="str">
        <f aca="false">_xlfn.IFNA(VLOOKUP(G456,Table14543[],3,FALSE()),"")</f>
        <v/>
      </c>
      <c r="J456" s="83" t="str">
        <f aca="false">CONCATENATE("",G456,""," ",H456," ",I456)</f>
        <v>  </v>
      </c>
      <c r="K456" s="85"/>
      <c r="L456" s="86"/>
      <c r="M456" s="86"/>
      <c r="N456" s="86" t="n">
        <f aca="false">L456*M456</f>
        <v>0</v>
      </c>
      <c r="O456" s="86"/>
      <c r="P456" s="87" t="n">
        <f aca="false">(M456*L456)+O456</f>
        <v>0</v>
      </c>
      <c r="Q456" s="91"/>
    </row>
    <row r="457" customFormat="false" ht="14.25" hidden="false" customHeight="false" outlineLevel="0" collapsed="false">
      <c r="A457" s="77"/>
      <c r="B457" s="78"/>
      <c r="C457" s="79"/>
      <c r="D457" s="80" t="str">
        <f aca="false">_xlfn.IFNA(VLOOKUP(C457,'بيانات الآليات '!A:G,4,FALSE()),"")</f>
        <v/>
      </c>
      <c r="E457" s="81" t="str">
        <f aca="false">_xlfn.IFNA(VLOOKUP(C457,'بيانات الآليات '!A:G,2,FALSE()),"")</f>
        <v/>
      </c>
      <c r="F457" s="81" t="str">
        <f aca="false">_xlfn.IFNA(VLOOKUP(C457,'بيانات الآليات '!A:G,5,FALSE()),"")</f>
        <v/>
      </c>
      <c r="G457" s="82"/>
      <c r="H457" s="83" t="str">
        <f aca="false">_xlfn.IFNA(VLOOKUP(G457,Table14543[],2,FALSE()),"")</f>
        <v/>
      </c>
      <c r="I457" s="84" t="str">
        <f aca="false">_xlfn.IFNA(VLOOKUP(G457,Table14543[],3,FALSE()),"")</f>
        <v/>
      </c>
      <c r="J457" s="83" t="str">
        <f aca="false">CONCATENATE("",G457,""," ",H457," ",I457)</f>
        <v>  </v>
      </c>
      <c r="K457" s="85"/>
      <c r="L457" s="86"/>
      <c r="M457" s="86"/>
      <c r="N457" s="86" t="n">
        <f aca="false">L457*M457</f>
        <v>0</v>
      </c>
      <c r="O457" s="86"/>
      <c r="P457" s="87" t="n">
        <f aca="false">(M457*L457)+O457</f>
        <v>0</v>
      </c>
      <c r="Q457" s="91"/>
    </row>
    <row r="458" customFormat="false" ht="14.25" hidden="false" customHeight="false" outlineLevel="0" collapsed="false">
      <c r="A458" s="77"/>
      <c r="B458" s="78"/>
      <c r="C458" s="79"/>
      <c r="D458" s="80" t="str">
        <f aca="false">_xlfn.IFNA(VLOOKUP(C458,'بيانات الآليات '!A:G,4,FALSE()),"")</f>
        <v/>
      </c>
      <c r="E458" s="81" t="str">
        <f aca="false">_xlfn.IFNA(VLOOKUP(C458,'بيانات الآليات '!A:G,2,FALSE()),"")</f>
        <v/>
      </c>
      <c r="F458" s="81" t="str">
        <f aca="false">_xlfn.IFNA(VLOOKUP(C458,'بيانات الآليات '!A:G,5,FALSE()),"")</f>
        <v/>
      </c>
      <c r="G458" s="82"/>
      <c r="H458" s="83" t="str">
        <f aca="false">_xlfn.IFNA(VLOOKUP(G458,Table14543[],2,FALSE()),"")</f>
        <v/>
      </c>
      <c r="I458" s="84" t="str">
        <f aca="false">_xlfn.IFNA(VLOOKUP(G458,Table14543[],3,FALSE()),"")</f>
        <v/>
      </c>
      <c r="J458" s="83" t="str">
        <f aca="false">CONCATENATE("",G458,""," ",H458," ",I458)</f>
        <v>  </v>
      </c>
      <c r="K458" s="85"/>
      <c r="L458" s="86"/>
      <c r="M458" s="86"/>
      <c r="N458" s="86" t="n">
        <f aca="false">L458*M458</f>
        <v>0</v>
      </c>
      <c r="O458" s="86"/>
      <c r="P458" s="87" t="n">
        <f aca="false">(M458*L458)+O458</f>
        <v>0</v>
      </c>
      <c r="Q458" s="91"/>
    </row>
    <row r="459" customFormat="false" ht="14.25" hidden="false" customHeight="false" outlineLevel="0" collapsed="false">
      <c r="A459" s="77"/>
      <c r="B459" s="78"/>
      <c r="C459" s="79"/>
      <c r="D459" s="80" t="str">
        <f aca="false">_xlfn.IFNA(VLOOKUP(C459,'بيانات الآليات '!A:G,4,FALSE()),"")</f>
        <v/>
      </c>
      <c r="E459" s="81" t="str">
        <f aca="false">_xlfn.IFNA(VLOOKUP(C459,'بيانات الآليات '!A:G,2,FALSE()),"")</f>
        <v/>
      </c>
      <c r="F459" s="81" t="str">
        <f aca="false">_xlfn.IFNA(VLOOKUP(C459,'بيانات الآليات '!A:G,5,FALSE()),"")</f>
        <v/>
      </c>
      <c r="G459" s="82"/>
      <c r="H459" s="83" t="str">
        <f aca="false">_xlfn.IFNA(VLOOKUP(G459,Table14543[],2,FALSE()),"")</f>
        <v/>
      </c>
      <c r="I459" s="84" t="str">
        <f aca="false">_xlfn.IFNA(VLOOKUP(G459,Table14543[],3,FALSE()),"")</f>
        <v/>
      </c>
      <c r="J459" s="83" t="str">
        <f aca="false">CONCATENATE("",G459,""," ",H459," ",I459)</f>
        <v>  </v>
      </c>
      <c r="K459" s="85"/>
      <c r="L459" s="86"/>
      <c r="M459" s="86"/>
      <c r="N459" s="86" t="n">
        <f aca="false">L459*M459</f>
        <v>0</v>
      </c>
      <c r="O459" s="86"/>
      <c r="P459" s="87" t="n">
        <f aca="false">(M459*L459)+O459</f>
        <v>0</v>
      </c>
      <c r="Q459" s="91"/>
    </row>
    <row r="460" customFormat="false" ht="14.25" hidden="false" customHeight="false" outlineLevel="0" collapsed="false">
      <c r="A460" s="77"/>
      <c r="B460" s="78"/>
      <c r="C460" s="79"/>
      <c r="D460" s="80" t="str">
        <f aca="false">_xlfn.IFNA(VLOOKUP(C460,'بيانات الآليات '!A:G,4,FALSE()),"")</f>
        <v/>
      </c>
      <c r="E460" s="81" t="str">
        <f aca="false">_xlfn.IFNA(VLOOKUP(C460,'بيانات الآليات '!A:G,2,FALSE()),"")</f>
        <v/>
      </c>
      <c r="F460" s="81" t="str">
        <f aca="false">_xlfn.IFNA(VLOOKUP(C460,'بيانات الآليات '!A:G,5,FALSE()),"")</f>
        <v/>
      </c>
      <c r="G460" s="82"/>
      <c r="H460" s="83" t="str">
        <f aca="false">_xlfn.IFNA(VLOOKUP(G460,Table14543[],2,FALSE()),"")</f>
        <v/>
      </c>
      <c r="I460" s="84" t="str">
        <f aca="false">_xlfn.IFNA(VLOOKUP(G460,Table14543[],3,FALSE()),"")</f>
        <v/>
      </c>
      <c r="J460" s="83" t="str">
        <f aca="false">CONCATENATE("",G460,""," ",H460," ",I460)</f>
        <v>  </v>
      </c>
      <c r="K460" s="85"/>
      <c r="L460" s="86"/>
      <c r="M460" s="86"/>
      <c r="N460" s="86" t="n">
        <f aca="false">L460*M460</f>
        <v>0</v>
      </c>
      <c r="O460" s="86"/>
      <c r="P460" s="87" t="n">
        <f aca="false">(M460*L460)+O460</f>
        <v>0</v>
      </c>
      <c r="Q460" s="91"/>
    </row>
    <row r="461" customFormat="false" ht="14.25" hidden="false" customHeight="false" outlineLevel="0" collapsed="false">
      <c r="A461" s="77"/>
      <c r="B461" s="78"/>
      <c r="C461" s="79"/>
      <c r="D461" s="80" t="str">
        <f aca="false">_xlfn.IFNA(VLOOKUP(C461,'بيانات الآليات '!A:G,4,FALSE()),"")</f>
        <v/>
      </c>
      <c r="E461" s="81" t="str">
        <f aca="false">_xlfn.IFNA(VLOOKUP(C461,'بيانات الآليات '!A:G,2,FALSE()),"")</f>
        <v/>
      </c>
      <c r="F461" s="81" t="str">
        <f aca="false">_xlfn.IFNA(VLOOKUP(C461,'بيانات الآليات '!A:G,5,FALSE()),"")</f>
        <v/>
      </c>
      <c r="G461" s="82"/>
      <c r="H461" s="83" t="str">
        <f aca="false">_xlfn.IFNA(VLOOKUP(G461,Table14543[],2,FALSE()),"")</f>
        <v/>
      </c>
      <c r="I461" s="84" t="str">
        <f aca="false">_xlfn.IFNA(VLOOKUP(G461,Table14543[],3,FALSE()),"")</f>
        <v/>
      </c>
      <c r="J461" s="83" t="str">
        <f aca="false">CONCATENATE("",G461,""," ",H461," ",I461)</f>
        <v>  </v>
      </c>
      <c r="K461" s="85"/>
      <c r="L461" s="86"/>
      <c r="M461" s="86"/>
      <c r="N461" s="86" t="n">
        <f aca="false">L461*M461</f>
        <v>0</v>
      </c>
      <c r="O461" s="86"/>
      <c r="P461" s="87" t="n">
        <f aca="false">(M461*L461)+O461</f>
        <v>0</v>
      </c>
      <c r="Q461" s="91"/>
    </row>
    <row r="462" customFormat="false" ht="14.25" hidden="false" customHeight="false" outlineLevel="0" collapsed="false">
      <c r="A462" s="77"/>
      <c r="B462" s="78"/>
      <c r="C462" s="79"/>
      <c r="D462" s="80" t="str">
        <f aca="false">_xlfn.IFNA(VLOOKUP(C462,'بيانات الآليات '!A:G,4,FALSE()),"")</f>
        <v/>
      </c>
      <c r="E462" s="81" t="str">
        <f aca="false">_xlfn.IFNA(VLOOKUP(C462,'بيانات الآليات '!A:G,2,FALSE()),"")</f>
        <v/>
      </c>
      <c r="F462" s="81" t="str">
        <f aca="false">_xlfn.IFNA(VLOOKUP(C462,'بيانات الآليات '!A:G,5,FALSE()),"")</f>
        <v/>
      </c>
      <c r="G462" s="82"/>
      <c r="H462" s="83" t="str">
        <f aca="false">_xlfn.IFNA(VLOOKUP(G462,Table14543[],2,FALSE()),"")</f>
        <v/>
      </c>
      <c r="I462" s="84" t="str">
        <f aca="false">_xlfn.IFNA(VLOOKUP(G462,Table14543[],3,FALSE()),"")</f>
        <v/>
      </c>
      <c r="J462" s="83" t="str">
        <f aca="false">CONCATENATE("",G462,""," ",H462," ",I462)</f>
        <v>  </v>
      </c>
      <c r="K462" s="85"/>
      <c r="L462" s="86"/>
      <c r="M462" s="86"/>
      <c r="N462" s="86" t="n">
        <f aca="false">L462*M462</f>
        <v>0</v>
      </c>
      <c r="O462" s="86"/>
      <c r="P462" s="87" t="n">
        <f aca="false">(M462*L462)+O462</f>
        <v>0</v>
      </c>
      <c r="Q462" s="91"/>
    </row>
    <row r="463" customFormat="false" ht="14.25" hidden="false" customHeight="false" outlineLevel="0" collapsed="false">
      <c r="A463" s="77"/>
      <c r="B463" s="78"/>
      <c r="C463" s="79"/>
      <c r="D463" s="80" t="str">
        <f aca="false">_xlfn.IFNA(VLOOKUP(C463,'بيانات الآليات '!A:G,4,FALSE()),"")</f>
        <v/>
      </c>
      <c r="E463" s="81" t="str">
        <f aca="false">_xlfn.IFNA(VLOOKUP(C463,'بيانات الآليات '!A:G,2,FALSE()),"")</f>
        <v/>
      </c>
      <c r="F463" s="81" t="str">
        <f aca="false">_xlfn.IFNA(VLOOKUP(C463,'بيانات الآليات '!A:G,5,FALSE()),"")</f>
        <v/>
      </c>
      <c r="G463" s="82"/>
      <c r="H463" s="83" t="str">
        <f aca="false">_xlfn.IFNA(VLOOKUP(G463,Table14543[],2,FALSE()),"")</f>
        <v/>
      </c>
      <c r="I463" s="84" t="str">
        <f aca="false">_xlfn.IFNA(VLOOKUP(G463,Table14543[],3,FALSE()),"")</f>
        <v/>
      </c>
      <c r="J463" s="83" t="str">
        <f aca="false">CONCATENATE("",G463,""," ",H463," ",I463)</f>
        <v>  </v>
      </c>
      <c r="K463" s="85"/>
      <c r="L463" s="86"/>
      <c r="M463" s="86"/>
      <c r="N463" s="86" t="n">
        <f aca="false">L463*M463</f>
        <v>0</v>
      </c>
      <c r="O463" s="86"/>
      <c r="P463" s="87" t="n">
        <f aca="false">(M463*L463)+O463</f>
        <v>0</v>
      </c>
      <c r="Q463" s="91"/>
    </row>
    <row r="464" customFormat="false" ht="14.25" hidden="false" customHeight="false" outlineLevel="0" collapsed="false">
      <c r="A464" s="77"/>
      <c r="B464" s="78"/>
      <c r="C464" s="79"/>
      <c r="D464" s="80" t="str">
        <f aca="false">_xlfn.IFNA(VLOOKUP(C464,'بيانات الآليات '!A:G,4,FALSE()),"")</f>
        <v/>
      </c>
      <c r="E464" s="81" t="str">
        <f aca="false">_xlfn.IFNA(VLOOKUP(C464,'بيانات الآليات '!A:G,2,FALSE()),"")</f>
        <v/>
      </c>
      <c r="F464" s="81" t="str">
        <f aca="false">_xlfn.IFNA(VLOOKUP(C464,'بيانات الآليات '!A:G,5,FALSE()),"")</f>
        <v/>
      </c>
      <c r="G464" s="82"/>
      <c r="H464" s="83" t="str">
        <f aca="false">_xlfn.IFNA(VLOOKUP(G464,Table14543[],2,FALSE()),"")</f>
        <v/>
      </c>
      <c r="I464" s="84" t="str">
        <f aca="false">_xlfn.IFNA(VLOOKUP(G464,Table14543[],3,FALSE()),"")</f>
        <v/>
      </c>
      <c r="J464" s="83" t="str">
        <f aca="false">CONCATENATE("",G464,""," ",H464," ",I464)</f>
        <v>  </v>
      </c>
      <c r="K464" s="85"/>
      <c r="L464" s="86"/>
      <c r="M464" s="86"/>
      <c r="N464" s="86" t="n">
        <f aca="false">L464*M464</f>
        <v>0</v>
      </c>
      <c r="O464" s="86"/>
      <c r="P464" s="87" t="n">
        <f aca="false">(M464*L464)+O464</f>
        <v>0</v>
      </c>
      <c r="Q464" s="91"/>
    </row>
    <row r="465" customFormat="false" ht="14.25" hidden="false" customHeight="false" outlineLevel="0" collapsed="false">
      <c r="A465" s="77"/>
      <c r="B465" s="78"/>
      <c r="C465" s="79"/>
      <c r="D465" s="80" t="str">
        <f aca="false">_xlfn.IFNA(VLOOKUP(C465,'بيانات الآليات '!A:G,4,FALSE()),"")</f>
        <v/>
      </c>
      <c r="E465" s="81" t="str">
        <f aca="false">_xlfn.IFNA(VLOOKUP(C465,'بيانات الآليات '!A:G,2,FALSE()),"")</f>
        <v/>
      </c>
      <c r="F465" s="81" t="str">
        <f aca="false">_xlfn.IFNA(VLOOKUP(C465,'بيانات الآليات '!A:G,5,FALSE()),"")</f>
        <v/>
      </c>
      <c r="G465" s="82"/>
      <c r="H465" s="83" t="str">
        <f aca="false">_xlfn.IFNA(VLOOKUP(G465,Table14543[],2,FALSE()),"")</f>
        <v/>
      </c>
      <c r="I465" s="84" t="str">
        <f aca="false">_xlfn.IFNA(VLOOKUP(G465,Table14543[],3,FALSE()),"")</f>
        <v/>
      </c>
      <c r="J465" s="83" t="str">
        <f aca="false">CONCATENATE("",G465,""," ",H465," ",I465)</f>
        <v>  </v>
      </c>
      <c r="K465" s="85"/>
      <c r="L465" s="86"/>
      <c r="M465" s="86"/>
      <c r="N465" s="86" t="n">
        <f aca="false">L465*M465</f>
        <v>0</v>
      </c>
      <c r="O465" s="86"/>
      <c r="P465" s="87" t="n">
        <f aca="false">(M465*L465)+O465</f>
        <v>0</v>
      </c>
      <c r="Q465" s="91"/>
    </row>
    <row r="466" customFormat="false" ht="14.25" hidden="false" customHeight="false" outlineLevel="0" collapsed="false">
      <c r="A466" s="77"/>
      <c r="B466" s="78"/>
      <c r="C466" s="79"/>
      <c r="D466" s="80" t="str">
        <f aca="false">_xlfn.IFNA(VLOOKUP(C466,'بيانات الآليات '!A:G,4,FALSE()),"")</f>
        <v/>
      </c>
      <c r="E466" s="81" t="str">
        <f aca="false">_xlfn.IFNA(VLOOKUP(C466,'بيانات الآليات '!A:G,2,FALSE()),"")</f>
        <v/>
      </c>
      <c r="F466" s="81" t="str">
        <f aca="false">_xlfn.IFNA(VLOOKUP(C466,'بيانات الآليات '!A:G,5,FALSE()),"")</f>
        <v/>
      </c>
      <c r="G466" s="82"/>
      <c r="H466" s="83" t="str">
        <f aca="false">_xlfn.IFNA(VLOOKUP(G466,Table14543[],2,FALSE()),"")</f>
        <v/>
      </c>
      <c r="I466" s="84" t="str">
        <f aca="false">_xlfn.IFNA(VLOOKUP(G466,Table14543[],3,FALSE()),"")</f>
        <v/>
      </c>
      <c r="J466" s="83" t="str">
        <f aca="false">CONCATENATE("",G466,""," ",H466," ",I466)</f>
        <v>  </v>
      </c>
      <c r="K466" s="85"/>
      <c r="L466" s="86"/>
      <c r="M466" s="86"/>
      <c r="N466" s="86" t="n">
        <f aca="false">L466*M466</f>
        <v>0</v>
      </c>
      <c r="O466" s="86"/>
      <c r="P466" s="87" t="n">
        <f aca="false">(M466*L466)+O466</f>
        <v>0</v>
      </c>
      <c r="Q466" s="91"/>
    </row>
    <row r="467" customFormat="false" ht="14.25" hidden="false" customHeight="false" outlineLevel="0" collapsed="false">
      <c r="A467" s="77"/>
      <c r="B467" s="78"/>
      <c r="C467" s="79"/>
      <c r="D467" s="80" t="str">
        <f aca="false">_xlfn.IFNA(VLOOKUP(C467,'بيانات الآليات '!A:G,4,FALSE()),"")</f>
        <v/>
      </c>
      <c r="E467" s="81" t="str">
        <f aca="false">_xlfn.IFNA(VLOOKUP(C467,'بيانات الآليات '!A:G,2,FALSE()),"")</f>
        <v/>
      </c>
      <c r="F467" s="81" t="str">
        <f aca="false">_xlfn.IFNA(VLOOKUP(C467,'بيانات الآليات '!A:G,5,FALSE()),"")</f>
        <v/>
      </c>
      <c r="G467" s="82"/>
      <c r="H467" s="83" t="str">
        <f aca="false">_xlfn.IFNA(VLOOKUP(G467,Table14543[],2,FALSE()),"")</f>
        <v/>
      </c>
      <c r="I467" s="84" t="str">
        <f aca="false">_xlfn.IFNA(VLOOKUP(G467,Table14543[],3,FALSE()),"")</f>
        <v/>
      </c>
      <c r="J467" s="83" t="str">
        <f aca="false">CONCATENATE("",G467,""," ",H467," ",I467)</f>
        <v>  </v>
      </c>
      <c r="K467" s="85"/>
      <c r="L467" s="86"/>
      <c r="M467" s="86"/>
      <c r="N467" s="86" t="n">
        <f aca="false">L467*M467</f>
        <v>0</v>
      </c>
      <c r="O467" s="86"/>
      <c r="P467" s="87" t="n">
        <f aca="false">(M467*L467)+O467</f>
        <v>0</v>
      </c>
      <c r="Q467" s="91"/>
    </row>
    <row r="468" customFormat="false" ht="14.25" hidden="false" customHeight="false" outlineLevel="0" collapsed="false">
      <c r="A468" s="77"/>
      <c r="B468" s="78"/>
      <c r="C468" s="79"/>
      <c r="D468" s="80" t="str">
        <f aca="false">_xlfn.IFNA(VLOOKUP(C468,'بيانات الآليات '!A:G,4,FALSE()),"")</f>
        <v/>
      </c>
      <c r="E468" s="81" t="str">
        <f aca="false">_xlfn.IFNA(VLOOKUP(C468,'بيانات الآليات '!A:G,2,FALSE()),"")</f>
        <v/>
      </c>
      <c r="F468" s="81" t="str">
        <f aca="false">_xlfn.IFNA(VLOOKUP(C468,'بيانات الآليات '!A:G,5,FALSE()),"")</f>
        <v/>
      </c>
      <c r="G468" s="82"/>
      <c r="H468" s="83" t="str">
        <f aca="false">_xlfn.IFNA(VLOOKUP(G468,Table14543[],2,FALSE()),"")</f>
        <v/>
      </c>
      <c r="I468" s="84" t="str">
        <f aca="false">_xlfn.IFNA(VLOOKUP(G468,Table14543[],3,FALSE()),"")</f>
        <v/>
      </c>
      <c r="J468" s="83" t="str">
        <f aca="false">CONCATENATE("",G468,""," ",H468," ",I468)</f>
        <v>  </v>
      </c>
      <c r="K468" s="85"/>
      <c r="L468" s="86"/>
      <c r="M468" s="86"/>
      <c r="N468" s="86" t="n">
        <f aca="false">L468*M468</f>
        <v>0</v>
      </c>
      <c r="O468" s="86"/>
      <c r="P468" s="87" t="n">
        <f aca="false">(M468*L468)+O468</f>
        <v>0</v>
      </c>
      <c r="Q468" s="91"/>
    </row>
    <row r="469" customFormat="false" ht="14.25" hidden="false" customHeight="false" outlineLevel="0" collapsed="false">
      <c r="A469" s="77"/>
      <c r="B469" s="78"/>
      <c r="C469" s="79"/>
      <c r="D469" s="80" t="str">
        <f aca="false">_xlfn.IFNA(VLOOKUP(C469,'بيانات الآليات '!A:G,4,FALSE()),"")</f>
        <v/>
      </c>
      <c r="E469" s="81" t="str">
        <f aca="false">_xlfn.IFNA(VLOOKUP(C469,'بيانات الآليات '!A:G,2,FALSE()),"")</f>
        <v/>
      </c>
      <c r="F469" s="81" t="str">
        <f aca="false">_xlfn.IFNA(VLOOKUP(C469,'بيانات الآليات '!A:G,5,FALSE()),"")</f>
        <v/>
      </c>
      <c r="G469" s="82"/>
      <c r="H469" s="83" t="str">
        <f aca="false">_xlfn.IFNA(VLOOKUP(G469,Table14543[],2,FALSE()),"")</f>
        <v/>
      </c>
      <c r="I469" s="84" t="str">
        <f aca="false">_xlfn.IFNA(VLOOKUP(G469,Table14543[],3,FALSE()),"")</f>
        <v/>
      </c>
      <c r="J469" s="83" t="str">
        <f aca="false">CONCATENATE("",G469,""," ",H469," ",I469)</f>
        <v>  </v>
      </c>
      <c r="K469" s="85"/>
      <c r="L469" s="86"/>
      <c r="M469" s="86"/>
      <c r="N469" s="86" t="n">
        <f aca="false">L469*M469</f>
        <v>0</v>
      </c>
      <c r="O469" s="86"/>
      <c r="P469" s="87" t="n">
        <f aca="false">(M469*L469)+O469</f>
        <v>0</v>
      </c>
      <c r="Q469" s="91"/>
    </row>
    <row r="470" customFormat="false" ht="14.25" hidden="false" customHeight="false" outlineLevel="0" collapsed="false">
      <c r="A470" s="77"/>
      <c r="B470" s="78"/>
      <c r="C470" s="79"/>
      <c r="D470" s="80" t="str">
        <f aca="false">_xlfn.IFNA(VLOOKUP(C470,'بيانات الآليات '!A:G,4,FALSE()),"")</f>
        <v/>
      </c>
      <c r="E470" s="81" t="str">
        <f aca="false">_xlfn.IFNA(VLOOKUP(C470,'بيانات الآليات '!A:G,2,FALSE()),"")</f>
        <v/>
      </c>
      <c r="F470" s="81" t="str">
        <f aca="false">_xlfn.IFNA(VLOOKUP(C470,'بيانات الآليات '!A:G,5,FALSE()),"")</f>
        <v/>
      </c>
      <c r="G470" s="82"/>
      <c r="H470" s="83" t="str">
        <f aca="false">_xlfn.IFNA(VLOOKUP(G470,Table14543[],2,FALSE()),"")</f>
        <v/>
      </c>
      <c r="I470" s="84" t="str">
        <f aca="false">_xlfn.IFNA(VLOOKUP(G470,Table14543[],3,FALSE()),"")</f>
        <v/>
      </c>
      <c r="J470" s="83" t="str">
        <f aca="false">CONCATENATE("",G470,""," ",H470," ",I470)</f>
        <v>  </v>
      </c>
      <c r="K470" s="85"/>
      <c r="L470" s="86"/>
      <c r="M470" s="86"/>
      <c r="N470" s="86" t="n">
        <f aca="false">L470*M470</f>
        <v>0</v>
      </c>
      <c r="O470" s="86"/>
      <c r="P470" s="87" t="n">
        <f aca="false">(M470*L470)+O470</f>
        <v>0</v>
      </c>
      <c r="Q470" s="91"/>
    </row>
    <row r="471" customFormat="false" ht="14.25" hidden="false" customHeight="false" outlineLevel="0" collapsed="false">
      <c r="A471" s="77"/>
      <c r="B471" s="78"/>
      <c r="C471" s="79"/>
      <c r="D471" s="80" t="str">
        <f aca="false">_xlfn.IFNA(VLOOKUP(C471,'بيانات الآليات '!A:G,4,FALSE()),"")</f>
        <v/>
      </c>
      <c r="E471" s="81" t="str">
        <f aca="false">_xlfn.IFNA(VLOOKUP(C471,'بيانات الآليات '!A:G,2,FALSE()),"")</f>
        <v/>
      </c>
      <c r="F471" s="81" t="str">
        <f aca="false">_xlfn.IFNA(VLOOKUP(C471,'بيانات الآليات '!A:G,5,FALSE()),"")</f>
        <v/>
      </c>
      <c r="G471" s="82"/>
      <c r="H471" s="83" t="str">
        <f aca="false">_xlfn.IFNA(VLOOKUP(G471,Table14543[],2,FALSE()),"")</f>
        <v/>
      </c>
      <c r="I471" s="84" t="str">
        <f aca="false">_xlfn.IFNA(VLOOKUP(G471,Table14543[],3,FALSE()),"")</f>
        <v/>
      </c>
      <c r="J471" s="83" t="str">
        <f aca="false">CONCATENATE("",G471,""," ",H471," ",I471)</f>
        <v>  </v>
      </c>
      <c r="K471" s="85"/>
      <c r="L471" s="86"/>
      <c r="M471" s="86"/>
      <c r="N471" s="86" t="n">
        <f aca="false">L471*M471</f>
        <v>0</v>
      </c>
      <c r="O471" s="86"/>
      <c r="P471" s="87" t="n">
        <f aca="false">(M471*L471)+O471</f>
        <v>0</v>
      </c>
      <c r="Q471" s="91"/>
    </row>
    <row r="472" customFormat="false" ht="14.25" hidden="false" customHeight="false" outlineLevel="0" collapsed="false">
      <c r="A472" s="77"/>
      <c r="B472" s="78"/>
      <c r="C472" s="79"/>
      <c r="D472" s="80" t="str">
        <f aca="false">_xlfn.IFNA(VLOOKUP(C472,'بيانات الآليات '!A:G,4,FALSE()),"")</f>
        <v/>
      </c>
      <c r="E472" s="81" t="str">
        <f aca="false">_xlfn.IFNA(VLOOKUP(C472,'بيانات الآليات '!A:G,2,FALSE()),"")</f>
        <v/>
      </c>
      <c r="F472" s="81" t="str">
        <f aca="false">_xlfn.IFNA(VLOOKUP(C472,'بيانات الآليات '!A:G,5,FALSE()),"")</f>
        <v/>
      </c>
      <c r="G472" s="82"/>
      <c r="H472" s="83" t="str">
        <f aca="false">_xlfn.IFNA(VLOOKUP(G472,Table14543[],2,FALSE()),"")</f>
        <v/>
      </c>
      <c r="I472" s="84" t="str">
        <f aca="false">_xlfn.IFNA(VLOOKUP(G472,Table14543[],3,FALSE()),"")</f>
        <v/>
      </c>
      <c r="J472" s="83" t="str">
        <f aca="false">CONCATENATE("",G472,""," ",H472," ",I472)</f>
        <v>  </v>
      </c>
      <c r="K472" s="85"/>
      <c r="L472" s="86"/>
      <c r="M472" s="86"/>
      <c r="N472" s="86" t="n">
        <f aca="false">L472*M472</f>
        <v>0</v>
      </c>
      <c r="O472" s="86"/>
      <c r="P472" s="87" t="n">
        <f aca="false">(M472*L472)+O472</f>
        <v>0</v>
      </c>
      <c r="Q472" s="91"/>
    </row>
    <row r="473" customFormat="false" ht="14.25" hidden="false" customHeight="false" outlineLevel="0" collapsed="false">
      <c r="A473" s="77"/>
      <c r="B473" s="78"/>
      <c r="C473" s="79"/>
      <c r="D473" s="80" t="str">
        <f aca="false">_xlfn.IFNA(VLOOKUP(C473,'بيانات الآليات '!A:G,4,FALSE()),"")</f>
        <v/>
      </c>
      <c r="E473" s="81" t="str">
        <f aca="false">_xlfn.IFNA(VLOOKUP(C473,'بيانات الآليات '!A:G,2,FALSE()),"")</f>
        <v/>
      </c>
      <c r="F473" s="81" t="str">
        <f aca="false">_xlfn.IFNA(VLOOKUP(C473,'بيانات الآليات '!A:G,5,FALSE()),"")</f>
        <v/>
      </c>
      <c r="G473" s="82"/>
      <c r="H473" s="83" t="str">
        <f aca="false">_xlfn.IFNA(VLOOKUP(G473,Table14543[],2,FALSE()),"")</f>
        <v/>
      </c>
      <c r="I473" s="84" t="str">
        <f aca="false">_xlfn.IFNA(VLOOKUP(G473,Table14543[],3,FALSE()),"")</f>
        <v/>
      </c>
      <c r="J473" s="83" t="str">
        <f aca="false">CONCATENATE("",G473,""," ",H473," ",I473)</f>
        <v>  </v>
      </c>
      <c r="K473" s="85"/>
      <c r="L473" s="86"/>
      <c r="M473" s="86"/>
      <c r="N473" s="86" t="n">
        <f aca="false">L473*M473</f>
        <v>0</v>
      </c>
      <c r="O473" s="86"/>
      <c r="P473" s="87" t="n">
        <f aca="false">(M473*L473)+O473</f>
        <v>0</v>
      </c>
      <c r="Q473" s="91"/>
    </row>
    <row r="474" customFormat="false" ht="14.25" hidden="false" customHeight="false" outlineLevel="0" collapsed="false">
      <c r="A474" s="77"/>
      <c r="B474" s="78"/>
      <c r="C474" s="79"/>
      <c r="D474" s="80" t="str">
        <f aca="false">_xlfn.IFNA(VLOOKUP(C474,'بيانات الآليات '!A:G,4,FALSE()),"")</f>
        <v/>
      </c>
      <c r="E474" s="81" t="str">
        <f aca="false">_xlfn.IFNA(VLOOKUP(C474,'بيانات الآليات '!A:G,2,FALSE()),"")</f>
        <v/>
      </c>
      <c r="F474" s="81" t="str">
        <f aca="false">_xlfn.IFNA(VLOOKUP(C474,'بيانات الآليات '!A:G,5,FALSE()),"")</f>
        <v/>
      </c>
      <c r="G474" s="82"/>
      <c r="H474" s="83" t="str">
        <f aca="false">_xlfn.IFNA(VLOOKUP(G474,Table14543[],2,FALSE()),"")</f>
        <v/>
      </c>
      <c r="I474" s="84" t="str">
        <f aca="false">_xlfn.IFNA(VLOOKUP(G474,Table14543[],3,FALSE()),"")</f>
        <v/>
      </c>
      <c r="J474" s="83" t="str">
        <f aca="false">CONCATENATE("",G474,""," ",H474," ",I474)</f>
        <v>  </v>
      </c>
      <c r="K474" s="85"/>
      <c r="L474" s="86"/>
      <c r="M474" s="86"/>
      <c r="N474" s="86" t="n">
        <f aca="false">L474*M474</f>
        <v>0</v>
      </c>
      <c r="O474" s="86"/>
      <c r="P474" s="87" t="n">
        <f aca="false">(M474*L474)+O474</f>
        <v>0</v>
      </c>
      <c r="Q474" s="91"/>
    </row>
    <row r="475" customFormat="false" ht="14.25" hidden="false" customHeight="false" outlineLevel="0" collapsed="false">
      <c r="A475" s="77"/>
      <c r="B475" s="78"/>
      <c r="C475" s="79"/>
      <c r="D475" s="80" t="str">
        <f aca="false">_xlfn.IFNA(VLOOKUP(C475,'بيانات الآليات '!A:G,4,FALSE()),"")</f>
        <v/>
      </c>
      <c r="E475" s="81" t="str">
        <f aca="false">_xlfn.IFNA(VLOOKUP(C475,'بيانات الآليات '!A:G,2,FALSE()),"")</f>
        <v/>
      </c>
      <c r="F475" s="81" t="str">
        <f aca="false">_xlfn.IFNA(VLOOKUP(C475,'بيانات الآليات '!A:G,5,FALSE()),"")</f>
        <v/>
      </c>
      <c r="G475" s="82"/>
      <c r="H475" s="83" t="str">
        <f aca="false">_xlfn.IFNA(VLOOKUP(G475,Table14543[],2,FALSE()),"")</f>
        <v/>
      </c>
      <c r="I475" s="84" t="str">
        <f aca="false">_xlfn.IFNA(VLOOKUP(G475,Table14543[],3,FALSE()),"")</f>
        <v/>
      </c>
      <c r="J475" s="83" t="str">
        <f aca="false">CONCATENATE("",G475,""," ",H475," ",I475)</f>
        <v>  </v>
      </c>
      <c r="K475" s="85"/>
      <c r="L475" s="86"/>
      <c r="M475" s="86"/>
      <c r="N475" s="86" t="n">
        <f aca="false">L475*M475</f>
        <v>0</v>
      </c>
      <c r="O475" s="86"/>
      <c r="P475" s="87" t="n">
        <f aca="false">(M475*L475)+O475</f>
        <v>0</v>
      </c>
      <c r="Q475" s="91"/>
    </row>
    <row r="476" customFormat="false" ht="14.25" hidden="false" customHeight="false" outlineLevel="0" collapsed="false">
      <c r="A476" s="77"/>
      <c r="B476" s="78"/>
      <c r="C476" s="79"/>
      <c r="D476" s="80" t="str">
        <f aca="false">_xlfn.IFNA(VLOOKUP(C476,'بيانات الآليات '!A:G,4,FALSE()),"")</f>
        <v/>
      </c>
      <c r="E476" s="81" t="str">
        <f aca="false">_xlfn.IFNA(VLOOKUP(C476,'بيانات الآليات '!A:G,2,FALSE()),"")</f>
        <v/>
      </c>
      <c r="F476" s="81" t="str">
        <f aca="false">_xlfn.IFNA(VLOOKUP(C476,'بيانات الآليات '!A:G,5,FALSE()),"")</f>
        <v/>
      </c>
      <c r="G476" s="82"/>
      <c r="H476" s="83" t="str">
        <f aca="false">_xlfn.IFNA(VLOOKUP(G476,Table14543[],2,FALSE()),"")</f>
        <v/>
      </c>
      <c r="I476" s="84" t="str">
        <f aca="false">_xlfn.IFNA(VLOOKUP(G476,Table14543[],3,FALSE()),"")</f>
        <v/>
      </c>
      <c r="J476" s="83" t="str">
        <f aca="false">CONCATENATE("",G476,""," ",H476," ",I476)</f>
        <v>  </v>
      </c>
      <c r="K476" s="85"/>
      <c r="L476" s="86"/>
      <c r="M476" s="86"/>
      <c r="N476" s="86" t="n">
        <f aca="false">L476*M476</f>
        <v>0</v>
      </c>
      <c r="O476" s="86"/>
      <c r="P476" s="87" t="n">
        <f aca="false">(M476*L476)+O476</f>
        <v>0</v>
      </c>
      <c r="Q476" s="91"/>
    </row>
    <row r="477" customFormat="false" ht="14.25" hidden="false" customHeight="false" outlineLevel="0" collapsed="false">
      <c r="A477" s="77"/>
      <c r="B477" s="78"/>
      <c r="C477" s="79"/>
      <c r="D477" s="80" t="str">
        <f aca="false">_xlfn.IFNA(VLOOKUP(C477,'بيانات الآليات '!A:G,4,FALSE()),"")</f>
        <v/>
      </c>
      <c r="E477" s="81" t="str">
        <f aca="false">_xlfn.IFNA(VLOOKUP(C477,'بيانات الآليات '!A:G,2,FALSE()),"")</f>
        <v/>
      </c>
      <c r="F477" s="81" t="str">
        <f aca="false">_xlfn.IFNA(VLOOKUP(C477,'بيانات الآليات '!A:G,5,FALSE()),"")</f>
        <v/>
      </c>
      <c r="G477" s="82"/>
      <c r="H477" s="83" t="str">
        <f aca="false">_xlfn.IFNA(VLOOKUP(G477,Table14543[],2,FALSE()),"")</f>
        <v/>
      </c>
      <c r="I477" s="84" t="str">
        <f aca="false">_xlfn.IFNA(VLOOKUP(G477,Table14543[],3,FALSE()),"")</f>
        <v/>
      </c>
      <c r="J477" s="83" t="str">
        <f aca="false">CONCATENATE("",G477,""," ",H477," ",I477)</f>
        <v>  </v>
      </c>
      <c r="K477" s="85"/>
      <c r="L477" s="86"/>
      <c r="M477" s="86"/>
      <c r="N477" s="86" t="n">
        <f aca="false">L477*M477</f>
        <v>0</v>
      </c>
      <c r="O477" s="86"/>
      <c r="P477" s="87" t="n">
        <f aca="false">(M477*L477)+O477</f>
        <v>0</v>
      </c>
      <c r="Q477" s="91"/>
    </row>
    <row r="478" customFormat="false" ht="14.25" hidden="false" customHeight="false" outlineLevel="0" collapsed="false">
      <c r="A478" s="77"/>
      <c r="B478" s="78"/>
      <c r="C478" s="79"/>
      <c r="D478" s="80" t="str">
        <f aca="false">_xlfn.IFNA(VLOOKUP(C478,'بيانات الآليات '!A:G,4,FALSE()),"")</f>
        <v/>
      </c>
      <c r="E478" s="81" t="str">
        <f aca="false">_xlfn.IFNA(VLOOKUP(C478,'بيانات الآليات '!A:G,2,FALSE()),"")</f>
        <v/>
      </c>
      <c r="F478" s="81" t="str">
        <f aca="false">_xlfn.IFNA(VLOOKUP(C478,'بيانات الآليات '!A:G,5,FALSE()),"")</f>
        <v/>
      </c>
      <c r="G478" s="82"/>
      <c r="H478" s="83" t="str">
        <f aca="false">_xlfn.IFNA(VLOOKUP(G478,Table14543[],2,FALSE()),"")</f>
        <v/>
      </c>
      <c r="I478" s="84" t="str">
        <f aca="false">_xlfn.IFNA(VLOOKUP(G478,Table14543[],3,FALSE()),"")</f>
        <v/>
      </c>
      <c r="J478" s="83" t="str">
        <f aca="false">CONCATENATE("",G478,""," ",H478," ",I478)</f>
        <v>  </v>
      </c>
      <c r="K478" s="85"/>
      <c r="L478" s="86"/>
      <c r="M478" s="86"/>
      <c r="N478" s="86" t="n">
        <f aca="false">L478*M478</f>
        <v>0</v>
      </c>
      <c r="O478" s="86"/>
      <c r="P478" s="87" t="n">
        <f aca="false">(M478*L478)+O478</f>
        <v>0</v>
      </c>
      <c r="Q478" s="91"/>
    </row>
    <row r="479" customFormat="false" ht="14.25" hidden="false" customHeight="false" outlineLevel="0" collapsed="false">
      <c r="A479" s="77"/>
      <c r="B479" s="78"/>
      <c r="C479" s="79"/>
      <c r="D479" s="80" t="str">
        <f aca="false">_xlfn.IFNA(VLOOKUP(C479,'بيانات الآليات '!A:G,4,FALSE()),"")</f>
        <v/>
      </c>
      <c r="E479" s="81" t="str">
        <f aca="false">_xlfn.IFNA(VLOOKUP(C479,'بيانات الآليات '!A:G,2,FALSE()),"")</f>
        <v/>
      </c>
      <c r="F479" s="81" t="str">
        <f aca="false">_xlfn.IFNA(VLOOKUP(C479,'بيانات الآليات '!A:G,5,FALSE()),"")</f>
        <v/>
      </c>
      <c r="G479" s="82"/>
      <c r="H479" s="83" t="str">
        <f aca="false">_xlfn.IFNA(VLOOKUP(G479,Table14543[],2,FALSE()),"")</f>
        <v/>
      </c>
      <c r="I479" s="84" t="str">
        <f aca="false">_xlfn.IFNA(VLOOKUP(G479,Table14543[],3,FALSE()),"")</f>
        <v/>
      </c>
      <c r="J479" s="83" t="str">
        <f aca="false">CONCATENATE("",G479,""," ",H479," ",I479)</f>
        <v>  </v>
      </c>
      <c r="K479" s="85"/>
      <c r="L479" s="86"/>
      <c r="M479" s="86"/>
      <c r="N479" s="86" t="n">
        <f aca="false">L479*M479</f>
        <v>0</v>
      </c>
      <c r="O479" s="86"/>
      <c r="P479" s="87" t="n">
        <f aca="false">(M479*L479)+O479</f>
        <v>0</v>
      </c>
      <c r="Q479" s="91"/>
    </row>
    <row r="480" customFormat="false" ht="14.25" hidden="false" customHeight="false" outlineLevel="0" collapsed="false">
      <c r="A480" s="77"/>
      <c r="B480" s="78"/>
      <c r="C480" s="79"/>
      <c r="D480" s="80" t="str">
        <f aca="false">_xlfn.IFNA(VLOOKUP(C480,'بيانات الآليات '!A:G,4,FALSE()),"")</f>
        <v/>
      </c>
      <c r="E480" s="81" t="str">
        <f aca="false">_xlfn.IFNA(VLOOKUP(C480,'بيانات الآليات '!A:G,2,FALSE()),"")</f>
        <v/>
      </c>
      <c r="F480" s="81" t="str">
        <f aca="false">_xlfn.IFNA(VLOOKUP(C480,'بيانات الآليات '!A:G,5,FALSE()),"")</f>
        <v/>
      </c>
      <c r="G480" s="82"/>
      <c r="H480" s="83" t="str">
        <f aca="false">_xlfn.IFNA(VLOOKUP(G480,Table14543[],2,FALSE()),"")</f>
        <v/>
      </c>
      <c r="I480" s="84" t="str">
        <f aca="false">_xlfn.IFNA(VLOOKUP(G480,Table14543[],3,FALSE()),"")</f>
        <v/>
      </c>
      <c r="J480" s="83" t="str">
        <f aca="false">CONCATENATE("",G480,""," ",H480," ",I480)</f>
        <v>  </v>
      </c>
      <c r="K480" s="85"/>
      <c r="L480" s="86"/>
      <c r="M480" s="86"/>
      <c r="N480" s="86" t="n">
        <f aca="false">L480*M480</f>
        <v>0</v>
      </c>
      <c r="O480" s="86"/>
      <c r="P480" s="87" t="n">
        <f aca="false">(M480*L480)+O480</f>
        <v>0</v>
      </c>
      <c r="Q480" s="91"/>
    </row>
    <row r="481" customFormat="false" ht="14.25" hidden="false" customHeight="false" outlineLevel="0" collapsed="false">
      <c r="A481" s="77"/>
      <c r="B481" s="78"/>
      <c r="C481" s="79"/>
      <c r="D481" s="80" t="str">
        <f aca="false">_xlfn.IFNA(VLOOKUP(C481,'بيانات الآليات '!A:G,4,FALSE()),"")</f>
        <v/>
      </c>
      <c r="E481" s="81" t="str">
        <f aca="false">_xlfn.IFNA(VLOOKUP(C481,'بيانات الآليات '!A:G,2,FALSE()),"")</f>
        <v/>
      </c>
      <c r="F481" s="81" t="str">
        <f aca="false">_xlfn.IFNA(VLOOKUP(C481,'بيانات الآليات '!A:G,5,FALSE()),"")</f>
        <v/>
      </c>
      <c r="G481" s="82"/>
      <c r="H481" s="83" t="str">
        <f aca="false">_xlfn.IFNA(VLOOKUP(G481,Table14543[],2,FALSE()),"")</f>
        <v/>
      </c>
      <c r="I481" s="84" t="str">
        <f aca="false">_xlfn.IFNA(VLOOKUP(G481,Table14543[],3,FALSE()),"")</f>
        <v/>
      </c>
      <c r="J481" s="83" t="str">
        <f aca="false">CONCATENATE("",G481,""," ",H481," ",I481)</f>
        <v>  </v>
      </c>
      <c r="K481" s="85"/>
      <c r="L481" s="86"/>
      <c r="M481" s="86"/>
      <c r="N481" s="86" t="n">
        <f aca="false">L481*M481</f>
        <v>0</v>
      </c>
      <c r="O481" s="86"/>
      <c r="P481" s="87" t="n">
        <f aca="false">(M481*L481)+O481</f>
        <v>0</v>
      </c>
      <c r="Q481" s="91"/>
    </row>
    <row r="482" customFormat="false" ht="14.25" hidden="false" customHeight="false" outlineLevel="0" collapsed="false">
      <c r="A482" s="77"/>
      <c r="B482" s="78"/>
      <c r="C482" s="79"/>
      <c r="D482" s="80" t="str">
        <f aca="false">_xlfn.IFNA(VLOOKUP(C482,'بيانات الآليات '!A:G,4,FALSE()),"")</f>
        <v/>
      </c>
      <c r="E482" s="81" t="str">
        <f aca="false">_xlfn.IFNA(VLOOKUP(C482,'بيانات الآليات '!A:G,2,FALSE()),"")</f>
        <v/>
      </c>
      <c r="F482" s="81" t="str">
        <f aca="false">_xlfn.IFNA(VLOOKUP(C482,'بيانات الآليات '!A:G,5,FALSE()),"")</f>
        <v/>
      </c>
      <c r="G482" s="82"/>
      <c r="H482" s="83" t="str">
        <f aca="false">_xlfn.IFNA(VLOOKUP(G482,Table14543[],2,FALSE()),"")</f>
        <v/>
      </c>
      <c r="I482" s="84" t="str">
        <f aca="false">_xlfn.IFNA(VLOOKUP(G482,Table14543[],3,FALSE()),"")</f>
        <v/>
      </c>
      <c r="J482" s="83" t="str">
        <f aca="false">CONCATENATE("",G482,""," ",H482," ",I482)</f>
        <v>  </v>
      </c>
      <c r="K482" s="85"/>
      <c r="L482" s="86"/>
      <c r="M482" s="86"/>
      <c r="N482" s="86" t="n">
        <f aca="false">L482*M482</f>
        <v>0</v>
      </c>
      <c r="O482" s="86"/>
      <c r="P482" s="87" t="n">
        <f aca="false">(M482*L482)+O482</f>
        <v>0</v>
      </c>
      <c r="Q482" s="91"/>
    </row>
    <row r="483" customFormat="false" ht="14.25" hidden="false" customHeight="false" outlineLevel="0" collapsed="false">
      <c r="A483" s="77"/>
      <c r="B483" s="78"/>
      <c r="C483" s="79"/>
      <c r="D483" s="80" t="str">
        <f aca="false">_xlfn.IFNA(VLOOKUP(C483,'بيانات الآليات '!A:G,4,FALSE()),"")</f>
        <v/>
      </c>
      <c r="E483" s="81" t="str">
        <f aca="false">_xlfn.IFNA(VLOOKUP(C483,'بيانات الآليات '!A:G,2,FALSE()),"")</f>
        <v/>
      </c>
      <c r="F483" s="81" t="str">
        <f aca="false">_xlfn.IFNA(VLOOKUP(C483,'بيانات الآليات '!A:G,5,FALSE()),"")</f>
        <v/>
      </c>
      <c r="G483" s="82"/>
      <c r="H483" s="83" t="str">
        <f aca="false">_xlfn.IFNA(VLOOKUP(G483,Table14543[],2,FALSE()),"")</f>
        <v/>
      </c>
      <c r="I483" s="84" t="str">
        <f aca="false">_xlfn.IFNA(VLOOKUP(G483,Table14543[],3,FALSE()),"")</f>
        <v/>
      </c>
      <c r="J483" s="83" t="str">
        <f aca="false">CONCATENATE("",G483,""," ",H483," ",I483)</f>
        <v>  </v>
      </c>
      <c r="K483" s="85"/>
      <c r="L483" s="86"/>
      <c r="M483" s="86"/>
      <c r="N483" s="86" t="n">
        <f aca="false">L483*M483</f>
        <v>0</v>
      </c>
      <c r="O483" s="86"/>
      <c r="P483" s="87" t="n">
        <f aca="false">(M483*L483)+O483</f>
        <v>0</v>
      </c>
      <c r="Q483" s="91"/>
    </row>
    <row r="484" customFormat="false" ht="14.25" hidden="false" customHeight="false" outlineLevel="0" collapsed="false">
      <c r="A484" s="77"/>
      <c r="B484" s="78"/>
      <c r="C484" s="79"/>
      <c r="D484" s="80" t="str">
        <f aca="false">_xlfn.IFNA(VLOOKUP(C484,'بيانات الآليات '!A:G,4,FALSE()),"")</f>
        <v/>
      </c>
      <c r="E484" s="81" t="str">
        <f aca="false">_xlfn.IFNA(VLOOKUP(C484,'بيانات الآليات '!A:G,2,FALSE()),"")</f>
        <v/>
      </c>
      <c r="F484" s="81" t="str">
        <f aca="false">_xlfn.IFNA(VLOOKUP(C484,'بيانات الآليات '!A:G,5,FALSE()),"")</f>
        <v/>
      </c>
      <c r="G484" s="82"/>
      <c r="H484" s="83" t="str">
        <f aca="false">_xlfn.IFNA(VLOOKUP(G484,Table14543[],2,FALSE()),"")</f>
        <v/>
      </c>
      <c r="I484" s="84" t="str">
        <f aca="false">_xlfn.IFNA(VLOOKUP(G484,Table14543[],3,FALSE()),"")</f>
        <v/>
      </c>
      <c r="J484" s="83" t="str">
        <f aca="false">CONCATENATE("",G484,""," ",H484," ",I484)</f>
        <v>  </v>
      </c>
      <c r="K484" s="85"/>
      <c r="L484" s="86"/>
      <c r="M484" s="86"/>
      <c r="N484" s="86" t="n">
        <f aca="false">L484*M484</f>
        <v>0</v>
      </c>
      <c r="O484" s="86"/>
      <c r="P484" s="87" t="n">
        <f aca="false">(M484*L484)+O484</f>
        <v>0</v>
      </c>
      <c r="Q484" s="91"/>
    </row>
    <row r="485" customFormat="false" ht="14.25" hidden="false" customHeight="false" outlineLevel="0" collapsed="false">
      <c r="A485" s="77"/>
      <c r="B485" s="78"/>
      <c r="C485" s="79"/>
      <c r="D485" s="80" t="str">
        <f aca="false">_xlfn.IFNA(VLOOKUP(C485,'بيانات الآليات '!A:G,4,FALSE()),"")</f>
        <v/>
      </c>
      <c r="E485" s="81" t="str">
        <f aca="false">_xlfn.IFNA(VLOOKUP(C485,'بيانات الآليات '!A:G,2,FALSE()),"")</f>
        <v/>
      </c>
      <c r="F485" s="81" t="str">
        <f aca="false">_xlfn.IFNA(VLOOKUP(C485,'بيانات الآليات '!A:G,5,FALSE()),"")</f>
        <v/>
      </c>
      <c r="G485" s="82"/>
      <c r="H485" s="83" t="str">
        <f aca="false">_xlfn.IFNA(VLOOKUP(G485,Table14543[],2,FALSE()),"")</f>
        <v/>
      </c>
      <c r="I485" s="84" t="str">
        <f aca="false">_xlfn.IFNA(VLOOKUP(G485,Table14543[],3,FALSE()),"")</f>
        <v/>
      </c>
      <c r="J485" s="83" t="str">
        <f aca="false">CONCATENATE("",G485,""," ",H485," ",I485)</f>
        <v>  </v>
      </c>
      <c r="K485" s="85"/>
      <c r="L485" s="86"/>
      <c r="M485" s="86"/>
      <c r="N485" s="86" t="n">
        <f aca="false">L485*M485</f>
        <v>0</v>
      </c>
      <c r="O485" s="86"/>
      <c r="P485" s="87" t="n">
        <f aca="false">(M485*L485)+O485</f>
        <v>0</v>
      </c>
      <c r="Q485" s="91"/>
    </row>
    <row r="486" customFormat="false" ht="14.25" hidden="false" customHeight="false" outlineLevel="0" collapsed="false">
      <c r="A486" s="77"/>
      <c r="B486" s="78"/>
      <c r="C486" s="79"/>
      <c r="D486" s="80" t="str">
        <f aca="false">_xlfn.IFNA(VLOOKUP(C486,'بيانات الآليات '!A:G,4,FALSE()),"")</f>
        <v/>
      </c>
      <c r="E486" s="81" t="str">
        <f aca="false">_xlfn.IFNA(VLOOKUP(C486,'بيانات الآليات '!A:G,2,FALSE()),"")</f>
        <v/>
      </c>
      <c r="F486" s="81" t="str">
        <f aca="false">_xlfn.IFNA(VLOOKUP(C486,'بيانات الآليات '!A:G,5,FALSE()),"")</f>
        <v/>
      </c>
      <c r="G486" s="82"/>
      <c r="H486" s="83" t="str">
        <f aca="false">_xlfn.IFNA(VLOOKUP(G486,Table14543[],2,FALSE()),"")</f>
        <v/>
      </c>
      <c r="I486" s="84" t="str">
        <f aca="false">_xlfn.IFNA(VLOOKUP(G486,Table14543[],3,FALSE()),"")</f>
        <v/>
      </c>
      <c r="J486" s="83" t="str">
        <f aca="false">CONCATENATE("",G486,""," ",H486," ",I486)</f>
        <v>  </v>
      </c>
      <c r="K486" s="85"/>
      <c r="L486" s="86"/>
      <c r="M486" s="86"/>
      <c r="N486" s="86" t="n">
        <f aca="false">L486*M486</f>
        <v>0</v>
      </c>
      <c r="O486" s="86"/>
      <c r="P486" s="87" t="n">
        <f aca="false">(M486*L486)+O486</f>
        <v>0</v>
      </c>
      <c r="Q486" s="91"/>
    </row>
    <row r="487" customFormat="false" ht="14.25" hidden="false" customHeight="false" outlineLevel="0" collapsed="false">
      <c r="A487" s="77"/>
      <c r="B487" s="78"/>
      <c r="C487" s="79"/>
      <c r="D487" s="80" t="str">
        <f aca="false">_xlfn.IFNA(VLOOKUP(C487,'بيانات الآليات '!A:G,4,FALSE()),"")</f>
        <v/>
      </c>
      <c r="E487" s="81" t="str">
        <f aca="false">_xlfn.IFNA(VLOOKUP(C487,'بيانات الآليات '!A:G,2,FALSE()),"")</f>
        <v/>
      </c>
      <c r="F487" s="81" t="str">
        <f aca="false">_xlfn.IFNA(VLOOKUP(C487,'بيانات الآليات '!A:G,5,FALSE()),"")</f>
        <v/>
      </c>
      <c r="G487" s="82"/>
      <c r="H487" s="83" t="str">
        <f aca="false">_xlfn.IFNA(VLOOKUP(G487,Table14543[],2,FALSE()),"")</f>
        <v/>
      </c>
      <c r="I487" s="84" t="str">
        <f aca="false">_xlfn.IFNA(VLOOKUP(G487,Table14543[],3,FALSE()),"")</f>
        <v/>
      </c>
      <c r="J487" s="83" t="str">
        <f aca="false">CONCATENATE("",G487,""," ",H487," ",I487)</f>
        <v>  </v>
      </c>
      <c r="K487" s="85"/>
      <c r="L487" s="86"/>
      <c r="M487" s="86"/>
      <c r="N487" s="86" t="n">
        <f aca="false">L487*M487</f>
        <v>0</v>
      </c>
      <c r="O487" s="86"/>
      <c r="P487" s="87" t="n">
        <f aca="false">(M487*L487)+O487</f>
        <v>0</v>
      </c>
      <c r="Q487" s="91"/>
    </row>
    <row r="488" customFormat="false" ht="14.25" hidden="false" customHeight="false" outlineLevel="0" collapsed="false">
      <c r="A488" s="77"/>
      <c r="B488" s="78"/>
      <c r="C488" s="79"/>
      <c r="D488" s="80" t="str">
        <f aca="false">_xlfn.IFNA(VLOOKUP(C488,'بيانات الآليات '!A:G,4,FALSE()),"")</f>
        <v/>
      </c>
      <c r="E488" s="81" t="str">
        <f aca="false">_xlfn.IFNA(VLOOKUP(C488,'بيانات الآليات '!A:G,2,FALSE()),"")</f>
        <v/>
      </c>
      <c r="F488" s="81" t="str">
        <f aca="false">_xlfn.IFNA(VLOOKUP(C488,'بيانات الآليات '!A:G,5,FALSE()),"")</f>
        <v/>
      </c>
      <c r="G488" s="82"/>
      <c r="H488" s="83" t="str">
        <f aca="false">_xlfn.IFNA(VLOOKUP(G488,Table14543[],2,FALSE()),"")</f>
        <v/>
      </c>
      <c r="I488" s="84" t="str">
        <f aca="false">_xlfn.IFNA(VLOOKUP(G488,Table14543[],3,FALSE()),"")</f>
        <v/>
      </c>
      <c r="J488" s="83" t="str">
        <f aca="false">CONCATENATE("",G488,""," ",H488," ",I488)</f>
        <v>  </v>
      </c>
      <c r="K488" s="85"/>
      <c r="L488" s="86"/>
      <c r="M488" s="86"/>
      <c r="N488" s="86" t="n">
        <f aca="false">L488*M488</f>
        <v>0</v>
      </c>
      <c r="O488" s="86"/>
      <c r="P488" s="87" t="n">
        <f aca="false">(M488*L488)+O488</f>
        <v>0</v>
      </c>
      <c r="Q488" s="91"/>
    </row>
    <row r="489" customFormat="false" ht="14.25" hidden="false" customHeight="false" outlineLevel="0" collapsed="false">
      <c r="A489" s="77"/>
      <c r="B489" s="78"/>
      <c r="C489" s="79"/>
      <c r="D489" s="80" t="str">
        <f aca="false">_xlfn.IFNA(VLOOKUP(C489,'بيانات الآليات '!A:G,4,FALSE()),"")</f>
        <v/>
      </c>
      <c r="E489" s="81" t="str">
        <f aca="false">_xlfn.IFNA(VLOOKUP(C489,'بيانات الآليات '!A:G,2,FALSE()),"")</f>
        <v/>
      </c>
      <c r="F489" s="81" t="str">
        <f aca="false">_xlfn.IFNA(VLOOKUP(C489,'بيانات الآليات '!A:G,5,FALSE()),"")</f>
        <v/>
      </c>
      <c r="G489" s="82"/>
      <c r="H489" s="83" t="str">
        <f aca="false">_xlfn.IFNA(VLOOKUP(G489,Table14543[],2,FALSE()),"")</f>
        <v/>
      </c>
      <c r="I489" s="84" t="str">
        <f aca="false">_xlfn.IFNA(VLOOKUP(G489,Table14543[],3,FALSE()),"")</f>
        <v/>
      </c>
      <c r="J489" s="83" t="str">
        <f aca="false">CONCATENATE("",G489,""," ",H489," ",I489)</f>
        <v>  </v>
      </c>
      <c r="K489" s="85"/>
      <c r="L489" s="86"/>
      <c r="M489" s="86"/>
      <c r="N489" s="86" t="n">
        <f aca="false">L489*M489</f>
        <v>0</v>
      </c>
      <c r="O489" s="86"/>
      <c r="P489" s="87" t="n">
        <f aca="false">(M489*L489)+O489</f>
        <v>0</v>
      </c>
      <c r="Q489" s="91"/>
    </row>
    <row r="490" customFormat="false" ht="14.25" hidden="false" customHeight="false" outlineLevel="0" collapsed="false">
      <c r="A490" s="77"/>
      <c r="B490" s="78"/>
      <c r="C490" s="79"/>
      <c r="D490" s="80" t="str">
        <f aca="false">_xlfn.IFNA(VLOOKUP(C490,'بيانات الآليات '!A:G,4,FALSE()),"")</f>
        <v/>
      </c>
      <c r="E490" s="81" t="str">
        <f aca="false">_xlfn.IFNA(VLOOKUP(C490,'بيانات الآليات '!A:G,2,FALSE()),"")</f>
        <v/>
      </c>
      <c r="F490" s="81" t="str">
        <f aca="false">_xlfn.IFNA(VLOOKUP(C490,'بيانات الآليات '!A:G,5,FALSE()),"")</f>
        <v/>
      </c>
      <c r="G490" s="82"/>
      <c r="H490" s="83" t="str">
        <f aca="false">_xlfn.IFNA(VLOOKUP(G490,Table14543[],2,FALSE()),"")</f>
        <v/>
      </c>
      <c r="I490" s="84" t="str">
        <f aca="false">_xlfn.IFNA(VLOOKUP(G490,Table14543[],3,FALSE()),"")</f>
        <v/>
      </c>
      <c r="J490" s="83" t="str">
        <f aca="false">CONCATENATE("",G490,""," ",H490," ",I490)</f>
        <v>  </v>
      </c>
      <c r="K490" s="85"/>
      <c r="L490" s="86"/>
      <c r="M490" s="86"/>
      <c r="N490" s="86" t="n">
        <f aca="false">L490*M490</f>
        <v>0</v>
      </c>
      <c r="O490" s="86"/>
      <c r="P490" s="87" t="n">
        <f aca="false">(M490*L490)+O490</f>
        <v>0</v>
      </c>
      <c r="Q490" s="91"/>
    </row>
    <row r="491" customFormat="false" ht="14.25" hidden="false" customHeight="false" outlineLevel="0" collapsed="false">
      <c r="A491" s="77"/>
      <c r="B491" s="78"/>
      <c r="C491" s="79"/>
      <c r="D491" s="80" t="str">
        <f aca="false">_xlfn.IFNA(VLOOKUP(C491,'بيانات الآليات '!A:G,4,FALSE()),"")</f>
        <v/>
      </c>
      <c r="E491" s="81" t="str">
        <f aca="false">_xlfn.IFNA(VLOOKUP(C491,'بيانات الآليات '!A:G,2,FALSE()),"")</f>
        <v/>
      </c>
      <c r="F491" s="81" t="str">
        <f aca="false">_xlfn.IFNA(VLOOKUP(C491,'بيانات الآليات '!A:G,5,FALSE()),"")</f>
        <v/>
      </c>
      <c r="G491" s="82"/>
      <c r="H491" s="83" t="str">
        <f aca="false">_xlfn.IFNA(VLOOKUP(G491,Table14543[],2,FALSE()),"")</f>
        <v/>
      </c>
      <c r="I491" s="84" t="str">
        <f aca="false">_xlfn.IFNA(VLOOKUP(G491,Table14543[],3,FALSE()),"")</f>
        <v/>
      </c>
      <c r="J491" s="83" t="str">
        <f aca="false">CONCATENATE("",G491,""," ",H491," ",I491)</f>
        <v>  </v>
      </c>
      <c r="K491" s="85"/>
      <c r="L491" s="86"/>
      <c r="M491" s="86"/>
      <c r="N491" s="86" t="n">
        <f aca="false">L491*M491</f>
        <v>0</v>
      </c>
      <c r="O491" s="86"/>
      <c r="P491" s="87" t="n">
        <f aca="false">(M491*L491)+O491</f>
        <v>0</v>
      </c>
      <c r="Q491" s="91"/>
    </row>
    <row r="492" customFormat="false" ht="14.25" hidden="false" customHeight="false" outlineLevel="0" collapsed="false">
      <c r="A492" s="77"/>
      <c r="B492" s="78"/>
      <c r="C492" s="79"/>
      <c r="D492" s="80" t="str">
        <f aca="false">_xlfn.IFNA(VLOOKUP(C492,'بيانات الآليات '!A:G,4,FALSE()),"")</f>
        <v/>
      </c>
      <c r="E492" s="81" t="str">
        <f aca="false">_xlfn.IFNA(VLOOKUP(C492,'بيانات الآليات '!A:G,2,FALSE()),"")</f>
        <v/>
      </c>
      <c r="F492" s="81" t="str">
        <f aca="false">_xlfn.IFNA(VLOOKUP(C492,'بيانات الآليات '!A:G,5,FALSE()),"")</f>
        <v/>
      </c>
      <c r="G492" s="82"/>
      <c r="H492" s="83" t="str">
        <f aca="false">_xlfn.IFNA(VLOOKUP(G492,Table14543[],2,FALSE()),"")</f>
        <v/>
      </c>
      <c r="I492" s="84" t="str">
        <f aca="false">_xlfn.IFNA(VLOOKUP(G492,Table14543[],3,FALSE()),"")</f>
        <v/>
      </c>
      <c r="J492" s="83" t="str">
        <f aca="false">CONCATENATE("",G492,""," ",H492," ",I492)</f>
        <v>  </v>
      </c>
      <c r="K492" s="85"/>
      <c r="L492" s="86"/>
      <c r="M492" s="86"/>
      <c r="N492" s="86" t="n">
        <f aca="false">L492*M492</f>
        <v>0</v>
      </c>
      <c r="O492" s="86"/>
      <c r="P492" s="87" t="n">
        <f aca="false">(M492*L492)+O492</f>
        <v>0</v>
      </c>
      <c r="Q492" s="91"/>
    </row>
    <row r="493" customFormat="false" ht="14.25" hidden="false" customHeight="false" outlineLevel="0" collapsed="false">
      <c r="A493" s="77"/>
      <c r="B493" s="78"/>
      <c r="C493" s="79"/>
      <c r="D493" s="80" t="str">
        <f aca="false">_xlfn.IFNA(VLOOKUP(C493,'بيانات الآليات '!A:G,4,FALSE()),"")</f>
        <v/>
      </c>
      <c r="E493" s="81" t="str">
        <f aca="false">_xlfn.IFNA(VLOOKUP(C493,'بيانات الآليات '!A:G,2,FALSE()),"")</f>
        <v/>
      </c>
      <c r="F493" s="81" t="str">
        <f aca="false">_xlfn.IFNA(VLOOKUP(C493,'بيانات الآليات '!A:G,5,FALSE()),"")</f>
        <v/>
      </c>
      <c r="G493" s="82"/>
      <c r="H493" s="83" t="str">
        <f aca="false">_xlfn.IFNA(VLOOKUP(G493,Table14543[],2,FALSE()),"")</f>
        <v/>
      </c>
      <c r="I493" s="84" t="str">
        <f aca="false">_xlfn.IFNA(VLOOKUP(G493,Table14543[],3,FALSE()),"")</f>
        <v/>
      </c>
      <c r="J493" s="83" t="str">
        <f aca="false">CONCATENATE("",G493,""," ",H493," ",I493)</f>
        <v>  </v>
      </c>
      <c r="K493" s="85"/>
      <c r="L493" s="86"/>
      <c r="M493" s="86"/>
      <c r="N493" s="86" t="n">
        <f aca="false">L493*M493</f>
        <v>0</v>
      </c>
      <c r="O493" s="86"/>
      <c r="P493" s="87" t="n">
        <f aca="false">(M493*L493)+O493</f>
        <v>0</v>
      </c>
      <c r="Q493" s="91"/>
    </row>
    <row r="494" customFormat="false" ht="14.25" hidden="false" customHeight="false" outlineLevel="0" collapsed="false">
      <c r="A494" s="77"/>
      <c r="B494" s="78"/>
      <c r="C494" s="79"/>
      <c r="D494" s="80" t="str">
        <f aca="false">_xlfn.IFNA(VLOOKUP(C494,'بيانات الآليات '!A:G,4,FALSE()),"")</f>
        <v/>
      </c>
      <c r="E494" s="81" t="str">
        <f aca="false">_xlfn.IFNA(VLOOKUP(C494,'بيانات الآليات '!A:G,2,FALSE()),"")</f>
        <v/>
      </c>
      <c r="F494" s="81" t="str">
        <f aca="false">_xlfn.IFNA(VLOOKUP(C494,'بيانات الآليات '!A:G,5,FALSE()),"")</f>
        <v/>
      </c>
      <c r="G494" s="82"/>
      <c r="H494" s="83" t="str">
        <f aca="false">_xlfn.IFNA(VLOOKUP(G494,Table14543[],2,FALSE()),"")</f>
        <v/>
      </c>
      <c r="I494" s="84" t="str">
        <f aca="false">_xlfn.IFNA(VLOOKUP(G494,Table14543[],3,FALSE()),"")</f>
        <v/>
      </c>
      <c r="J494" s="83" t="str">
        <f aca="false">CONCATENATE("",G494,""," ",H494," ",I494)</f>
        <v>  </v>
      </c>
      <c r="K494" s="85"/>
      <c r="L494" s="86"/>
      <c r="M494" s="86"/>
      <c r="N494" s="86" t="n">
        <f aca="false">L494*M494</f>
        <v>0</v>
      </c>
      <c r="O494" s="86"/>
      <c r="P494" s="87" t="n">
        <f aca="false">(M494*L494)+O494</f>
        <v>0</v>
      </c>
      <c r="Q494" s="91"/>
    </row>
    <row r="495" customFormat="false" ht="14.25" hidden="false" customHeight="false" outlineLevel="0" collapsed="false">
      <c r="A495" s="77"/>
      <c r="B495" s="78"/>
      <c r="C495" s="79"/>
      <c r="D495" s="80" t="str">
        <f aca="false">_xlfn.IFNA(VLOOKUP(C495,'بيانات الآليات '!A:G,4,FALSE()),"")</f>
        <v/>
      </c>
      <c r="E495" s="81" t="str">
        <f aca="false">_xlfn.IFNA(VLOOKUP(C495,'بيانات الآليات '!A:G,2,FALSE()),"")</f>
        <v/>
      </c>
      <c r="F495" s="81" t="str">
        <f aca="false">_xlfn.IFNA(VLOOKUP(C495,'بيانات الآليات '!A:G,5,FALSE()),"")</f>
        <v/>
      </c>
      <c r="G495" s="82"/>
      <c r="H495" s="83" t="str">
        <f aca="false">_xlfn.IFNA(VLOOKUP(G495,Table14543[],2,FALSE()),"")</f>
        <v/>
      </c>
      <c r="I495" s="84" t="str">
        <f aca="false">_xlfn.IFNA(VLOOKUP(G495,Table14543[],3,FALSE()),"")</f>
        <v/>
      </c>
      <c r="J495" s="83" t="str">
        <f aca="false">CONCATENATE("",G495,""," ",H495," ",I495)</f>
        <v>  </v>
      </c>
      <c r="K495" s="85"/>
      <c r="L495" s="86"/>
      <c r="M495" s="86"/>
      <c r="N495" s="86" t="n">
        <f aca="false">L495*M495</f>
        <v>0</v>
      </c>
      <c r="O495" s="86"/>
      <c r="P495" s="87" t="n">
        <f aca="false">(M495*L495)+O495</f>
        <v>0</v>
      </c>
      <c r="Q495" s="91"/>
    </row>
    <row r="496" customFormat="false" ht="14.25" hidden="false" customHeight="false" outlineLevel="0" collapsed="false">
      <c r="A496" s="77"/>
      <c r="B496" s="78"/>
      <c r="C496" s="79"/>
      <c r="D496" s="80" t="str">
        <f aca="false">_xlfn.IFNA(VLOOKUP(C496,'بيانات الآليات '!A:G,4,FALSE()),"")</f>
        <v/>
      </c>
      <c r="E496" s="81" t="str">
        <f aca="false">_xlfn.IFNA(VLOOKUP(C496,'بيانات الآليات '!A:G,2,FALSE()),"")</f>
        <v/>
      </c>
      <c r="F496" s="81" t="str">
        <f aca="false">_xlfn.IFNA(VLOOKUP(C496,'بيانات الآليات '!A:G,5,FALSE()),"")</f>
        <v/>
      </c>
      <c r="G496" s="82"/>
      <c r="H496" s="83" t="str">
        <f aca="false">_xlfn.IFNA(VLOOKUP(G496,Table14543[],2,FALSE()),"")</f>
        <v/>
      </c>
      <c r="I496" s="84" t="str">
        <f aca="false">_xlfn.IFNA(VLOOKUP(G496,Table14543[],3,FALSE()),"")</f>
        <v/>
      </c>
      <c r="J496" s="83" t="str">
        <f aca="false">CONCATENATE("",G496,""," ",H496," ",I496)</f>
        <v>  </v>
      </c>
      <c r="K496" s="85"/>
      <c r="L496" s="86"/>
      <c r="M496" s="86"/>
      <c r="N496" s="86" t="n">
        <f aca="false">L496*M496</f>
        <v>0</v>
      </c>
      <c r="O496" s="86"/>
      <c r="P496" s="87" t="n">
        <f aca="false">(M496*L496)+O496</f>
        <v>0</v>
      </c>
      <c r="Q496" s="91"/>
    </row>
    <row r="497" customFormat="false" ht="14.25" hidden="false" customHeight="false" outlineLevel="0" collapsed="false">
      <c r="A497" s="77"/>
      <c r="B497" s="78"/>
      <c r="C497" s="79"/>
      <c r="D497" s="80" t="str">
        <f aca="false">_xlfn.IFNA(VLOOKUP(C497,'بيانات الآليات '!A:G,4,FALSE()),"")</f>
        <v/>
      </c>
      <c r="E497" s="81" t="str">
        <f aca="false">_xlfn.IFNA(VLOOKUP(C497,'بيانات الآليات '!A:G,2,FALSE()),"")</f>
        <v/>
      </c>
      <c r="F497" s="81" t="str">
        <f aca="false">_xlfn.IFNA(VLOOKUP(C497,'بيانات الآليات '!A:G,5,FALSE()),"")</f>
        <v/>
      </c>
      <c r="G497" s="82"/>
      <c r="H497" s="83" t="str">
        <f aca="false">_xlfn.IFNA(VLOOKUP(G497,Table14543[],2,FALSE()),"")</f>
        <v/>
      </c>
      <c r="I497" s="84" t="str">
        <f aca="false">_xlfn.IFNA(VLOOKUP(G497,Table14543[],3,FALSE()),"")</f>
        <v/>
      </c>
      <c r="J497" s="83" t="str">
        <f aca="false">CONCATENATE("",G497,""," ",H497," ",I497)</f>
        <v>  </v>
      </c>
      <c r="K497" s="85"/>
      <c r="L497" s="86"/>
      <c r="M497" s="86"/>
      <c r="N497" s="86" t="n">
        <f aca="false">L497*M497</f>
        <v>0</v>
      </c>
      <c r="O497" s="86"/>
      <c r="P497" s="87" t="n">
        <f aca="false">(M497*L497)+O497</f>
        <v>0</v>
      </c>
      <c r="Q497" s="91"/>
    </row>
    <row r="498" customFormat="false" ht="14.25" hidden="false" customHeight="false" outlineLevel="0" collapsed="false">
      <c r="A498" s="77"/>
      <c r="B498" s="78"/>
      <c r="C498" s="79"/>
      <c r="D498" s="80" t="str">
        <f aca="false">_xlfn.IFNA(VLOOKUP(C498,'بيانات الآليات '!A:G,4,FALSE()),"")</f>
        <v/>
      </c>
      <c r="E498" s="81" t="str">
        <f aca="false">_xlfn.IFNA(VLOOKUP(C498,'بيانات الآليات '!A:G,2,FALSE()),"")</f>
        <v/>
      </c>
      <c r="F498" s="81" t="str">
        <f aca="false">_xlfn.IFNA(VLOOKUP(C498,'بيانات الآليات '!A:G,5,FALSE()),"")</f>
        <v/>
      </c>
      <c r="G498" s="82"/>
      <c r="H498" s="83" t="str">
        <f aca="false">_xlfn.IFNA(VLOOKUP(G498,Table14543[],2,FALSE()),"")</f>
        <v/>
      </c>
      <c r="I498" s="84" t="str">
        <f aca="false">_xlfn.IFNA(VLOOKUP(G498,Table14543[],3,FALSE()),"")</f>
        <v/>
      </c>
      <c r="J498" s="83" t="str">
        <f aca="false">CONCATENATE("",G498,""," ",H498," ",I498)</f>
        <v>  </v>
      </c>
      <c r="K498" s="85"/>
      <c r="L498" s="86"/>
      <c r="M498" s="86"/>
      <c r="N498" s="86" t="n">
        <f aca="false">L498*M498</f>
        <v>0</v>
      </c>
      <c r="O498" s="86"/>
      <c r="P498" s="87" t="n">
        <f aca="false">(M498*L498)+O498</f>
        <v>0</v>
      </c>
      <c r="Q498" s="91"/>
    </row>
    <row r="499" customFormat="false" ht="14.25" hidden="false" customHeight="false" outlineLevel="0" collapsed="false">
      <c r="A499" s="77"/>
      <c r="B499" s="78"/>
      <c r="C499" s="79"/>
      <c r="D499" s="80" t="str">
        <f aca="false">_xlfn.IFNA(VLOOKUP(C499,'بيانات الآليات '!A:G,4,FALSE()),"")</f>
        <v/>
      </c>
      <c r="E499" s="81" t="str">
        <f aca="false">_xlfn.IFNA(VLOOKUP(C499,'بيانات الآليات '!A:G,2,FALSE()),"")</f>
        <v/>
      </c>
      <c r="F499" s="81" t="str">
        <f aca="false">_xlfn.IFNA(VLOOKUP(C499,'بيانات الآليات '!A:G,5,FALSE()),"")</f>
        <v/>
      </c>
      <c r="G499" s="82"/>
      <c r="H499" s="83" t="str">
        <f aca="false">_xlfn.IFNA(VLOOKUP(G499,Table14543[],2,FALSE()),"")</f>
        <v/>
      </c>
      <c r="I499" s="84" t="str">
        <f aca="false">_xlfn.IFNA(VLOOKUP(G499,Table14543[],3,FALSE()),"")</f>
        <v/>
      </c>
      <c r="J499" s="83" t="str">
        <f aca="false">CONCATENATE("",G499,""," ",H499," ",I499)</f>
        <v>  </v>
      </c>
      <c r="K499" s="85"/>
      <c r="L499" s="86"/>
      <c r="M499" s="86"/>
      <c r="N499" s="86" t="n">
        <f aca="false">L499*M499</f>
        <v>0</v>
      </c>
      <c r="O499" s="86"/>
      <c r="P499" s="87" t="n">
        <f aca="false">(M499*L499)+O499</f>
        <v>0</v>
      </c>
      <c r="Q499" s="91"/>
    </row>
    <row r="500" customFormat="false" ht="14.25" hidden="false" customHeight="false" outlineLevel="0" collapsed="false">
      <c r="A500" s="77"/>
      <c r="B500" s="78"/>
      <c r="C500" s="79"/>
      <c r="D500" s="80" t="str">
        <f aca="false">_xlfn.IFNA(VLOOKUP(C500,'بيانات الآليات '!A:G,4,FALSE()),"")</f>
        <v/>
      </c>
      <c r="E500" s="81" t="str">
        <f aca="false">_xlfn.IFNA(VLOOKUP(C500,'بيانات الآليات '!A:G,2,FALSE()),"")</f>
        <v/>
      </c>
      <c r="F500" s="81" t="str">
        <f aca="false">_xlfn.IFNA(VLOOKUP(C500,'بيانات الآليات '!A:G,5,FALSE()),"")</f>
        <v/>
      </c>
      <c r="G500" s="82"/>
      <c r="H500" s="83" t="str">
        <f aca="false">_xlfn.IFNA(VLOOKUP(G500,Table14543[],2,FALSE()),"")</f>
        <v/>
      </c>
      <c r="I500" s="84" t="str">
        <f aca="false">_xlfn.IFNA(VLOOKUP(G500,Table14543[],3,FALSE()),"")</f>
        <v/>
      </c>
      <c r="J500" s="83" t="str">
        <f aca="false">CONCATENATE("",G500,""," ",H500," ",I500)</f>
        <v>  </v>
      </c>
      <c r="K500" s="85"/>
      <c r="L500" s="86"/>
      <c r="M500" s="86"/>
      <c r="N500" s="86" t="n">
        <f aca="false">L500*M500</f>
        <v>0</v>
      </c>
      <c r="O500" s="86"/>
      <c r="P500" s="87" t="n">
        <f aca="false">(M500*L500)+O500</f>
        <v>0</v>
      </c>
      <c r="Q500" s="91"/>
    </row>
    <row r="501" customFormat="false" ht="14.25" hidden="false" customHeight="false" outlineLevel="0" collapsed="false">
      <c r="A501" s="77"/>
      <c r="B501" s="78"/>
      <c r="C501" s="79"/>
      <c r="D501" s="80" t="str">
        <f aca="false">_xlfn.IFNA(VLOOKUP(C501,'بيانات الآليات '!A:G,4,FALSE()),"")</f>
        <v/>
      </c>
      <c r="E501" s="81" t="str">
        <f aca="false">_xlfn.IFNA(VLOOKUP(C501,'بيانات الآليات '!A:G,2,FALSE()),"")</f>
        <v/>
      </c>
      <c r="F501" s="81" t="str">
        <f aca="false">_xlfn.IFNA(VLOOKUP(C501,'بيانات الآليات '!A:G,5,FALSE()),"")</f>
        <v/>
      </c>
      <c r="G501" s="82"/>
      <c r="H501" s="83" t="str">
        <f aca="false">_xlfn.IFNA(VLOOKUP(G501,Table14543[],2,FALSE()),"")</f>
        <v/>
      </c>
      <c r="I501" s="84" t="str">
        <f aca="false">_xlfn.IFNA(VLOOKUP(G501,Table14543[],3,FALSE()),"")</f>
        <v/>
      </c>
      <c r="J501" s="83" t="str">
        <f aca="false">CONCATENATE("",G501,""," ",H501," ",I501)</f>
        <v>  </v>
      </c>
      <c r="K501" s="85"/>
      <c r="L501" s="86"/>
      <c r="M501" s="86"/>
      <c r="N501" s="86" t="n">
        <f aca="false">L501*M501</f>
        <v>0</v>
      </c>
      <c r="O501" s="86"/>
      <c r="P501" s="87" t="n">
        <f aca="false">(M501*L501)+O501</f>
        <v>0</v>
      </c>
      <c r="Q501" s="91"/>
    </row>
    <row r="502" customFormat="false" ht="14.25" hidden="false" customHeight="false" outlineLevel="0" collapsed="false">
      <c r="A502" s="77"/>
      <c r="B502" s="78"/>
      <c r="C502" s="79"/>
      <c r="D502" s="80" t="str">
        <f aca="false">_xlfn.IFNA(VLOOKUP(C502,'بيانات الآليات '!A:G,4,FALSE()),"")</f>
        <v/>
      </c>
      <c r="E502" s="81" t="str">
        <f aca="false">_xlfn.IFNA(VLOOKUP(C502,'بيانات الآليات '!A:G,2,FALSE()),"")</f>
        <v/>
      </c>
      <c r="F502" s="81" t="str">
        <f aca="false">_xlfn.IFNA(VLOOKUP(C502,'بيانات الآليات '!A:G,5,FALSE()),"")</f>
        <v/>
      </c>
      <c r="G502" s="82"/>
      <c r="H502" s="83" t="str">
        <f aca="false">_xlfn.IFNA(VLOOKUP(G502,Table14543[],2,FALSE()),"")</f>
        <v/>
      </c>
      <c r="I502" s="84" t="str">
        <f aca="false">_xlfn.IFNA(VLOOKUP(G502,Table14543[],3,FALSE()),"")</f>
        <v/>
      </c>
      <c r="J502" s="83" t="str">
        <f aca="false">CONCATENATE("",G502,""," ",H502," ",I502)</f>
        <v>  </v>
      </c>
      <c r="K502" s="85"/>
      <c r="L502" s="86"/>
      <c r="M502" s="86"/>
      <c r="N502" s="86" t="n">
        <f aca="false">L502*M502</f>
        <v>0</v>
      </c>
      <c r="O502" s="86"/>
      <c r="P502" s="87" t="n">
        <f aca="false">(M502*L502)+O502</f>
        <v>0</v>
      </c>
      <c r="Q502" s="91"/>
    </row>
    <row r="503" customFormat="false" ht="14.25" hidden="false" customHeight="false" outlineLevel="0" collapsed="false">
      <c r="A503" s="77"/>
      <c r="B503" s="78"/>
      <c r="C503" s="79"/>
      <c r="D503" s="80" t="str">
        <f aca="false">_xlfn.IFNA(VLOOKUP(C503,'بيانات الآليات '!A:G,4,FALSE()),"")</f>
        <v/>
      </c>
      <c r="E503" s="81" t="str">
        <f aca="false">_xlfn.IFNA(VLOOKUP(C503,'بيانات الآليات '!A:G,2,FALSE()),"")</f>
        <v/>
      </c>
      <c r="F503" s="81" t="str">
        <f aca="false">_xlfn.IFNA(VLOOKUP(C503,'بيانات الآليات '!A:G,5,FALSE()),"")</f>
        <v/>
      </c>
      <c r="G503" s="82"/>
      <c r="H503" s="83" t="str">
        <f aca="false">_xlfn.IFNA(VLOOKUP(G503,Table14543[],2,FALSE()),"")</f>
        <v/>
      </c>
      <c r="I503" s="84" t="str">
        <f aca="false">_xlfn.IFNA(VLOOKUP(G503,Table14543[],3,FALSE()),"")</f>
        <v/>
      </c>
      <c r="J503" s="83" t="str">
        <f aca="false">CONCATENATE("",G503,""," ",H503," ",I503)</f>
        <v>  </v>
      </c>
      <c r="K503" s="85"/>
      <c r="L503" s="86"/>
      <c r="M503" s="86"/>
      <c r="N503" s="86" t="n">
        <f aca="false">L503*M503</f>
        <v>0</v>
      </c>
      <c r="O503" s="86"/>
      <c r="P503" s="87" t="n">
        <f aca="false">(M503*L503)+O503</f>
        <v>0</v>
      </c>
      <c r="Q503" s="91"/>
    </row>
    <row r="504" customFormat="false" ht="14.25" hidden="false" customHeight="false" outlineLevel="0" collapsed="false">
      <c r="A504" s="77"/>
      <c r="B504" s="78"/>
      <c r="C504" s="79"/>
      <c r="D504" s="80" t="str">
        <f aca="false">_xlfn.IFNA(VLOOKUP(C504,'بيانات الآليات '!A:G,4,FALSE()),"")</f>
        <v/>
      </c>
      <c r="E504" s="81" t="str">
        <f aca="false">_xlfn.IFNA(VLOOKUP(C504,'بيانات الآليات '!A:G,2,FALSE()),"")</f>
        <v/>
      </c>
      <c r="F504" s="81" t="str">
        <f aca="false">_xlfn.IFNA(VLOOKUP(C504,'بيانات الآليات '!A:G,5,FALSE()),"")</f>
        <v/>
      </c>
      <c r="G504" s="82"/>
      <c r="H504" s="83" t="str">
        <f aca="false">_xlfn.IFNA(VLOOKUP(G504,Table14543[],2,FALSE()),"")</f>
        <v/>
      </c>
      <c r="I504" s="84" t="str">
        <f aca="false">_xlfn.IFNA(VLOOKUP(G504,Table14543[],3,FALSE()),"")</f>
        <v/>
      </c>
      <c r="J504" s="83" t="str">
        <f aca="false">CONCATENATE("",G504,""," ",H504," ",I504)</f>
        <v>  </v>
      </c>
      <c r="K504" s="85"/>
      <c r="L504" s="86"/>
      <c r="M504" s="86"/>
      <c r="N504" s="86" t="n">
        <f aca="false">L504*M504</f>
        <v>0</v>
      </c>
      <c r="O504" s="86"/>
      <c r="P504" s="87" t="n">
        <f aca="false">(M504*L504)+O504</f>
        <v>0</v>
      </c>
      <c r="Q504" s="91"/>
    </row>
    <row r="505" customFormat="false" ht="14.25" hidden="false" customHeight="false" outlineLevel="0" collapsed="false">
      <c r="A505" s="77"/>
      <c r="B505" s="78"/>
      <c r="C505" s="79"/>
      <c r="D505" s="80" t="str">
        <f aca="false">_xlfn.IFNA(VLOOKUP(C505,'بيانات الآليات '!A:G,4,FALSE()),"")</f>
        <v/>
      </c>
      <c r="E505" s="81" t="str">
        <f aca="false">_xlfn.IFNA(VLOOKUP(C505,'بيانات الآليات '!A:G,2,FALSE()),"")</f>
        <v/>
      </c>
      <c r="F505" s="81" t="str">
        <f aca="false">_xlfn.IFNA(VLOOKUP(C505,'بيانات الآليات '!A:G,5,FALSE()),"")</f>
        <v/>
      </c>
      <c r="G505" s="82"/>
      <c r="H505" s="83" t="str">
        <f aca="false">_xlfn.IFNA(VLOOKUP(G505,Table14543[],2,FALSE()),"")</f>
        <v/>
      </c>
      <c r="I505" s="84" t="str">
        <f aca="false">_xlfn.IFNA(VLOOKUP(G505,Table14543[],3,FALSE()),"")</f>
        <v/>
      </c>
      <c r="J505" s="83" t="str">
        <f aca="false">CONCATENATE("",G505,""," ",H505," ",I505)</f>
        <v>  </v>
      </c>
      <c r="K505" s="85"/>
      <c r="L505" s="86"/>
      <c r="M505" s="86"/>
      <c r="N505" s="86" t="n">
        <f aca="false">L505*M505</f>
        <v>0</v>
      </c>
      <c r="O505" s="86"/>
      <c r="P505" s="87" t="n">
        <f aca="false">(M505*L505)+O505</f>
        <v>0</v>
      </c>
      <c r="Q505" s="91"/>
    </row>
    <row r="506" customFormat="false" ht="14.25" hidden="false" customHeight="false" outlineLevel="0" collapsed="false">
      <c r="A506" s="77"/>
      <c r="B506" s="78"/>
      <c r="C506" s="79"/>
      <c r="D506" s="80" t="str">
        <f aca="false">_xlfn.IFNA(VLOOKUP(C506,'بيانات الآليات '!A:G,4,FALSE()),"")</f>
        <v/>
      </c>
      <c r="E506" s="81" t="str">
        <f aca="false">_xlfn.IFNA(VLOOKUP(C506,'بيانات الآليات '!A:G,2,FALSE()),"")</f>
        <v/>
      </c>
      <c r="F506" s="81" t="str">
        <f aca="false">_xlfn.IFNA(VLOOKUP(C506,'بيانات الآليات '!A:G,5,FALSE()),"")</f>
        <v/>
      </c>
      <c r="G506" s="82"/>
      <c r="H506" s="83" t="str">
        <f aca="false">_xlfn.IFNA(VLOOKUP(G506,Table14543[],2,FALSE()),"")</f>
        <v/>
      </c>
      <c r="I506" s="84" t="str">
        <f aca="false">_xlfn.IFNA(VLOOKUP(G506,Table14543[],3,FALSE()),"")</f>
        <v/>
      </c>
      <c r="J506" s="83" t="str">
        <f aca="false">CONCATENATE("",G506,""," ",H506," ",I506)</f>
        <v>  </v>
      </c>
      <c r="K506" s="85"/>
      <c r="L506" s="86"/>
      <c r="M506" s="86"/>
      <c r="N506" s="86" t="n">
        <f aca="false">L506*M506</f>
        <v>0</v>
      </c>
      <c r="O506" s="86"/>
      <c r="P506" s="87" t="n">
        <f aca="false">(M506*L506)+O506</f>
        <v>0</v>
      </c>
      <c r="Q506" s="91"/>
    </row>
    <row r="507" customFormat="false" ht="14.25" hidden="false" customHeight="false" outlineLevel="0" collapsed="false">
      <c r="A507" s="77"/>
      <c r="B507" s="78"/>
      <c r="C507" s="79"/>
      <c r="D507" s="80" t="str">
        <f aca="false">_xlfn.IFNA(VLOOKUP(C507,'بيانات الآليات '!A:G,4,FALSE()),"")</f>
        <v/>
      </c>
      <c r="E507" s="81" t="str">
        <f aca="false">_xlfn.IFNA(VLOOKUP(C507,'بيانات الآليات '!A:G,2,FALSE()),"")</f>
        <v/>
      </c>
      <c r="F507" s="81" t="str">
        <f aca="false">_xlfn.IFNA(VLOOKUP(C507,'بيانات الآليات '!A:G,5,FALSE()),"")</f>
        <v/>
      </c>
      <c r="G507" s="82"/>
      <c r="H507" s="83" t="str">
        <f aca="false">_xlfn.IFNA(VLOOKUP(G507,Table14543[],2,FALSE()),"")</f>
        <v/>
      </c>
      <c r="I507" s="84" t="str">
        <f aca="false">_xlfn.IFNA(VLOOKUP(G507,Table14543[],3,FALSE()),"")</f>
        <v/>
      </c>
      <c r="J507" s="83" t="str">
        <f aca="false">CONCATENATE("",G507,""," ",H507," ",I507)</f>
        <v>  </v>
      </c>
      <c r="K507" s="85"/>
      <c r="L507" s="86"/>
      <c r="M507" s="86"/>
      <c r="N507" s="86" t="n">
        <f aca="false">L507*M507</f>
        <v>0</v>
      </c>
      <c r="O507" s="86"/>
      <c r="P507" s="87" t="n">
        <f aca="false">(M507*L507)+O507</f>
        <v>0</v>
      </c>
      <c r="Q507" s="91"/>
    </row>
    <row r="508" customFormat="false" ht="14.25" hidden="false" customHeight="false" outlineLevel="0" collapsed="false">
      <c r="A508" s="77"/>
      <c r="B508" s="78"/>
      <c r="C508" s="79"/>
      <c r="D508" s="80" t="str">
        <f aca="false">_xlfn.IFNA(VLOOKUP(C508,'بيانات الآليات '!A:G,4,FALSE()),"")</f>
        <v/>
      </c>
      <c r="E508" s="81" t="str">
        <f aca="false">_xlfn.IFNA(VLOOKUP(C508,'بيانات الآليات '!A:G,2,FALSE()),"")</f>
        <v/>
      </c>
      <c r="F508" s="81" t="str">
        <f aca="false">_xlfn.IFNA(VLOOKUP(C508,'بيانات الآليات '!A:G,5,FALSE()),"")</f>
        <v/>
      </c>
      <c r="G508" s="82"/>
      <c r="H508" s="83" t="str">
        <f aca="false">_xlfn.IFNA(VLOOKUP(G508,Table14543[],2,FALSE()),"")</f>
        <v/>
      </c>
      <c r="I508" s="84" t="str">
        <f aca="false">_xlfn.IFNA(VLOOKUP(G508,Table14543[],3,FALSE()),"")</f>
        <v/>
      </c>
      <c r="J508" s="83" t="str">
        <f aca="false">CONCATENATE("",G508,""," ",H508," ",I508)</f>
        <v>  </v>
      </c>
      <c r="K508" s="85"/>
      <c r="L508" s="86"/>
      <c r="M508" s="86"/>
      <c r="N508" s="86" t="n">
        <f aca="false">L508*M508</f>
        <v>0</v>
      </c>
      <c r="O508" s="86"/>
      <c r="P508" s="87" t="n">
        <f aca="false">(M508*L508)+O508</f>
        <v>0</v>
      </c>
      <c r="Q508" s="91"/>
    </row>
    <row r="509" customFormat="false" ht="14.25" hidden="false" customHeight="false" outlineLevel="0" collapsed="false">
      <c r="A509" s="77"/>
      <c r="B509" s="78"/>
      <c r="C509" s="79"/>
      <c r="D509" s="80" t="str">
        <f aca="false">_xlfn.IFNA(VLOOKUP(C509,'بيانات الآليات '!A:G,4,FALSE()),"")</f>
        <v/>
      </c>
      <c r="E509" s="81" t="str">
        <f aca="false">_xlfn.IFNA(VLOOKUP(C509,'بيانات الآليات '!A:G,2,FALSE()),"")</f>
        <v/>
      </c>
      <c r="F509" s="81" t="str">
        <f aca="false">_xlfn.IFNA(VLOOKUP(C509,'بيانات الآليات '!A:G,5,FALSE()),"")</f>
        <v/>
      </c>
      <c r="G509" s="82"/>
      <c r="H509" s="83" t="str">
        <f aca="false">_xlfn.IFNA(VLOOKUP(G509,Table14543[],2,FALSE()),"")</f>
        <v/>
      </c>
      <c r="I509" s="84" t="str">
        <f aca="false">_xlfn.IFNA(VLOOKUP(G509,Table14543[],3,FALSE()),"")</f>
        <v/>
      </c>
      <c r="J509" s="83" t="str">
        <f aca="false">CONCATENATE("",G509,""," ",H509," ",I509)</f>
        <v>  </v>
      </c>
      <c r="K509" s="85"/>
      <c r="L509" s="86"/>
      <c r="M509" s="86"/>
      <c r="N509" s="86" t="n">
        <f aca="false">L509*M509</f>
        <v>0</v>
      </c>
      <c r="O509" s="86"/>
      <c r="P509" s="87" t="n">
        <f aca="false">(M509*L509)+O509</f>
        <v>0</v>
      </c>
      <c r="Q509" s="91"/>
    </row>
    <row r="510" customFormat="false" ht="14.25" hidden="false" customHeight="false" outlineLevel="0" collapsed="false">
      <c r="A510" s="77"/>
      <c r="B510" s="78"/>
      <c r="C510" s="79"/>
      <c r="D510" s="80" t="str">
        <f aca="false">_xlfn.IFNA(VLOOKUP(C510,'بيانات الآليات '!A:G,4,FALSE()),"")</f>
        <v/>
      </c>
      <c r="E510" s="81" t="str">
        <f aca="false">_xlfn.IFNA(VLOOKUP(C510,'بيانات الآليات '!A:G,2,FALSE()),"")</f>
        <v/>
      </c>
      <c r="F510" s="81" t="str">
        <f aca="false">_xlfn.IFNA(VLOOKUP(C510,'بيانات الآليات '!A:G,5,FALSE()),"")</f>
        <v/>
      </c>
      <c r="G510" s="82"/>
      <c r="H510" s="83" t="str">
        <f aca="false">_xlfn.IFNA(VLOOKUP(G510,Table14543[],2,FALSE()),"")</f>
        <v/>
      </c>
      <c r="I510" s="84" t="str">
        <f aca="false">_xlfn.IFNA(VLOOKUP(G510,Table14543[],3,FALSE()),"")</f>
        <v/>
      </c>
      <c r="J510" s="83" t="str">
        <f aca="false">CONCATENATE("",G510,""," ",H510," ",I510)</f>
        <v>  </v>
      </c>
      <c r="K510" s="85"/>
      <c r="L510" s="86"/>
      <c r="M510" s="86"/>
      <c r="N510" s="86" t="n">
        <f aca="false">L510*M510</f>
        <v>0</v>
      </c>
      <c r="O510" s="86"/>
      <c r="P510" s="87" t="n">
        <f aca="false">(M510*L510)+O510</f>
        <v>0</v>
      </c>
      <c r="Q510" s="91"/>
    </row>
    <row r="511" customFormat="false" ht="14.25" hidden="false" customHeight="false" outlineLevel="0" collapsed="false">
      <c r="A511" s="77"/>
      <c r="B511" s="78"/>
      <c r="C511" s="79"/>
      <c r="D511" s="80" t="str">
        <f aca="false">_xlfn.IFNA(VLOOKUP(C511,'بيانات الآليات '!A:G,4,FALSE()),"")</f>
        <v/>
      </c>
      <c r="E511" s="81" t="str">
        <f aca="false">_xlfn.IFNA(VLOOKUP(C511,'بيانات الآليات '!A:G,2,FALSE()),"")</f>
        <v/>
      </c>
      <c r="F511" s="81" t="str">
        <f aca="false">_xlfn.IFNA(VLOOKUP(C511,'بيانات الآليات '!A:G,5,FALSE()),"")</f>
        <v/>
      </c>
      <c r="G511" s="82"/>
      <c r="H511" s="83" t="str">
        <f aca="false">_xlfn.IFNA(VLOOKUP(G511,Table14543[],2,FALSE()),"")</f>
        <v/>
      </c>
      <c r="I511" s="84" t="str">
        <f aca="false">_xlfn.IFNA(VLOOKUP(G511,Table14543[],3,FALSE()),"")</f>
        <v/>
      </c>
      <c r="J511" s="83" t="str">
        <f aca="false">CONCATENATE("",G511,""," ",H511," ",I511)</f>
        <v>  </v>
      </c>
      <c r="K511" s="85"/>
      <c r="L511" s="86"/>
      <c r="M511" s="86"/>
      <c r="N511" s="86" t="n">
        <f aca="false">L511*M511</f>
        <v>0</v>
      </c>
      <c r="O511" s="86"/>
      <c r="P511" s="87" t="n">
        <f aca="false">(M511*L511)+O511</f>
        <v>0</v>
      </c>
      <c r="Q511" s="91"/>
    </row>
    <row r="512" customFormat="false" ht="14.25" hidden="false" customHeight="false" outlineLevel="0" collapsed="false">
      <c r="A512" s="77"/>
      <c r="B512" s="78"/>
      <c r="C512" s="79"/>
      <c r="D512" s="80" t="str">
        <f aca="false">_xlfn.IFNA(VLOOKUP(C512,'بيانات الآليات '!A:G,4,FALSE()),"")</f>
        <v/>
      </c>
      <c r="E512" s="81" t="str">
        <f aca="false">_xlfn.IFNA(VLOOKUP(C512,'بيانات الآليات '!A:G,2,FALSE()),"")</f>
        <v/>
      </c>
      <c r="F512" s="81" t="str">
        <f aca="false">_xlfn.IFNA(VLOOKUP(C512,'بيانات الآليات '!A:G,5,FALSE()),"")</f>
        <v/>
      </c>
      <c r="G512" s="82"/>
      <c r="H512" s="83" t="str">
        <f aca="false">_xlfn.IFNA(VLOOKUP(G512,Table14543[],2,FALSE()),"")</f>
        <v/>
      </c>
      <c r="I512" s="84" t="str">
        <f aca="false">_xlfn.IFNA(VLOOKUP(G512,Table14543[],3,FALSE()),"")</f>
        <v/>
      </c>
      <c r="J512" s="83" t="str">
        <f aca="false">CONCATENATE("",G512,""," ",H512," ",I512)</f>
        <v>  </v>
      </c>
      <c r="K512" s="85"/>
      <c r="L512" s="86"/>
      <c r="M512" s="86"/>
      <c r="N512" s="86" t="n">
        <f aca="false">L512*M512</f>
        <v>0</v>
      </c>
      <c r="O512" s="86"/>
      <c r="P512" s="87" t="n">
        <f aca="false">(M512*L512)+O512</f>
        <v>0</v>
      </c>
      <c r="Q512" s="91"/>
    </row>
    <row r="513" customFormat="false" ht="14.25" hidden="false" customHeight="false" outlineLevel="0" collapsed="false">
      <c r="A513" s="77"/>
      <c r="B513" s="78"/>
      <c r="C513" s="79"/>
      <c r="D513" s="80" t="str">
        <f aca="false">_xlfn.IFNA(VLOOKUP(C513,'بيانات الآليات '!A:G,4,FALSE()),"")</f>
        <v/>
      </c>
      <c r="E513" s="81" t="str">
        <f aca="false">_xlfn.IFNA(VLOOKUP(C513,'بيانات الآليات '!A:G,2,FALSE()),"")</f>
        <v/>
      </c>
      <c r="F513" s="81" t="str">
        <f aca="false">_xlfn.IFNA(VLOOKUP(C513,'بيانات الآليات '!A:G,5,FALSE()),"")</f>
        <v/>
      </c>
      <c r="G513" s="82"/>
      <c r="H513" s="83" t="str">
        <f aca="false">_xlfn.IFNA(VLOOKUP(G513,Table14543[],2,FALSE()),"")</f>
        <v/>
      </c>
      <c r="I513" s="84" t="str">
        <f aca="false">_xlfn.IFNA(VLOOKUP(G513,Table14543[],3,FALSE()),"")</f>
        <v/>
      </c>
      <c r="J513" s="83" t="str">
        <f aca="false">CONCATENATE("",G513,""," ",H513," ",I513)</f>
        <v>  </v>
      </c>
      <c r="K513" s="85"/>
      <c r="L513" s="86"/>
      <c r="M513" s="86"/>
      <c r="N513" s="86" t="n">
        <f aca="false">L513*M513</f>
        <v>0</v>
      </c>
      <c r="O513" s="86"/>
      <c r="P513" s="87" t="n">
        <f aca="false">(M513*L513)+O513</f>
        <v>0</v>
      </c>
      <c r="Q513" s="91"/>
    </row>
    <row r="514" customFormat="false" ht="14.25" hidden="false" customHeight="false" outlineLevel="0" collapsed="false">
      <c r="A514" s="77"/>
      <c r="B514" s="78"/>
      <c r="C514" s="79"/>
      <c r="D514" s="80" t="str">
        <f aca="false">_xlfn.IFNA(VLOOKUP(C514,'بيانات الآليات '!A:G,4,FALSE()),"")</f>
        <v/>
      </c>
      <c r="E514" s="81" t="str">
        <f aca="false">_xlfn.IFNA(VLOOKUP(C514,'بيانات الآليات '!A:G,2,FALSE()),"")</f>
        <v/>
      </c>
      <c r="F514" s="81" t="str">
        <f aca="false">_xlfn.IFNA(VLOOKUP(C514,'بيانات الآليات '!A:G,5,FALSE()),"")</f>
        <v/>
      </c>
      <c r="G514" s="82"/>
      <c r="H514" s="83" t="str">
        <f aca="false">_xlfn.IFNA(VLOOKUP(G514,Table14543[],2,FALSE()),"")</f>
        <v/>
      </c>
      <c r="I514" s="84" t="str">
        <f aca="false">_xlfn.IFNA(VLOOKUP(G514,Table14543[],3,FALSE()),"")</f>
        <v/>
      </c>
      <c r="J514" s="83" t="str">
        <f aca="false">CONCATENATE("",G514,""," ",H514," ",I514)</f>
        <v>  </v>
      </c>
      <c r="K514" s="85"/>
      <c r="L514" s="86"/>
      <c r="M514" s="86"/>
      <c r="N514" s="86" t="n">
        <f aca="false">L514*M514</f>
        <v>0</v>
      </c>
      <c r="O514" s="86"/>
      <c r="P514" s="87" t="n">
        <f aca="false">(M514*L514)+O514</f>
        <v>0</v>
      </c>
      <c r="Q514" s="91"/>
    </row>
    <row r="515" customFormat="false" ht="14.25" hidden="false" customHeight="false" outlineLevel="0" collapsed="false">
      <c r="A515" s="77"/>
      <c r="B515" s="78"/>
      <c r="C515" s="79"/>
      <c r="D515" s="80" t="str">
        <f aca="false">_xlfn.IFNA(VLOOKUP(C515,'بيانات الآليات '!A:G,4,FALSE()),"")</f>
        <v/>
      </c>
      <c r="E515" s="81" t="str">
        <f aca="false">_xlfn.IFNA(VLOOKUP(C515,'بيانات الآليات '!A:G,2,FALSE()),"")</f>
        <v/>
      </c>
      <c r="F515" s="81" t="str">
        <f aca="false">_xlfn.IFNA(VLOOKUP(C515,'بيانات الآليات '!A:G,5,FALSE()),"")</f>
        <v/>
      </c>
      <c r="G515" s="82"/>
      <c r="H515" s="83" t="str">
        <f aca="false">_xlfn.IFNA(VLOOKUP(G515,Table14543[],2,FALSE()),"")</f>
        <v/>
      </c>
      <c r="I515" s="84" t="str">
        <f aca="false">_xlfn.IFNA(VLOOKUP(G515,Table14543[],3,FALSE()),"")</f>
        <v/>
      </c>
      <c r="J515" s="83" t="str">
        <f aca="false">CONCATENATE("",G515,""," ",H515," ",I515)</f>
        <v>  </v>
      </c>
      <c r="K515" s="85"/>
      <c r="L515" s="86"/>
      <c r="M515" s="86"/>
      <c r="N515" s="86" t="n">
        <f aca="false">L515*M515</f>
        <v>0</v>
      </c>
      <c r="O515" s="86"/>
      <c r="P515" s="87" t="n">
        <f aca="false">(M515*L515)+O515</f>
        <v>0</v>
      </c>
      <c r="Q515" s="91"/>
    </row>
    <row r="516" customFormat="false" ht="14.25" hidden="false" customHeight="false" outlineLevel="0" collapsed="false">
      <c r="A516" s="77"/>
      <c r="B516" s="78"/>
      <c r="C516" s="79"/>
      <c r="D516" s="80" t="str">
        <f aca="false">_xlfn.IFNA(VLOOKUP(C516,'بيانات الآليات '!A:G,4,FALSE()),"")</f>
        <v/>
      </c>
      <c r="E516" s="81" t="str">
        <f aca="false">_xlfn.IFNA(VLOOKUP(C516,'بيانات الآليات '!A:G,2,FALSE()),"")</f>
        <v/>
      </c>
      <c r="F516" s="81" t="str">
        <f aca="false">_xlfn.IFNA(VLOOKUP(C516,'بيانات الآليات '!A:G,5,FALSE()),"")</f>
        <v/>
      </c>
      <c r="G516" s="82"/>
      <c r="H516" s="83" t="str">
        <f aca="false">_xlfn.IFNA(VLOOKUP(G516,Table14543[],2,FALSE()),"")</f>
        <v/>
      </c>
      <c r="I516" s="84" t="str">
        <f aca="false">_xlfn.IFNA(VLOOKUP(G516,Table14543[],3,FALSE()),"")</f>
        <v/>
      </c>
      <c r="J516" s="83" t="str">
        <f aca="false">CONCATENATE("",G516,""," ",H516," ",I516)</f>
        <v>  </v>
      </c>
      <c r="K516" s="85"/>
      <c r="L516" s="86"/>
      <c r="M516" s="86"/>
      <c r="N516" s="86" t="n">
        <f aca="false">L516*M516</f>
        <v>0</v>
      </c>
      <c r="O516" s="86"/>
      <c r="P516" s="87" t="n">
        <f aca="false">(M516*L516)+O516</f>
        <v>0</v>
      </c>
      <c r="Q516" s="91"/>
    </row>
    <row r="517" customFormat="false" ht="14.25" hidden="false" customHeight="false" outlineLevel="0" collapsed="false">
      <c r="A517" s="77"/>
      <c r="B517" s="78"/>
      <c r="C517" s="79"/>
      <c r="D517" s="80" t="str">
        <f aca="false">_xlfn.IFNA(VLOOKUP(C517,'بيانات الآليات '!A:G,4,FALSE()),"")</f>
        <v/>
      </c>
      <c r="E517" s="81" t="str">
        <f aca="false">_xlfn.IFNA(VLOOKUP(C517,'بيانات الآليات '!A:G,2,FALSE()),"")</f>
        <v/>
      </c>
      <c r="F517" s="81" t="str">
        <f aca="false">_xlfn.IFNA(VLOOKUP(C517,'بيانات الآليات '!A:G,5,FALSE()),"")</f>
        <v/>
      </c>
      <c r="G517" s="82"/>
      <c r="H517" s="83" t="str">
        <f aca="false">_xlfn.IFNA(VLOOKUP(G517,Table14543[],2,FALSE()),"")</f>
        <v/>
      </c>
      <c r="I517" s="84" t="str">
        <f aca="false">_xlfn.IFNA(VLOOKUP(G517,Table14543[],3,FALSE()),"")</f>
        <v/>
      </c>
      <c r="J517" s="83" t="str">
        <f aca="false">CONCATENATE("",G517,""," ",H517," ",I517)</f>
        <v>  </v>
      </c>
      <c r="K517" s="85"/>
      <c r="L517" s="86"/>
      <c r="M517" s="86"/>
      <c r="N517" s="86" t="n">
        <f aca="false">L517*M517</f>
        <v>0</v>
      </c>
      <c r="O517" s="86"/>
      <c r="P517" s="87" t="n">
        <f aca="false">(M517*L517)+O517</f>
        <v>0</v>
      </c>
      <c r="Q517" s="91"/>
    </row>
    <row r="518" customFormat="false" ht="14.25" hidden="false" customHeight="false" outlineLevel="0" collapsed="false">
      <c r="A518" s="77"/>
      <c r="B518" s="78"/>
      <c r="C518" s="79"/>
      <c r="D518" s="80" t="str">
        <f aca="false">_xlfn.IFNA(VLOOKUP(C518,'بيانات الآليات '!A:G,4,FALSE()),"")</f>
        <v/>
      </c>
      <c r="E518" s="81" t="str">
        <f aca="false">_xlfn.IFNA(VLOOKUP(C518,'بيانات الآليات '!A:G,2,FALSE()),"")</f>
        <v/>
      </c>
      <c r="F518" s="81" t="str">
        <f aca="false">_xlfn.IFNA(VLOOKUP(C518,'بيانات الآليات '!A:G,5,FALSE()),"")</f>
        <v/>
      </c>
      <c r="G518" s="82"/>
      <c r="H518" s="83" t="str">
        <f aca="false">_xlfn.IFNA(VLOOKUP(G518,Table14543[],2,FALSE()),"")</f>
        <v/>
      </c>
      <c r="I518" s="84" t="str">
        <f aca="false">_xlfn.IFNA(VLOOKUP(G518,Table14543[],3,FALSE()),"")</f>
        <v/>
      </c>
      <c r="J518" s="83" t="str">
        <f aca="false">CONCATENATE("",G518,""," ",H518," ",I518)</f>
        <v>  </v>
      </c>
      <c r="K518" s="85"/>
      <c r="L518" s="86"/>
      <c r="M518" s="86"/>
      <c r="N518" s="86" t="n">
        <f aca="false">L518*M518</f>
        <v>0</v>
      </c>
      <c r="O518" s="86"/>
      <c r="P518" s="87" t="n">
        <f aca="false">(M518*L518)+O518</f>
        <v>0</v>
      </c>
      <c r="Q518" s="91"/>
    </row>
    <row r="519" customFormat="false" ht="14.25" hidden="false" customHeight="false" outlineLevel="0" collapsed="false">
      <c r="A519" s="77"/>
      <c r="B519" s="78"/>
      <c r="C519" s="79"/>
      <c r="D519" s="80" t="str">
        <f aca="false">_xlfn.IFNA(VLOOKUP(C519,'بيانات الآليات '!A:G,4,FALSE()),"")</f>
        <v/>
      </c>
      <c r="E519" s="81" t="str">
        <f aca="false">_xlfn.IFNA(VLOOKUP(C519,'بيانات الآليات '!A:G,2,FALSE()),"")</f>
        <v/>
      </c>
      <c r="F519" s="81" t="str">
        <f aca="false">_xlfn.IFNA(VLOOKUP(C519,'بيانات الآليات '!A:G,5,FALSE()),"")</f>
        <v/>
      </c>
      <c r="G519" s="82"/>
      <c r="H519" s="83" t="str">
        <f aca="false">_xlfn.IFNA(VLOOKUP(G519,Table14543[],2,FALSE()),"")</f>
        <v/>
      </c>
      <c r="I519" s="84" t="str">
        <f aca="false">_xlfn.IFNA(VLOOKUP(G519,Table14543[],3,FALSE()),"")</f>
        <v/>
      </c>
      <c r="J519" s="83" t="str">
        <f aca="false">CONCATENATE("",G519,""," ",H519," ",I519)</f>
        <v>  </v>
      </c>
      <c r="K519" s="85"/>
      <c r="L519" s="86"/>
      <c r="M519" s="86"/>
      <c r="N519" s="86" t="n">
        <f aca="false">L519*M519</f>
        <v>0</v>
      </c>
      <c r="O519" s="86"/>
      <c r="P519" s="87" t="n">
        <f aca="false">(M519*L519)+O519</f>
        <v>0</v>
      </c>
      <c r="Q519" s="91"/>
    </row>
    <row r="520" customFormat="false" ht="14.25" hidden="false" customHeight="false" outlineLevel="0" collapsed="false">
      <c r="A520" s="77"/>
      <c r="B520" s="78"/>
      <c r="C520" s="79"/>
      <c r="D520" s="80" t="str">
        <f aca="false">_xlfn.IFNA(VLOOKUP(C520,'بيانات الآليات '!A:G,4,FALSE()),"")</f>
        <v/>
      </c>
      <c r="E520" s="81" t="str">
        <f aca="false">_xlfn.IFNA(VLOOKUP(C520,'بيانات الآليات '!A:G,2,FALSE()),"")</f>
        <v/>
      </c>
      <c r="F520" s="81" t="str">
        <f aca="false">_xlfn.IFNA(VLOOKUP(C520,'بيانات الآليات '!A:G,5,FALSE()),"")</f>
        <v/>
      </c>
      <c r="G520" s="82"/>
      <c r="H520" s="83" t="str">
        <f aca="false">_xlfn.IFNA(VLOOKUP(G520,Table14543[],2,FALSE()),"")</f>
        <v/>
      </c>
      <c r="I520" s="84" t="str">
        <f aca="false">_xlfn.IFNA(VLOOKUP(G520,Table14543[],3,FALSE()),"")</f>
        <v/>
      </c>
      <c r="J520" s="83" t="str">
        <f aca="false">CONCATENATE("",G520,""," ",H520," ",I520)</f>
        <v>  </v>
      </c>
      <c r="K520" s="85"/>
      <c r="L520" s="86"/>
      <c r="M520" s="86"/>
      <c r="N520" s="86" t="n">
        <f aca="false">L520*M520</f>
        <v>0</v>
      </c>
      <c r="O520" s="86"/>
      <c r="P520" s="87" t="n">
        <f aca="false">(M520*L520)+O520</f>
        <v>0</v>
      </c>
      <c r="Q520" s="91"/>
    </row>
    <row r="521" customFormat="false" ht="14.25" hidden="false" customHeight="false" outlineLevel="0" collapsed="false">
      <c r="A521" s="77"/>
      <c r="B521" s="78"/>
      <c r="C521" s="79"/>
      <c r="D521" s="80" t="str">
        <f aca="false">_xlfn.IFNA(VLOOKUP(C521,'بيانات الآليات '!A:G,4,FALSE()),"")</f>
        <v/>
      </c>
      <c r="E521" s="81" t="str">
        <f aca="false">_xlfn.IFNA(VLOOKUP(C521,'بيانات الآليات '!A:G,2,FALSE()),"")</f>
        <v/>
      </c>
      <c r="F521" s="81" t="str">
        <f aca="false">_xlfn.IFNA(VLOOKUP(C521,'بيانات الآليات '!A:G,5,FALSE()),"")</f>
        <v/>
      </c>
      <c r="G521" s="82"/>
      <c r="H521" s="83" t="str">
        <f aca="false">_xlfn.IFNA(VLOOKUP(G521,Table14543[],2,FALSE()),"")</f>
        <v/>
      </c>
      <c r="I521" s="84" t="str">
        <f aca="false">_xlfn.IFNA(VLOOKUP(G521,Table14543[],3,FALSE()),"")</f>
        <v/>
      </c>
      <c r="J521" s="83" t="str">
        <f aca="false">CONCATENATE("",G521,""," ",H521," ",I521)</f>
        <v>  </v>
      </c>
      <c r="K521" s="85"/>
      <c r="L521" s="86"/>
      <c r="M521" s="86"/>
      <c r="N521" s="86" t="n">
        <f aca="false">L521*M521</f>
        <v>0</v>
      </c>
      <c r="O521" s="86"/>
      <c r="P521" s="87" t="n">
        <f aca="false">(M521*L521)+O521</f>
        <v>0</v>
      </c>
      <c r="Q521" s="91"/>
    </row>
    <row r="522" customFormat="false" ht="14.25" hidden="false" customHeight="false" outlineLevel="0" collapsed="false">
      <c r="A522" s="77"/>
      <c r="B522" s="78"/>
      <c r="C522" s="79"/>
      <c r="D522" s="80" t="str">
        <f aca="false">_xlfn.IFNA(VLOOKUP(C522,'بيانات الآليات '!A:G,4,FALSE()),"")</f>
        <v/>
      </c>
      <c r="E522" s="81" t="str">
        <f aca="false">_xlfn.IFNA(VLOOKUP(C522,'بيانات الآليات '!A:G,2,FALSE()),"")</f>
        <v/>
      </c>
      <c r="F522" s="81" t="str">
        <f aca="false">_xlfn.IFNA(VLOOKUP(C522,'بيانات الآليات '!A:G,5,FALSE()),"")</f>
        <v/>
      </c>
      <c r="G522" s="82"/>
      <c r="H522" s="83" t="str">
        <f aca="false">_xlfn.IFNA(VLOOKUP(G522,Table14543[],2,FALSE()),"")</f>
        <v/>
      </c>
      <c r="I522" s="84" t="str">
        <f aca="false">_xlfn.IFNA(VLOOKUP(G522,Table14543[],3,FALSE()),"")</f>
        <v/>
      </c>
      <c r="J522" s="83" t="str">
        <f aca="false">CONCATENATE("",G522,""," ",H522," ",I522)</f>
        <v>  </v>
      </c>
      <c r="K522" s="85"/>
      <c r="L522" s="86"/>
      <c r="M522" s="86"/>
      <c r="N522" s="86" t="n">
        <f aca="false">L522*M522</f>
        <v>0</v>
      </c>
      <c r="O522" s="86"/>
      <c r="P522" s="87" t="n">
        <f aca="false">(M522*L522)+O522</f>
        <v>0</v>
      </c>
      <c r="Q522" s="91"/>
    </row>
    <row r="523" customFormat="false" ht="14.25" hidden="false" customHeight="false" outlineLevel="0" collapsed="false">
      <c r="A523" s="77"/>
      <c r="B523" s="78"/>
      <c r="C523" s="79"/>
      <c r="D523" s="80" t="str">
        <f aca="false">_xlfn.IFNA(VLOOKUP(C523,'بيانات الآليات '!A:G,4,FALSE()),"")</f>
        <v/>
      </c>
      <c r="E523" s="81" t="str">
        <f aca="false">_xlfn.IFNA(VLOOKUP(C523,'بيانات الآليات '!A:G,2,FALSE()),"")</f>
        <v/>
      </c>
      <c r="F523" s="81" t="str">
        <f aca="false">_xlfn.IFNA(VLOOKUP(C523,'بيانات الآليات '!A:G,5,FALSE()),"")</f>
        <v/>
      </c>
      <c r="G523" s="82"/>
      <c r="H523" s="83" t="str">
        <f aca="false">_xlfn.IFNA(VLOOKUP(G523,Table14543[],2,FALSE()),"")</f>
        <v/>
      </c>
      <c r="I523" s="84" t="str">
        <f aca="false">_xlfn.IFNA(VLOOKUP(G523,Table14543[],3,FALSE()),"")</f>
        <v/>
      </c>
      <c r="J523" s="83" t="str">
        <f aca="false">CONCATENATE("",G523,""," ",H523," ",I523)</f>
        <v>  </v>
      </c>
      <c r="K523" s="85"/>
      <c r="L523" s="86"/>
      <c r="M523" s="86"/>
      <c r="N523" s="86" t="n">
        <f aca="false">L523*M523</f>
        <v>0</v>
      </c>
      <c r="O523" s="86"/>
      <c r="P523" s="87" t="n">
        <f aca="false">(M523*L523)+O523</f>
        <v>0</v>
      </c>
      <c r="Q523" s="91"/>
    </row>
    <row r="524" customFormat="false" ht="14.25" hidden="false" customHeight="false" outlineLevel="0" collapsed="false">
      <c r="A524" s="77"/>
      <c r="B524" s="78"/>
      <c r="C524" s="79"/>
      <c r="D524" s="80" t="str">
        <f aca="false">_xlfn.IFNA(VLOOKUP(C524,'بيانات الآليات '!A:G,4,FALSE()),"")</f>
        <v/>
      </c>
      <c r="E524" s="81" t="str">
        <f aca="false">_xlfn.IFNA(VLOOKUP(C524,'بيانات الآليات '!A:G,2,FALSE()),"")</f>
        <v/>
      </c>
      <c r="F524" s="81" t="str">
        <f aca="false">_xlfn.IFNA(VLOOKUP(C524,'بيانات الآليات '!A:G,5,FALSE()),"")</f>
        <v/>
      </c>
      <c r="G524" s="82"/>
      <c r="H524" s="83" t="str">
        <f aca="false">_xlfn.IFNA(VLOOKUP(G524,Table14543[],2,FALSE()),"")</f>
        <v/>
      </c>
      <c r="I524" s="84" t="str">
        <f aca="false">_xlfn.IFNA(VLOOKUP(G524,Table14543[],3,FALSE()),"")</f>
        <v/>
      </c>
      <c r="J524" s="83" t="str">
        <f aca="false">CONCATENATE("",G524,""," ",H524," ",I524)</f>
        <v>  </v>
      </c>
      <c r="K524" s="85"/>
      <c r="L524" s="86"/>
      <c r="M524" s="86"/>
      <c r="N524" s="86" t="n">
        <f aca="false">L524*M524</f>
        <v>0</v>
      </c>
      <c r="O524" s="86"/>
      <c r="P524" s="87" t="n">
        <f aca="false">(M524*L524)+O524</f>
        <v>0</v>
      </c>
      <c r="Q524" s="91"/>
    </row>
    <row r="525" customFormat="false" ht="14.25" hidden="false" customHeight="false" outlineLevel="0" collapsed="false">
      <c r="A525" s="77"/>
      <c r="B525" s="78"/>
      <c r="C525" s="79"/>
      <c r="D525" s="80" t="str">
        <f aca="false">_xlfn.IFNA(VLOOKUP(C525,'بيانات الآليات '!A:G,4,FALSE()),"")</f>
        <v/>
      </c>
      <c r="E525" s="81" t="str">
        <f aca="false">_xlfn.IFNA(VLOOKUP(C525,'بيانات الآليات '!A:G,2,FALSE()),"")</f>
        <v/>
      </c>
      <c r="F525" s="81" t="str">
        <f aca="false">_xlfn.IFNA(VLOOKUP(C525,'بيانات الآليات '!A:G,5,FALSE()),"")</f>
        <v/>
      </c>
      <c r="G525" s="82"/>
      <c r="H525" s="83" t="str">
        <f aca="false">_xlfn.IFNA(VLOOKUP(G525,Table14543[],2,FALSE()),"")</f>
        <v/>
      </c>
      <c r="I525" s="84" t="str">
        <f aca="false">_xlfn.IFNA(VLOOKUP(G525,Table14543[],3,FALSE()),"")</f>
        <v/>
      </c>
      <c r="J525" s="83" t="str">
        <f aca="false">CONCATENATE("",G525,""," ",H525," ",I525)</f>
        <v>  </v>
      </c>
      <c r="K525" s="85"/>
      <c r="L525" s="86"/>
      <c r="M525" s="86"/>
      <c r="N525" s="86" t="n">
        <f aca="false">L525*M525</f>
        <v>0</v>
      </c>
      <c r="O525" s="86"/>
      <c r="P525" s="87" t="n">
        <f aca="false">(M525*L525)+O525</f>
        <v>0</v>
      </c>
      <c r="Q525" s="91"/>
    </row>
    <row r="526" customFormat="false" ht="14.25" hidden="false" customHeight="false" outlineLevel="0" collapsed="false">
      <c r="A526" s="77"/>
      <c r="B526" s="78"/>
      <c r="C526" s="79"/>
      <c r="D526" s="80" t="str">
        <f aca="false">_xlfn.IFNA(VLOOKUP(C526,'بيانات الآليات '!A:G,4,FALSE()),"")</f>
        <v/>
      </c>
      <c r="E526" s="81" t="str">
        <f aca="false">_xlfn.IFNA(VLOOKUP(C526,'بيانات الآليات '!A:G,2,FALSE()),"")</f>
        <v/>
      </c>
      <c r="F526" s="81" t="str">
        <f aca="false">_xlfn.IFNA(VLOOKUP(C526,'بيانات الآليات '!A:G,5,FALSE()),"")</f>
        <v/>
      </c>
      <c r="G526" s="82"/>
      <c r="H526" s="83" t="str">
        <f aca="false">_xlfn.IFNA(VLOOKUP(G526,Table14543[],2,FALSE()),"")</f>
        <v/>
      </c>
      <c r="I526" s="84" t="str">
        <f aca="false">_xlfn.IFNA(VLOOKUP(G526,Table14543[],3,FALSE()),"")</f>
        <v/>
      </c>
      <c r="J526" s="83" t="str">
        <f aca="false">CONCATENATE("",G526,""," ",H526," ",I526)</f>
        <v>  </v>
      </c>
      <c r="K526" s="85"/>
      <c r="L526" s="86"/>
      <c r="M526" s="86"/>
      <c r="N526" s="86" t="n">
        <f aca="false">L526*M526</f>
        <v>0</v>
      </c>
      <c r="O526" s="86"/>
      <c r="P526" s="87" t="n">
        <f aca="false">(M526*L526)+O526</f>
        <v>0</v>
      </c>
      <c r="Q526" s="91"/>
    </row>
    <row r="527" customFormat="false" ht="14.25" hidden="false" customHeight="false" outlineLevel="0" collapsed="false">
      <c r="A527" s="77"/>
      <c r="B527" s="78"/>
      <c r="C527" s="79"/>
      <c r="D527" s="80" t="str">
        <f aca="false">_xlfn.IFNA(VLOOKUP(C527,'بيانات الآليات '!A:G,4,FALSE()),"")</f>
        <v/>
      </c>
      <c r="E527" s="81" t="str">
        <f aca="false">_xlfn.IFNA(VLOOKUP(C527,'بيانات الآليات '!A:G,2,FALSE()),"")</f>
        <v/>
      </c>
      <c r="F527" s="81" t="str">
        <f aca="false">_xlfn.IFNA(VLOOKUP(C527,'بيانات الآليات '!A:G,5,FALSE()),"")</f>
        <v/>
      </c>
      <c r="G527" s="82"/>
      <c r="H527" s="83" t="str">
        <f aca="false">_xlfn.IFNA(VLOOKUP(G527,Table14543[],2,FALSE()),"")</f>
        <v/>
      </c>
      <c r="I527" s="84" t="str">
        <f aca="false">_xlfn.IFNA(VLOOKUP(G527,Table14543[],3,FALSE()),"")</f>
        <v/>
      </c>
      <c r="J527" s="83" t="str">
        <f aca="false">CONCATENATE("",G527,""," ",H527," ",I527)</f>
        <v>  </v>
      </c>
      <c r="K527" s="85"/>
      <c r="L527" s="86"/>
      <c r="M527" s="86"/>
      <c r="N527" s="86" t="n">
        <f aca="false">L527*M527</f>
        <v>0</v>
      </c>
      <c r="O527" s="86"/>
      <c r="P527" s="87" t="n">
        <f aca="false">(M527*L527)+O527</f>
        <v>0</v>
      </c>
      <c r="Q527" s="91"/>
    </row>
    <row r="528" customFormat="false" ht="14.25" hidden="false" customHeight="false" outlineLevel="0" collapsed="false">
      <c r="A528" s="77"/>
      <c r="B528" s="78"/>
      <c r="C528" s="79"/>
      <c r="D528" s="80" t="str">
        <f aca="false">_xlfn.IFNA(VLOOKUP(C528,'بيانات الآليات '!A:G,4,FALSE()),"")</f>
        <v/>
      </c>
      <c r="E528" s="81" t="str">
        <f aca="false">_xlfn.IFNA(VLOOKUP(C528,'بيانات الآليات '!A:G,2,FALSE()),"")</f>
        <v/>
      </c>
      <c r="F528" s="81" t="str">
        <f aca="false">_xlfn.IFNA(VLOOKUP(C528,'بيانات الآليات '!A:G,5,FALSE()),"")</f>
        <v/>
      </c>
      <c r="G528" s="82"/>
      <c r="H528" s="83" t="str">
        <f aca="false">_xlfn.IFNA(VLOOKUP(G528,Table14543[],2,FALSE()),"")</f>
        <v/>
      </c>
      <c r="I528" s="84" t="str">
        <f aca="false">_xlfn.IFNA(VLOOKUP(G528,Table14543[],3,FALSE()),"")</f>
        <v/>
      </c>
      <c r="J528" s="83" t="str">
        <f aca="false">CONCATENATE("",G528,""," ",H528," ",I528)</f>
        <v>  </v>
      </c>
      <c r="K528" s="85"/>
      <c r="L528" s="86"/>
      <c r="M528" s="86"/>
      <c r="N528" s="86" t="n">
        <f aca="false">L528*M528</f>
        <v>0</v>
      </c>
      <c r="O528" s="86"/>
      <c r="P528" s="87" t="n">
        <f aca="false">(M528*L528)+O528</f>
        <v>0</v>
      </c>
      <c r="Q528" s="91"/>
    </row>
    <row r="529" customFormat="false" ht="14.25" hidden="false" customHeight="false" outlineLevel="0" collapsed="false">
      <c r="A529" s="77"/>
      <c r="B529" s="78"/>
      <c r="C529" s="79"/>
      <c r="D529" s="80" t="str">
        <f aca="false">_xlfn.IFNA(VLOOKUP(C529,'بيانات الآليات '!A:G,4,FALSE()),"")</f>
        <v/>
      </c>
      <c r="E529" s="81" t="str">
        <f aca="false">_xlfn.IFNA(VLOOKUP(C529,'بيانات الآليات '!A:G,2,FALSE()),"")</f>
        <v/>
      </c>
      <c r="F529" s="81" t="str">
        <f aca="false">_xlfn.IFNA(VLOOKUP(C529,'بيانات الآليات '!A:G,5,FALSE()),"")</f>
        <v/>
      </c>
      <c r="G529" s="82"/>
      <c r="H529" s="83" t="str">
        <f aca="false">_xlfn.IFNA(VLOOKUP(G529,Table14543[],2,FALSE()),"")</f>
        <v/>
      </c>
      <c r="I529" s="84" t="str">
        <f aca="false">_xlfn.IFNA(VLOOKUP(G529,Table14543[],3,FALSE()),"")</f>
        <v/>
      </c>
      <c r="J529" s="83" t="str">
        <f aca="false">CONCATENATE("",G529,""," ",H529," ",I529)</f>
        <v>  </v>
      </c>
      <c r="K529" s="85"/>
      <c r="L529" s="86"/>
      <c r="M529" s="86"/>
      <c r="N529" s="86" t="n">
        <f aca="false">L529*M529</f>
        <v>0</v>
      </c>
      <c r="O529" s="86"/>
      <c r="P529" s="87" t="n">
        <f aca="false">(M529*L529)+O529</f>
        <v>0</v>
      </c>
      <c r="Q529" s="91"/>
    </row>
    <row r="530" customFormat="false" ht="14.25" hidden="false" customHeight="false" outlineLevel="0" collapsed="false">
      <c r="A530" s="77"/>
      <c r="B530" s="78"/>
      <c r="C530" s="79"/>
      <c r="D530" s="80" t="str">
        <f aca="false">_xlfn.IFNA(VLOOKUP(C530,'بيانات الآليات '!A:G,4,FALSE()),"")</f>
        <v/>
      </c>
      <c r="E530" s="81" t="str">
        <f aca="false">_xlfn.IFNA(VLOOKUP(C530,'بيانات الآليات '!A:G,2,FALSE()),"")</f>
        <v/>
      </c>
      <c r="F530" s="81" t="str">
        <f aca="false">_xlfn.IFNA(VLOOKUP(C530,'بيانات الآليات '!A:G,5,FALSE()),"")</f>
        <v/>
      </c>
      <c r="G530" s="82"/>
      <c r="H530" s="83" t="str">
        <f aca="false">_xlfn.IFNA(VLOOKUP(G530,Table14543[],2,FALSE()),"")</f>
        <v/>
      </c>
      <c r="I530" s="84" t="str">
        <f aca="false">_xlfn.IFNA(VLOOKUP(G530,Table14543[],3,FALSE()),"")</f>
        <v/>
      </c>
      <c r="J530" s="83" t="str">
        <f aca="false">CONCATENATE("",G530,""," ",H530," ",I530)</f>
        <v>  </v>
      </c>
      <c r="K530" s="85"/>
      <c r="L530" s="86"/>
      <c r="M530" s="86"/>
      <c r="N530" s="86" t="n">
        <f aca="false">L530*M530</f>
        <v>0</v>
      </c>
      <c r="O530" s="86"/>
      <c r="P530" s="87" t="n">
        <f aca="false">(M530*L530)+O530</f>
        <v>0</v>
      </c>
      <c r="Q530" s="91"/>
    </row>
    <row r="531" customFormat="false" ht="14.25" hidden="false" customHeight="false" outlineLevel="0" collapsed="false">
      <c r="A531" s="77"/>
      <c r="B531" s="78"/>
      <c r="C531" s="79"/>
      <c r="D531" s="80" t="str">
        <f aca="false">_xlfn.IFNA(VLOOKUP(C531,'بيانات الآليات '!A:G,4,FALSE()),"")</f>
        <v/>
      </c>
      <c r="E531" s="81" t="str">
        <f aca="false">_xlfn.IFNA(VLOOKUP(C531,'بيانات الآليات '!A:G,2,FALSE()),"")</f>
        <v/>
      </c>
      <c r="F531" s="81" t="str">
        <f aca="false">_xlfn.IFNA(VLOOKUP(C531,'بيانات الآليات '!A:G,5,FALSE()),"")</f>
        <v/>
      </c>
      <c r="G531" s="82"/>
      <c r="H531" s="83" t="str">
        <f aca="false">_xlfn.IFNA(VLOOKUP(G531,Table14543[],2,FALSE()),"")</f>
        <v/>
      </c>
      <c r="I531" s="84" t="str">
        <f aca="false">_xlfn.IFNA(VLOOKUP(G531,Table14543[],3,FALSE()),"")</f>
        <v/>
      </c>
      <c r="J531" s="83" t="str">
        <f aca="false">CONCATENATE("",G531,""," ",H531," ",I531)</f>
        <v>  </v>
      </c>
      <c r="K531" s="85"/>
      <c r="L531" s="86"/>
      <c r="M531" s="86"/>
      <c r="N531" s="86" t="n">
        <f aca="false">L531*M531</f>
        <v>0</v>
      </c>
      <c r="O531" s="86"/>
      <c r="P531" s="87" t="n">
        <f aca="false">(M531*L531)+O531</f>
        <v>0</v>
      </c>
      <c r="Q531" s="91"/>
    </row>
    <row r="532" customFormat="false" ht="14.25" hidden="false" customHeight="false" outlineLevel="0" collapsed="false">
      <c r="A532" s="77"/>
      <c r="B532" s="78"/>
      <c r="C532" s="79"/>
      <c r="D532" s="80" t="str">
        <f aca="false">_xlfn.IFNA(VLOOKUP(C532,'بيانات الآليات '!A:G,4,FALSE()),"")</f>
        <v/>
      </c>
      <c r="E532" s="81" t="str">
        <f aca="false">_xlfn.IFNA(VLOOKUP(C532,'بيانات الآليات '!A:G,2,FALSE()),"")</f>
        <v/>
      </c>
      <c r="F532" s="81" t="str">
        <f aca="false">_xlfn.IFNA(VLOOKUP(C532,'بيانات الآليات '!A:G,5,FALSE()),"")</f>
        <v/>
      </c>
      <c r="G532" s="82"/>
      <c r="H532" s="83" t="str">
        <f aca="false">_xlfn.IFNA(VLOOKUP(G532,Table14543[],2,FALSE()),"")</f>
        <v/>
      </c>
      <c r="I532" s="84" t="str">
        <f aca="false">_xlfn.IFNA(VLOOKUP(G532,Table14543[],3,FALSE()),"")</f>
        <v/>
      </c>
      <c r="J532" s="83" t="str">
        <f aca="false">CONCATENATE("",G532,""," ",H532," ",I532)</f>
        <v>  </v>
      </c>
      <c r="K532" s="85"/>
      <c r="L532" s="86"/>
      <c r="M532" s="86"/>
      <c r="N532" s="86" t="n">
        <f aca="false">L532*M532</f>
        <v>0</v>
      </c>
      <c r="O532" s="86"/>
      <c r="P532" s="87" t="n">
        <f aca="false">(M532*L532)+O532</f>
        <v>0</v>
      </c>
      <c r="Q532" s="91"/>
    </row>
    <row r="533" customFormat="false" ht="14.25" hidden="false" customHeight="false" outlineLevel="0" collapsed="false">
      <c r="A533" s="77"/>
      <c r="B533" s="78"/>
      <c r="C533" s="79"/>
      <c r="D533" s="80" t="str">
        <f aca="false">_xlfn.IFNA(VLOOKUP(C533,'بيانات الآليات '!A:G,4,FALSE()),"")</f>
        <v/>
      </c>
      <c r="E533" s="81" t="str">
        <f aca="false">_xlfn.IFNA(VLOOKUP(C533,'بيانات الآليات '!A:G,2,FALSE()),"")</f>
        <v/>
      </c>
      <c r="F533" s="81" t="str">
        <f aca="false">_xlfn.IFNA(VLOOKUP(C533,'بيانات الآليات '!A:G,5,FALSE()),"")</f>
        <v/>
      </c>
      <c r="G533" s="82"/>
      <c r="H533" s="83" t="str">
        <f aca="false">_xlfn.IFNA(VLOOKUP(G533,Table14543[],2,FALSE()),"")</f>
        <v/>
      </c>
      <c r="I533" s="84" t="str">
        <f aca="false">_xlfn.IFNA(VLOOKUP(G533,Table14543[],3,FALSE()),"")</f>
        <v/>
      </c>
      <c r="J533" s="83" t="str">
        <f aca="false">CONCATENATE("",G533,""," ",H533," ",I533)</f>
        <v>  </v>
      </c>
      <c r="K533" s="85"/>
      <c r="L533" s="86"/>
      <c r="M533" s="86"/>
      <c r="N533" s="86" t="n">
        <f aca="false">L533*M533</f>
        <v>0</v>
      </c>
      <c r="O533" s="86"/>
      <c r="P533" s="87" t="n">
        <f aca="false">(M533*L533)+O533</f>
        <v>0</v>
      </c>
      <c r="Q533" s="91"/>
    </row>
    <row r="534" customFormat="false" ht="14.25" hidden="false" customHeight="false" outlineLevel="0" collapsed="false">
      <c r="A534" s="77"/>
      <c r="B534" s="78"/>
      <c r="C534" s="79"/>
      <c r="D534" s="80" t="str">
        <f aca="false">_xlfn.IFNA(VLOOKUP(C534,'بيانات الآليات '!A:G,4,FALSE()),"")</f>
        <v/>
      </c>
      <c r="E534" s="81" t="str">
        <f aca="false">_xlfn.IFNA(VLOOKUP(C534,'بيانات الآليات '!A:G,2,FALSE()),"")</f>
        <v/>
      </c>
      <c r="F534" s="81" t="str">
        <f aca="false">_xlfn.IFNA(VLOOKUP(C534,'بيانات الآليات '!A:G,5,FALSE()),"")</f>
        <v/>
      </c>
      <c r="G534" s="82"/>
      <c r="H534" s="83" t="str">
        <f aca="false">_xlfn.IFNA(VLOOKUP(G534,Table14543[],2,FALSE()),"")</f>
        <v/>
      </c>
      <c r="I534" s="84" t="str">
        <f aca="false">_xlfn.IFNA(VLOOKUP(G534,Table14543[],3,FALSE()),"")</f>
        <v/>
      </c>
      <c r="J534" s="83" t="str">
        <f aca="false">CONCATENATE("",G534,""," ",H534," ",I534)</f>
        <v>  </v>
      </c>
      <c r="K534" s="85"/>
      <c r="L534" s="86"/>
      <c r="M534" s="86"/>
      <c r="N534" s="86" t="n">
        <f aca="false">L534*M534</f>
        <v>0</v>
      </c>
      <c r="O534" s="86"/>
      <c r="P534" s="87" t="n">
        <f aca="false">(M534*L534)+O534</f>
        <v>0</v>
      </c>
      <c r="Q534" s="91"/>
    </row>
    <row r="535" customFormat="false" ht="14.25" hidden="false" customHeight="false" outlineLevel="0" collapsed="false">
      <c r="A535" s="77"/>
      <c r="B535" s="78"/>
      <c r="C535" s="79"/>
      <c r="D535" s="80" t="str">
        <f aca="false">_xlfn.IFNA(VLOOKUP(C535,'بيانات الآليات '!A:G,4,FALSE()),"")</f>
        <v/>
      </c>
      <c r="E535" s="81" t="str">
        <f aca="false">_xlfn.IFNA(VLOOKUP(C535,'بيانات الآليات '!A:G,2,FALSE()),"")</f>
        <v/>
      </c>
      <c r="F535" s="81" t="str">
        <f aca="false">_xlfn.IFNA(VLOOKUP(C535,'بيانات الآليات '!A:G,5,FALSE()),"")</f>
        <v/>
      </c>
      <c r="G535" s="82"/>
      <c r="H535" s="83" t="str">
        <f aca="false">_xlfn.IFNA(VLOOKUP(G535,Table14543[],2,FALSE()),"")</f>
        <v/>
      </c>
      <c r="I535" s="84" t="str">
        <f aca="false">_xlfn.IFNA(VLOOKUP(G535,Table14543[],3,FALSE()),"")</f>
        <v/>
      </c>
      <c r="J535" s="83" t="str">
        <f aca="false">CONCATENATE("",G535,""," ",H535," ",I535)</f>
        <v>  </v>
      </c>
      <c r="K535" s="85"/>
      <c r="L535" s="86"/>
      <c r="M535" s="86"/>
      <c r="N535" s="86" t="n">
        <f aca="false">L535*M535</f>
        <v>0</v>
      </c>
      <c r="O535" s="86"/>
      <c r="P535" s="87" t="n">
        <f aca="false">(M535*L535)+O535</f>
        <v>0</v>
      </c>
      <c r="Q535" s="91"/>
    </row>
    <row r="536" customFormat="false" ht="14.25" hidden="false" customHeight="false" outlineLevel="0" collapsed="false">
      <c r="A536" s="77"/>
      <c r="B536" s="78"/>
      <c r="C536" s="79"/>
      <c r="D536" s="80" t="str">
        <f aca="false">_xlfn.IFNA(VLOOKUP(C536,'بيانات الآليات '!A:G,4,FALSE()),"")</f>
        <v/>
      </c>
      <c r="E536" s="81" t="str">
        <f aca="false">_xlfn.IFNA(VLOOKUP(C536,'بيانات الآليات '!A:G,2,FALSE()),"")</f>
        <v/>
      </c>
      <c r="F536" s="81" t="str">
        <f aca="false">_xlfn.IFNA(VLOOKUP(C536,'بيانات الآليات '!A:G,5,FALSE()),"")</f>
        <v/>
      </c>
      <c r="G536" s="82"/>
      <c r="H536" s="83" t="str">
        <f aca="false">_xlfn.IFNA(VLOOKUP(G536,Table14543[],2,FALSE()),"")</f>
        <v/>
      </c>
      <c r="I536" s="84" t="str">
        <f aca="false">_xlfn.IFNA(VLOOKUP(G536,Table14543[],3,FALSE()),"")</f>
        <v/>
      </c>
      <c r="J536" s="83" t="str">
        <f aca="false">CONCATENATE("",G536,""," ",H536," ",I536)</f>
        <v>  </v>
      </c>
      <c r="K536" s="85"/>
      <c r="L536" s="86"/>
      <c r="M536" s="86"/>
      <c r="N536" s="86" t="n">
        <f aca="false">L536*M536</f>
        <v>0</v>
      </c>
      <c r="O536" s="86"/>
      <c r="P536" s="87" t="n">
        <f aca="false">(M536*L536)+O536</f>
        <v>0</v>
      </c>
      <c r="Q536" s="91"/>
    </row>
    <row r="537" customFormat="false" ht="14.25" hidden="false" customHeight="false" outlineLevel="0" collapsed="false">
      <c r="A537" s="77"/>
      <c r="B537" s="78"/>
      <c r="C537" s="79"/>
      <c r="D537" s="80" t="str">
        <f aca="false">_xlfn.IFNA(VLOOKUP(C537,'بيانات الآليات '!A:G,4,FALSE()),"")</f>
        <v/>
      </c>
      <c r="E537" s="81" t="str">
        <f aca="false">_xlfn.IFNA(VLOOKUP(C537,'بيانات الآليات '!A:G,2,FALSE()),"")</f>
        <v/>
      </c>
      <c r="F537" s="81" t="str">
        <f aca="false">_xlfn.IFNA(VLOOKUP(C537,'بيانات الآليات '!A:G,5,FALSE()),"")</f>
        <v/>
      </c>
      <c r="G537" s="82"/>
      <c r="H537" s="83" t="str">
        <f aca="false">_xlfn.IFNA(VLOOKUP(G537,Table14543[],2,FALSE()),"")</f>
        <v/>
      </c>
      <c r="I537" s="84" t="str">
        <f aca="false">_xlfn.IFNA(VLOOKUP(G537,Table14543[],3,FALSE()),"")</f>
        <v/>
      </c>
      <c r="J537" s="83" t="str">
        <f aca="false">CONCATENATE("",G537,""," ",H537," ",I537)</f>
        <v>  </v>
      </c>
      <c r="K537" s="85"/>
      <c r="L537" s="86"/>
      <c r="M537" s="86"/>
      <c r="N537" s="86" t="n">
        <f aca="false">L537*M537</f>
        <v>0</v>
      </c>
      <c r="O537" s="86"/>
      <c r="P537" s="87" t="n">
        <f aca="false">(M537*L537)+O537</f>
        <v>0</v>
      </c>
      <c r="Q537" s="91"/>
    </row>
    <row r="538" customFormat="false" ht="14.25" hidden="false" customHeight="false" outlineLevel="0" collapsed="false">
      <c r="A538" s="77"/>
      <c r="B538" s="78"/>
      <c r="C538" s="79"/>
      <c r="D538" s="80" t="str">
        <f aca="false">_xlfn.IFNA(VLOOKUP(C538,'بيانات الآليات '!A:G,4,FALSE()),"")</f>
        <v/>
      </c>
      <c r="E538" s="81" t="str">
        <f aca="false">_xlfn.IFNA(VLOOKUP(C538,'بيانات الآليات '!A:G,2,FALSE()),"")</f>
        <v/>
      </c>
      <c r="F538" s="81" t="str">
        <f aca="false">_xlfn.IFNA(VLOOKUP(C538,'بيانات الآليات '!A:G,5,FALSE()),"")</f>
        <v/>
      </c>
      <c r="G538" s="82"/>
      <c r="H538" s="83" t="str">
        <f aca="false">_xlfn.IFNA(VLOOKUP(G538,Table14543[],2,FALSE()),"")</f>
        <v/>
      </c>
      <c r="I538" s="84" t="str">
        <f aca="false">_xlfn.IFNA(VLOOKUP(G538,Table14543[],3,FALSE()),"")</f>
        <v/>
      </c>
      <c r="J538" s="83" t="str">
        <f aca="false">CONCATENATE("",G538,""," ",H538," ",I538)</f>
        <v>  </v>
      </c>
      <c r="K538" s="85"/>
      <c r="L538" s="86"/>
      <c r="M538" s="86"/>
      <c r="N538" s="86" t="n">
        <f aca="false">L538*M538</f>
        <v>0</v>
      </c>
      <c r="O538" s="86"/>
      <c r="P538" s="87" t="n">
        <f aca="false">(M538*L538)+O538</f>
        <v>0</v>
      </c>
      <c r="Q538" s="91"/>
    </row>
    <row r="539" customFormat="false" ht="14.25" hidden="false" customHeight="false" outlineLevel="0" collapsed="false">
      <c r="A539" s="77"/>
      <c r="B539" s="78"/>
      <c r="C539" s="79"/>
      <c r="D539" s="80" t="str">
        <f aca="false">_xlfn.IFNA(VLOOKUP(C539,'بيانات الآليات '!A:G,4,FALSE()),"")</f>
        <v/>
      </c>
      <c r="E539" s="81" t="str">
        <f aca="false">_xlfn.IFNA(VLOOKUP(C539,'بيانات الآليات '!A:G,2,FALSE()),"")</f>
        <v/>
      </c>
      <c r="F539" s="81" t="str">
        <f aca="false">_xlfn.IFNA(VLOOKUP(C539,'بيانات الآليات '!A:G,5,FALSE()),"")</f>
        <v/>
      </c>
      <c r="G539" s="82"/>
      <c r="H539" s="83" t="str">
        <f aca="false">_xlfn.IFNA(VLOOKUP(G539,Table14543[],2,FALSE()),"")</f>
        <v/>
      </c>
      <c r="I539" s="84" t="str">
        <f aca="false">_xlfn.IFNA(VLOOKUP(G539,Table14543[],3,FALSE()),"")</f>
        <v/>
      </c>
      <c r="J539" s="83" t="str">
        <f aca="false">CONCATENATE("",G539,""," ",H539," ",I539)</f>
        <v>  </v>
      </c>
      <c r="K539" s="85"/>
      <c r="L539" s="86"/>
      <c r="M539" s="86"/>
      <c r="N539" s="86" t="n">
        <f aca="false">L539*M539</f>
        <v>0</v>
      </c>
      <c r="O539" s="86"/>
      <c r="P539" s="87" t="n">
        <f aca="false">(M539*L539)+O539</f>
        <v>0</v>
      </c>
      <c r="Q539" s="91"/>
    </row>
    <row r="540" customFormat="false" ht="14.25" hidden="false" customHeight="false" outlineLevel="0" collapsed="false">
      <c r="A540" s="77"/>
      <c r="B540" s="78"/>
      <c r="C540" s="79"/>
      <c r="D540" s="80" t="str">
        <f aca="false">_xlfn.IFNA(VLOOKUP(C540,'بيانات الآليات '!A:G,4,FALSE()),"")</f>
        <v/>
      </c>
      <c r="E540" s="81" t="str">
        <f aca="false">_xlfn.IFNA(VLOOKUP(C540,'بيانات الآليات '!A:G,2,FALSE()),"")</f>
        <v/>
      </c>
      <c r="F540" s="81" t="str">
        <f aca="false">_xlfn.IFNA(VLOOKUP(C540,'بيانات الآليات '!A:G,5,FALSE()),"")</f>
        <v/>
      </c>
      <c r="G540" s="82"/>
      <c r="H540" s="83" t="str">
        <f aca="false">_xlfn.IFNA(VLOOKUP(G540,Table14543[],2,FALSE()),"")</f>
        <v/>
      </c>
      <c r="I540" s="84" t="str">
        <f aca="false">_xlfn.IFNA(VLOOKUP(G540,Table14543[],3,FALSE()),"")</f>
        <v/>
      </c>
      <c r="J540" s="83" t="str">
        <f aca="false">CONCATENATE("",G540,""," ",H540," ",I540)</f>
        <v>  </v>
      </c>
      <c r="K540" s="85"/>
      <c r="L540" s="86"/>
      <c r="M540" s="86"/>
      <c r="N540" s="86" t="n">
        <f aca="false">L540*M540</f>
        <v>0</v>
      </c>
      <c r="O540" s="86"/>
      <c r="P540" s="87" t="n">
        <f aca="false">(M540*L540)+O540</f>
        <v>0</v>
      </c>
      <c r="Q540" s="91"/>
    </row>
    <row r="541" customFormat="false" ht="14.25" hidden="false" customHeight="false" outlineLevel="0" collapsed="false">
      <c r="A541" s="77"/>
      <c r="B541" s="78"/>
      <c r="C541" s="79"/>
      <c r="D541" s="80" t="str">
        <f aca="false">_xlfn.IFNA(VLOOKUP(C541,'بيانات الآليات '!A:G,4,FALSE()),"")</f>
        <v/>
      </c>
      <c r="E541" s="81" t="str">
        <f aca="false">_xlfn.IFNA(VLOOKUP(C541,'بيانات الآليات '!A:G,2,FALSE()),"")</f>
        <v/>
      </c>
      <c r="F541" s="81" t="str">
        <f aca="false">_xlfn.IFNA(VLOOKUP(C541,'بيانات الآليات '!A:G,5,FALSE()),"")</f>
        <v/>
      </c>
      <c r="G541" s="82"/>
      <c r="H541" s="83" t="str">
        <f aca="false">_xlfn.IFNA(VLOOKUP(G541,Table14543[],2,FALSE()),"")</f>
        <v/>
      </c>
      <c r="I541" s="84" t="str">
        <f aca="false">_xlfn.IFNA(VLOOKUP(G541,Table14543[],3,FALSE()),"")</f>
        <v/>
      </c>
      <c r="J541" s="83" t="str">
        <f aca="false">CONCATENATE("",G541,""," ",H541," ",I541)</f>
        <v>  </v>
      </c>
      <c r="K541" s="85"/>
      <c r="L541" s="86"/>
      <c r="M541" s="86"/>
      <c r="N541" s="86" t="n">
        <f aca="false">L541*M541</f>
        <v>0</v>
      </c>
      <c r="O541" s="86"/>
      <c r="P541" s="87" t="n">
        <f aca="false">(M541*L541)+O541</f>
        <v>0</v>
      </c>
      <c r="Q541" s="91"/>
    </row>
    <row r="542" customFormat="false" ht="14.25" hidden="false" customHeight="false" outlineLevel="0" collapsed="false">
      <c r="A542" s="77"/>
      <c r="B542" s="78"/>
      <c r="C542" s="79"/>
      <c r="D542" s="80" t="str">
        <f aca="false">_xlfn.IFNA(VLOOKUP(C542,'بيانات الآليات '!A:G,4,FALSE()),"")</f>
        <v/>
      </c>
      <c r="E542" s="81" t="str">
        <f aca="false">_xlfn.IFNA(VLOOKUP(C542,'بيانات الآليات '!A:G,2,FALSE()),"")</f>
        <v/>
      </c>
      <c r="F542" s="81" t="str">
        <f aca="false">_xlfn.IFNA(VLOOKUP(C542,'بيانات الآليات '!A:G,5,FALSE()),"")</f>
        <v/>
      </c>
      <c r="G542" s="82"/>
      <c r="H542" s="83" t="str">
        <f aca="false">_xlfn.IFNA(VLOOKUP(G542,Table14543[],2,FALSE()),"")</f>
        <v/>
      </c>
      <c r="I542" s="84" t="str">
        <f aca="false">_xlfn.IFNA(VLOOKUP(G542,Table14543[],3,FALSE()),"")</f>
        <v/>
      </c>
      <c r="J542" s="83" t="str">
        <f aca="false">CONCATENATE("",G542,""," ",H542," ",I542)</f>
        <v>  </v>
      </c>
      <c r="K542" s="85"/>
      <c r="L542" s="86"/>
      <c r="M542" s="86"/>
      <c r="N542" s="86" t="n">
        <f aca="false">L542*M542</f>
        <v>0</v>
      </c>
      <c r="O542" s="86"/>
      <c r="P542" s="87" t="n">
        <f aca="false">(M542*L542)+O542</f>
        <v>0</v>
      </c>
      <c r="Q542" s="91"/>
    </row>
    <row r="543" customFormat="false" ht="14.25" hidden="false" customHeight="false" outlineLevel="0" collapsed="false">
      <c r="A543" s="77"/>
      <c r="B543" s="78"/>
      <c r="C543" s="79"/>
      <c r="D543" s="80" t="str">
        <f aca="false">_xlfn.IFNA(VLOOKUP(C543,'بيانات الآليات '!A:G,4,FALSE()),"")</f>
        <v/>
      </c>
      <c r="E543" s="81" t="str">
        <f aca="false">_xlfn.IFNA(VLOOKUP(C543,'بيانات الآليات '!A:G,2,FALSE()),"")</f>
        <v/>
      </c>
      <c r="F543" s="81" t="str">
        <f aca="false">_xlfn.IFNA(VLOOKUP(C543,'بيانات الآليات '!A:G,5,FALSE()),"")</f>
        <v/>
      </c>
      <c r="G543" s="82"/>
      <c r="H543" s="83" t="str">
        <f aca="false">_xlfn.IFNA(VLOOKUP(G543,Table14543[],2,FALSE()),"")</f>
        <v/>
      </c>
      <c r="I543" s="84" t="str">
        <f aca="false">_xlfn.IFNA(VLOOKUP(G543,Table14543[],3,FALSE()),"")</f>
        <v/>
      </c>
      <c r="J543" s="83" t="str">
        <f aca="false">CONCATENATE("",G543,""," ",H543," ",I543)</f>
        <v>  </v>
      </c>
      <c r="K543" s="85"/>
      <c r="L543" s="86"/>
      <c r="M543" s="86"/>
      <c r="N543" s="86" t="n">
        <f aca="false">L543*M543</f>
        <v>0</v>
      </c>
      <c r="O543" s="86"/>
      <c r="P543" s="87" t="n">
        <f aca="false">(M543*L543)+O543</f>
        <v>0</v>
      </c>
      <c r="Q543" s="91"/>
    </row>
    <row r="544" customFormat="false" ht="14.25" hidden="false" customHeight="false" outlineLevel="0" collapsed="false">
      <c r="A544" s="77"/>
      <c r="B544" s="78"/>
      <c r="C544" s="79"/>
      <c r="D544" s="80" t="str">
        <f aca="false">_xlfn.IFNA(VLOOKUP(C544,'بيانات الآليات '!A:G,4,FALSE()),"")</f>
        <v/>
      </c>
      <c r="E544" s="81" t="str">
        <f aca="false">_xlfn.IFNA(VLOOKUP(C544,'بيانات الآليات '!A:G,2,FALSE()),"")</f>
        <v/>
      </c>
      <c r="F544" s="81" t="str">
        <f aca="false">_xlfn.IFNA(VLOOKUP(C544,'بيانات الآليات '!A:G,5,FALSE()),"")</f>
        <v/>
      </c>
      <c r="G544" s="82"/>
      <c r="H544" s="83" t="str">
        <f aca="false">_xlfn.IFNA(VLOOKUP(G544,Table14543[],2,FALSE()),"")</f>
        <v/>
      </c>
      <c r="I544" s="84" t="str">
        <f aca="false">_xlfn.IFNA(VLOOKUP(G544,Table14543[],3,FALSE()),"")</f>
        <v/>
      </c>
      <c r="J544" s="83" t="str">
        <f aca="false">CONCATENATE("",G544,""," ",H544," ",I544)</f>
        <v>  </v>
      </c>
      <c r="K544" s="85"/>
      <c r="L544" s="86"/>
      <c r="M544" s="86"/>
      <c r="N544" s="86" t="n">
        <f aca="false">L544*M544</f>
        <v>0</v>
      </c>
      <c r="O544" s="86"/>
      <c r="P544" s="87" t="n">
        <f aca="false">(M544*L544)+O544</f>
        <v>0</v>
      </c>
      <c r="Q544" s="91"/>
    </row>
    <row r="545" customFormat="false" ht="14.25" hidden="false" customHeight="false" outlineLevel="0" collapsed="false">
      <c r="A545" s="77"/>
      <c r="B545" s="78"/>
      <c r="C545" s="79"/>
      <c r="D545" s="80" t="str">
        <f aca="false">_xlfn.IFNA(VLOOKUP(C545,'بيانات الآليات '!A:G,4,FALSE()),"")</f>
        <v/>
      </c>
      <c r="E545" s="81" t="str">
        <f aca="false">_xlfn.IFNA(VLOOKUP(C545,'بيانات الآليات '!A:G,2,FALSE()),"")</f>
        <v/>
      </c>
      <c r="F545" s="81" t="str">
        <f aca="false">_xlfn.IFNA(VLOOKUP(C545,'بيانات الآليات '!A:G,5,FALSE()),"")</f>
        <v/>
      </c>
      <c r="G545" s="82"/>
      <c r="H545" s="83" t="str">
        <f aca="false">_xlfn.IFNA(VLOOKUP(G545,Table14543[],2,FALSE()),"")</f>
        <v/>
      </c>
      <c r="I545" s="84" t="str">
        <f aca="false">_xlfn.IFNA(VLOOKUP(G545,Table14543[],3,FALSE()),"")</f>
        <v/>
      </c>
      <c r="J545" s="83" t="str">
        <f aca="false">CONCATENATE("",G545,""," ",H545," ",I545)</f>
        <v>  </v>
      </c>
      <c r="K545" s="85"/>
      <c r="L545" s="86"/>
      <c r="M545" s="86"/>
      <c r="N545" s="86" t="n">
        <f aca="false">L545*M545</f>
        <v>0</v>
      </c>
      <c r="O545" s="86"/>
      <c r="P545" s="87" t="n">
        <f aca="false">(M545*L545)+O545</f>
        <v>0</v>
      </c>
      <c r="Q545" s="91"/>
    </row>
    <row r="546" customFormat="false" ht="14.25" hidden="false" customHeight="false" outlineLevel="0" collapsed="false">
      <c r="A546" s="77"/>
      <c r="B546" s="78"/>
      <c r="C546" s="79"/>
      <c r="D546" s="80" t="str">
        <f aca="false">_xlfn.IFNA(VLOOKUP(C546,'بيانات الآليات '!A:G,4,FALSE()),"")</f>
        <v/>
      </c>
      <c r="E546" s="81" t="str">
        <f aca="false">_xlfn.IFNA(VLOOKUP(C546,'بيانات الآليات '!A:G,2,FALSE()),"")</f>
        <v/>
      </c>
      <c r="F546" s="81" t="str">
        <f aca="false">_xlfn.IFNA(VLOOKUP(C546,'بيانات الآليات '!A:G,5,FALSE()),"")</f>
        <v/>
      </c>
      <c r="G546" s="82"/>
      <c r="H546" s="83" t="str">
        <f aca="false">_xlfn.IFNA(VLOOKUP(G546,Table14543[],2,FALSE()),"")</f>
        <v/>
      </c>
      <c r="I546" s="84" t="str">
        <f aca="false">_xlfn.IFNA(VLOOKUP(G546,Table14543[],3,FALSE()),"")</f>
        <v/>
      </c>
      <c r="J546" s="83" t="str">
        <f aca="false">CONCATENATE("",G546,""," ",H546," ",I546)</f>
        <v>  </v>
      </c>
      <c r="K546" s="85"/>
      <c r="L546" s="86"/>
      <c r="M546" s="86"/>
      <c r="N546" s="86" t="n">
        <f aca="false">L546*M546</f>
        <v>0</v>
      </c>
      <c r="O546" s="86"/>
      <c r="P546" s="87" t="n">
        <f aca="false">(M546*L546)+O546</f>
        <v>0</v>
      </c>
      <c r="Q546" s="91"/>
    </row>
    <row r="547" customFormat="false" ht="14.25" hidden="false" customHeight="false" outlineLevel="0" collapsed="false">
      <c r="A547" s="77"/>
      <c r="B547" s="78"/>
      <c r="C547" s="79"/>
      <c r="D547" s="80" t="str">
        <f aca="false">_xlfn.IFNA(VLOOKUP(C547,'بيانات الآليات '!A:G,4,FALSE()),"")</f>
        <v/>
      </c>
      <c r="E547" s="81" t="str">
        <f aca="false">_xlfn.IFNA(VLOOKUP(C547,'بيانات الآليات '!A:G,2,FALSE()),"")</f>
        <v/>
      </c>
      <c r="F547" s="81" t="str">
        <f aca="false">_xlfn.IFNA(VLOOKUP(C547,'بيانات الآليات '!A:G,5,FALSE()),"")</f>
        <v/>
      </c>
      <c r="G547" s="82"/>
      <c r="H547" s="83" t="str">
        <f aca="false">_xlfn.IFNA(VLOOKUP(G547,Table14543[],2,FALSE()),"")</f>
        <v/>
      </c>
      <c r="I547" s="84" t="str">
        <f aca="false">_xlfn.IFNA(VLOOKUP(G547,Table14543[],3,FALSE()),"")</f>
        <v/>
      </c>
      <c r="J547" s="83" t="str">
        <f aca="false">CONCATENATE("",G547,""," ",H547," ",I547)</f>
        <v>  </v>
      </c>
      <c r="K547" s="85"/>
      <c r="L547" s="86"/>
      <c r="M547" s="86"/>
      <c r="N547" s="86" t="n">
        <f aca="false">L547*M547</f>
        <v>0</v>
      </c>
      <c r="O547" s="86"/>
      <c r="P547" s="87" t="n">
        <f aca="false">(M547*L547)+O547</f>
        <v>0</v>
      </c>
      <c r="Q547" s="91"/>
    </row>
    <row r="548" customFormat="false" ht="14.25" hidden="false" customHeight="false" outlineLevel="0" collapsed="false">
      <c r="A548" s="77"/>
      <c r="B548" s="78"/>
      <c r="C548" s="79"/>
      <c r="D548" s="80" t="str">
        <f aca="false">_xlfn.IFNA(VLOOKUP(C548,'بيانات الآليات '!A:G,4,FALSE()),"")</f>
        <v/>
      </c>
      <c r="E548" s="81" t="str">
        <f aca="false">_xlfn.IFNA(VLOOKUP(C548,'بيانات الآليات '!A:G,2,FALSE()),"")</f>
        <v/>
      </c>
      <c r="F548" s="81" t="str">
        <f aca="false">_xlfn.IFNA(VLOOKUP(C548,'بيانات الآليات '!A:G,5,FALSE()),"")</f>
        <v/>
      </c>
      <c r="G548" s="82"/>
      <c r="H548" s="83" t="str">
        <f aca="false">_xlfn.IFNA(VLOOKUP(G548,Table14543[],2,FALSE()),"")</f>
        <v/>
      </c>
      <c r="I548" s="84" t="str">
        <f aca="false">_xlfn.IFNA(VLOOKUP(G548,Table14543[],3,FALSE()),"")</f>
        <v/>
      </c>
      <c r="J548" s="83" t="str">
        <f aca="false">CONCATENATE("",G548,""," ",H548," ",I548)</f>
        <v>  </v>
      </c>
      <c r="K548" s="85"/>
      <c r="L548" s="86"/>
      <c r="M548" s="86"/>
      <c r="N548" s="86" t="n">
        <f aca="false">L548*M548</f>
        <v>0</v>
      </c>
      <c r="O548" s="86"/>
      <c r="P548" s="87" t="n">
        <f aca="false">(M548*L548)+O548</f>
        <v>0</v>
      </c>
      <c r="Q548" s="91"/>
    </row>
    <row r="549" customFormat="false" ht="14.25" hidden="false" customHeight="false" outlineLevel="0" collapsed="false">
      <c r="A549" s="77"/>
      <c r="B549" s="78"/>
      <c r="C549" s="79"/>
      <c r="D549" s="80" t="str">
        <f aca="false">_xlfn.IFNA(VLOOKUP(C549,'بيانات الآليات '!A:G,4,FALSE()),"")</f>
        <v/>
      </c>
      <c r="E549" s="81" t="str">
        <f aca="false">_xlfn.IFNA(VLOOKUP(C549,'بيانات الآليات '!A:G,2,FALSE()),"")</f>
        <v/>
      </c>
      <c r="F549" s="81" t="str">
        <f aca="false">_xlfn.IFNA(VLOOKUP(C549,'بيانات الآليات '!A:G,5,FALSE()),"")</f>
        <v/>
      </c>
      <c r="G549" s="82"/>
      <c r="H549" s="83" t="str">
        <f aca="false">_xlfn.IFNA(VLOOKUP(G549,Table14543[],2,FALSE()),"")</f>
        <v/>
      </c>
      <c r="I549" s="84" t="str">
        <f aca="false">_xlfn.IFNA(VLOOKUP(G549,Table14543[],3,FALSE()),"")</f>
        <v/>
      </c>
      <c r="J549" s="83" t="str">
        <f aca="false">CONCATENATE("",G549,""," ",H549," ",I549)</f>
        <v>  </v>
      </c>
      <c r="K549" s="85"/>
      <c r="L549" s="86"/>
      <c r="M549" s="86"/>
      <c r="N549" s="86" t="n">
        <f aca="false">L549*M549</f>
        <v>0</v>
      </c>
      <c r="O549" s="86"/>
      <c r="P549" s="87" t="n">
        <f aca="false">(M549*L549)+O549</f>
        <v>0</v>
      </c>
      <c r="Q549" s="91"/>
    </row>
    <row r="550" customFormat="false" ht="14.25" hidden="false" customHeight="false" outlineLevel="0" collapsed="false">
      <c r="A550" s="77"/>
      <c r="B550" s="78"/>
      <c r="C550" s="79"/>
      <c r="D550" s="80" t="str">
        <f aca="false">_xlfn.IFNA(VLOOKUP(C550,'بيانات الآليات '!A:G,4,FALSE()),"")</f>
        <v/>
      </c>
      <c r="E550" s="81" t="str">
        <f aca="false">_xlfn.IFNA(VLOOKUP(C550,'بيانات الآليات '!A:G,2,FALSE()),"")</f>
        <v/>
      </c>
      <c r="F550" s="81" t="str">
        <f aca="false">_xlfn.IFNA(VLOOKUP(C550,'بيانات الآليات '!A:G,5,FALSE()),"")</f>
        <v/>
      </c>
      <c r="G550" s="82"/>
      <c r="H550" s="83" t="str">
        <f aca="false">_xlfn.IFNA(VLOOKUP(G550,Table14543[],2,FALSE()),"")</f>
        <v/>
      </c>
      <c r="I550" s="84" t="str">
        <f aca="false">_xlfn.IFNA(VLOOKUP(G550,Table14543[],3,FALSE()),"")</f>
        <v/>
      </c>
      <c r="J550" s="83" t="str">
        <f aca="false">CONCATENATE("",G550,""," ",H550," ",I550)</f>
        <v>  </v>
      </c>
      <c r="K550" s="85"/>
      <c r="L550" s="86"/>
      <c r="M550" s="86"/>
      <c r="N550" s="86" t="n">
        <f aca="false">L550*M550</f>
        <v>0</v>
      </c>
      <c r="O550" s="86"/>
      <c r="P550" s="87" t="n">
        <f aca="false">(M550*L550)+O550</f>
        <v>0</v>
      </c>
      <c r="Q550" s="91"/>
    </row>
    <row r="551" customFormat="false" ht="14.25" hidden="false" customHeight="false" outlineLevel="0" collapsed="false">
      <c r="A551" s="77"/>
      <c r="B551" s="78"/>
      <c r="C551" s="79"/>
      <c r="D551" s="80" t="str">
        <f aca="false">_xlfn.IFNA(VLOOKUP(C551,'بيانات الآليات '!A:G,4,FALSE()),"")</f>
        <v/>
      </c>
      <c r="E551" s="81" t="str">
        <f aca="false">_xlfn.IFNA(VLOOKUP(C551,'بيانات الآليات '!A:G,2,FALSE()),"")</f>
        <v/>
      </c>
      <c r="F551" s="81" t="str">
        <f aca="false">_xlfn.IFNA(VLOOKUP(C551,'بيانات الآليات '!A:G,5,FALSE()),"")</f>
        <v/>
      </c>
      <c r="G551" s="82"/>
      <c r="H551" s="83" t="str">
        <f aca="false">_xlfn.IFNA(VLOOKUP(G551,Table14543[],2,FALSE()),"")</f>
        <v/>
      </c>
      <c r="I551" s="84" t="str">
        <f aca="false">_xlfn.IFNA(VLOOKUP(G551,Table14543[],3,FALSE()),"")</f>
        <v/>
      </c>
      <c r="J551" s="83" t="str">
        <f aca="false">CONCATENATE("",G551,""," ",H551," ",I551)</f>
        <v>  </v>
      </c>
      <c r="K551" s="85"/>
      <c r="L551" s="86"/>
      <c r="M551" s="86"/>
      <c r="N551" s="86" t="n">
        <f aca="false">L551*M551</f>
        <v>0</v>
      </c>
      <c r="O551" s="86"/>
      <c r="P551" s="87" t="n">
        <f aca="false">(M551*L551)+O551</f>
        <v>0</v>
      </c>
      <c r="Q551" s="91"/>
    </row>
    <row r="552" customFormat="false" ht="14.25" hidden="false" customHeight="false" outlineLevel="0" collapsed="false">
      <c r="A552" s="77"/>
      <c r="B552" s="78"/>
      <c r="C552" s="79"/>
      <c r="D552" s="80" t="str">
        <f aca="false">_xlfn.IFNA(VLOOKUP(C552,'بيانات الآليات '!A:G,4,FALSE()),"")</f>
        <v/>
      </c>
      <c r="E552" s="81" t="str">
        <f aca="false">_xlfn.IFNA(VLOOKUP(C552,'بيانات الآليات '!A:G,2,FALSE()),"")</f>
        <v/>
      </c>
      <c r="F552" s="81" t="str">
        <f aca="false">_xlfn.IFNA(VLOOKUP(C552,'بيانات الآليات '!A:G,5,FALSE()),"")</f>
        <v/>
      </c>
      <c r="G552" s="82"/>
      <c r="H552" s="83" t="str">
        <f aca="false">_xlfn.IFNA(VLOOKUP(G552,Table14543[],2,FALSE()),"")</f>
        <v/>
      </c>
      <c r="I552" s="84" t="str">
        <f aca="false">_xlfn.IFNA(VLOOKUP(G552,Table14543[],3,FALSE()),"")</f>
        <v/>
      </c>
      <c r="J552" s="83" t="str">
        <f aca="false">CONCATENATE("",G552,""," ",H552," ",I552)</f>
        <v>  </v>
      </c>
      <c r="K552" s="85"/>
      <c r="L552" s="86"/>
      <c r="M552" s="86"/>
      <c r="N552" s="86" t="n">
        <f aca="false">L552*M552</f>
        <v>0</v>
      </c>
      <c r="O552" s="86"/>
      <c r="P552" s="87" t="n">
        <f aca="false">(M552*L552)+O552</f>
        <v>0</v>
      </c>
      <c r="Q552" s="91"/>
    </row>
    <row r="553" customFormat="false" ht="14.25" hidden="false" customHeight="false" outlineLevel="0" collapsed="false">
      <c r="A553" s="77"/>
      <c r="B553" s="78"/>
      <c r="C553" s="79"/>
      <c r="D553" s="80" t="str">
        <f aca="false">_xlfn.IFNA(VLOOKUP(C553,'بيانات الآليات '!A:G,4,FALSE()),"")</f>
        <v/>
      </c>
      <c r="E553" s="81" t="str">
        <f aca="false">_xlfn.IFNA(VLOOKUP(C553,'بيانات الآليات '!A:G,2,FALSE()),"")</f>
        <v/>
      </c>
      <c r="F553" s="81" t="str">
        <f aca="false">_xlfn.IFNA(VLOOKUP(C553,'بيانات الآليات '!A:G,5,FALSE()),"")</f>
        <v/>
      </c>
      <c r="G553" s="82"/>
      <c r="H553" s="83" t="str">
        <f aca="false">_xlfn.IFNA(VLOOKUP(G553,Table14543[],2,FALSE()),"")</f>
        <v/>
      </c>
      <c r="I553" s="84" t="str">
        <f aca="false">_xlfn.IFNA(VLOOKUP(G553,Table14543[],3,FALSE()),"")</f>
        <v/>
      </c>
      <c r="J553" s="83" t="str">
        <f aca="false">CONCATENATE("",G553,""," ",H553," ",I553)</f>
        <v>  </v>
      </c>
      <c r="K553" s="85"/>
      <c r="L553" s="86"/>
      <c r="M553" s="86"/>
      <c r="N553" s="86" t="n">
        <f aca="false">L553*M553</f>
        <v>0</v>
      </c>
      <c r="O553" s="86"/>
      <c r="P553" s="87" t="n">
        <f aca="false">(M553*L553)+O553</f>
        <v>0</v>
      </c>
      <c r="Q553" s="91"/>
    </row>
    <row r="554" customFormat="false" ht="14.25" hidden="false" customHeight="false" outlineLevel="0" collapsed="false">
      <c r="A554" s="77"/>
      <c r="B554" s="78"/>
      <c r="C554" s="79"/>
      <c r="D554" s="80" t="str">
        <f aca="false">_xlfn.IFNA(VLOOKUP(C554,'بيانات الآليات '!A:G,4,FALSE()),"")</f>
        <v/>
      </c>
      <c r="E554" s="81" t="str">
        <f aca="false">_xlfn.IFNA(VLOOKUP(C554,'بيانات الآليات '!A:G,2,FALSE()),"")</f>
        <v/>
      </c>
      <c r="F554" s="81" t="str">
        <f aca="false">_xlfn.IFNA(VLOOKUP(C554,'بيانات الآليات '!A:G,5,FALSE()),"")</f>
        <v/>
      </c>
      <c r="G554" s="82"/>
      <c r="H554" s="83" t="str">
        <f aca="false">_xlfn.IFNA(VLOOKUP(G554,Table14543[],2,FALSE()),"")</f>
        <v/>
      </c>
      <c r="I554" s="84" t="str">
        <f aca="false">_xlfn.IFNA(VLOOKUP(G554,Table14543[],3,FALSE()),"")</f>
        <v/>
      </c>
      <c r="J554" s="83" t="str">
        <f aca="false">CONCATENATE("",G554,""," ",H554," ",I554)</f>
        <v>  </v>
      </c>
      <c r="K554" s="85"/>
      <c r="L554" s="86"/>
      <c r="M554" s="86"/>
      <c r="N554" s="86" t="n">
        <f aca="false">L554*M554</f>
        <v>0</v>
      </c>
      <c r="O554" s="86"/>
      <c r="P554" s="87" t="n">
        <f aca="false">(M554*L554)+O554</f>
        <v>0</v>
      </c>
      <c r="Q554" s="91"/>
    </row>
    <row r="555" customFormat="false" ht="14.25" hidden="false" customHeight="false" outlineLevel="0" collapsed="false">
      <c r="A555" s="77"/>
      <c r="B555" s="78"/>
      <c r="C555" s="79"/>
      <c r="D555" s="80" t="str">
        <f aca="false">_xlfn.IFNA(VLOOKUP(C555,'بيانات الآليات '!A:G,4,FALSE()),"")</f>
        <v/>
      </c>
      <c r="E555" s="81" t="str">
        <f aca="false">_xlfn.IFNA(VLOOKUP(C555,'بيانات الآليات '!A:G,2,FALSE()),"")</f>
        <v/>
      </c>
      <c r="F555" s="81" t="str">
        <f aca="false">_xlfn.IFNA(VLOOKUP(C555,'بيانات الآليات '!A:G,5,FALSE()),"")</f>
        <v/>
      </c>
      <c r="G555" s="82"/>
      <c r="H555" s="83" t="str">
        <f aca="false">_xlfn.IFNA(VLOOKUP(G555,Table14543[],2,FALSE()),"")</f>
        <v/>
      </c>
      <c r="I555" s="84" t="str">
        <f aca="false">_xlfn.IFNA(VLOOKUP(G555,Table14543[],3,FALSE()),"")</f>
        <v/>
      </c>
      <c r="J555" s="83" t="str">
        <f aca="false">CONCATENATE("",G555,""," ",H555," ",I555)</f>
        <v>  </v>
      </c>
      <c r="K555" s="85"/>
      <c r="L555" s="86"/>
      <c r="M555" s="86"/>
      <c r="N555" s="86" t="n">
        <f aca="false">L555*M555</f>
        <v>0</v>
      </c>
      <c r="O555" s="86"/>
      <c r="P555" s="87" t="n">
        <f aca="false">(M555*L555)+O555</f>
        <v>0</v>
      </c>
      <c r="Q555" s="91"/>
    </row>
    <row r="556" customFormat="false" ht="14.25" hidden="false" customHeight="false" outlineLevel="0" collapsed="false">
      <c r="A556" s="77"/>
      <c r="B556" s="78"/>
      <c r="C556" s="79"/>
      <c r="D556" s="80" t="str">
        <f aca="false">_xlfn.IFNA(VLOOKUP(C556,'بيانات الآليات '!A:G,4,FALSE()),"")</f>
        <v/>
      </c>
      <c r="E556" s="81" t="str">
        <f aca="false">_xlfn.IFNA(VLOOKUP(C556,'بيانات الآليات '!A:G,2,FALSE()),"")</f>
        <v/>
      </c>
      <c r="F556" s="81" t="str">
        <f aca="false">_xlfn.IFNA(VLOOKUP(C556,'بيانات الآليات '!A:G,5,FALSE()),"")</f>
        <v/>
      </c>
      <c r="G556" s="82"/>
      <c r="H556" s="83" t="str">
        <f aca="false">_xlfn.IFNA(VLOOKUP(G556,Table14543[],2,FALSE()),"")</f>
        <v/>
      </c>
      <c r="I556" s="84" t="str">
        <f aca="false">_xlfn.IFNA(VLOOKUP(G556,Table14543[],3,FALSE()),"")</f>
        <v/>
      </c>
      <c r="J556" s="83" t="str">
        <f aca="false">CONCATENATE("",G556,""," ",H556," ",I556)</f>
        <v>  </v>
      </c>
      <c r="K556" s="85"/>
      <c r="L556" s="86"/>
      <c r="M556" s="86"/>
      <c r="N556" s="86" t="n">
        <f aca="false">L556*M556</f>
        <v>0</v>
      </c>
      <c r="O556" s="86"/>
      <c r="P556" s="87" t="n">
        <f aca="false">(M556*L556)+O556</f>
        <v>0</v>
      </c>
      <c r="Q556" s="91"/>
    </row>
    <row r="557" customFormat="false" ht="14.25" hidden="false" customHeight="false" outlineLevel="0" collapsed="false">
      <c r="A557" s="77"/>
      <c r="B557" s="78"/>
      <c r="C557" s="79"/>
      <c r="D557" s="80" t="str">
        <f aca="false">_xlfn.IFNA(VLOOKUP(C557,'بيانات الآليات '!A:G,4,FALSE()),"")</f>
        <v/>
      </c>
      <c r="E557" s="81" t="str">
        <f aca="false">_xlfn.IFNA(VLOOKUP(C557,'بيانات الآليات '!A:G,2,FALSE()),"")</f>
        <v/>
      </c>
      <c r="F557" s="81" t="str">
        <f aca="false">_xlfn.IFNA(VLOOKUP(C557,'بيانات الآليات '!A:G,5,FALSE()),"")</f>
        <v/>
      </c>
      <c r="G557" s="82"/>
      <c r="H557" s="83" t="str">
        <f aca="false">_xlfn.IFNA(VLOOKUP(G557,Table14543[],2,FALSE()),"")</f>
        <v/>
      </c>
      <c r="I557" s="84" t="str">
        <f aca="false">_xlfn.IFNA(VLOOKUP(G557,Table14543[],3,FALSE()),"")</f>
        <v/>
      </c>
      <c r="J557" s="83" t="str">
        <f aca="false">CONCATENATE("",G557,""," ",H557," ",I557)</f>
        <v>  </v>
      </c>
      <c r="K557" s="85"/>
      <c r="L557" s="86"/>
      <c r="M557" s="86"/>
      <c r="N557" s="86" t="n">
        <f aca="false">L557*M557</f>
        <v>0</v>
      </c>
      <c r="O557" s="86"/>
      <c r="P557" s="87" t="n">
        <f aca="false">(M557*L557)+O557</f>
        <v>0</v>
      </c>
      <c r="Q557" s="91"/>
    </row>
    <row r="558" customFormat="false" ht="14.25" hidden="false" customHeight="false" outlineLevel="0" collapsed="false">
      <c r="A558" s="77"/>
      <c r="B558" s="78"/>
      <c r="C558" s="79"/>
      <c r="D558" s="80" t="str">
        <f aca="false">_xlfn.IFNA(VLOOKUP(C558,'بيانات الآليات '!A:G,4,FALSE()),"")</f>
        <v/>
      </c>
      <c r="E558" s="81" t="str">
        <f aca="false">_xlfn.IFNA(VLOOKUP(C558,'بيانات الآليات '!A:G,2,FALSE()),"")</f>
        <v/>
      </c>
      <c r="F558" s="81" t="str">
        <f aca="false">_xlfn.IFNA(VLOOKUP(C558,'بيانات الآليات '!A:G,5,FALSE()),"")</f>
        <v/>
      </c>
      <c r="G558" s="82"/>
      <c r="H558" s="83" t="str">
        <f aca="false">_xlfn.IFNA(VLOOKUP(G558,Table14543[],2,FALSE()),"")</f>
        <v/>
      </c>
      <c r="I558" s="84" t="str">
        <f aca="false">_xlfn.IFNA(VLOOKUP(G558,Table14543[],3,FALSE()),"")</f>
        <v/>
      </c>
      <c r="J558" s="83" t="str">
        <f aca="false">CONCATENATE("",G558,""," ",H558," ",I558)</f>
        <v>  </v>
      </c>
      <c r="K558" s="85"/>
      <c r="L558" s="86"/>
      <c r="M558" s="86"/>
      <c r="N558" s="86" t="n">
        <f aca="false">L558*M558</f>
        <v>0</v>
      </c>
      <c r="O558" s="86"/>
      <c r="P558" s="87" t="n">
        <f aca="false">(M558*L558)+O558</f>
        <v>0</v>
      </c>
      <c r="Q558" s="91"/>
    </row>
    <row r="559" customFormat="false" ht="14.25" hidden="false" customHeight="false" outlineLevel="0" collapsed="false">
      <c r="A559" s="77"/>
      <c r="B559" s="78"/>
      <c r="C559" s="79"/>
      <c r="D559" s="80" t="str">
        <f aca="false">_xlfn.IFNA(VLOOKUP(C559,'بيانات الآليات '!A:G,4,FALSE()),"")</f>
        <v/>
      </c>
      <c r="E559" s="81" t="str">
        <f aca="false">_xlfn.IFNA(VLOOKUP(C559,'بيانات الآليات '!A:G,2,FALSE()),"")</f>
        <v/>
      </c>
      <c r="F559" s="81" t="str">
        <f aca="false">_xlfn.IFNA(VLOOKUP(C559,'بيانات الآليات '!A:G,5,FALSE()),"")</f>
        <v/>
      </c>
      <c r="G559" s="82"/>
      <c r="H559" s="83" t="str">
        <f aca="false">_xlfn.IFNA(VLOOKUP(G559,Table14543[],2,FALSE()),"")</f>
        <v/>
      </c>
      <c r="I559" s="84" t="str">
        <f aca="false">_xlfn.IFNA(VLOOKUP(G559,Table14543[],3,FALSE()),"")</f>
        <v/>
      </c>
      <c r="J559" s="83" t="str">
        <f aca="false">CONCATENATE("",G559,""," ",H559," ",I559)</f>
        <v>  </v>
      </c>
      <c r="K559" s="85"/>
      <c r="L559" s="86"/>
      <c r="M559" s="86"/>
      <c r="N559" s="86" t="n">
        <f aca="false">L559*M559</f>
        <v>0</v>
      </c>
      <c r="O559" s="86"/>
      <c r="P559" s="87" t="n">
        <f aca="false">(M559*L559)+O559</f>
        <v>0</v>
      </c>
      <c r="Q559" s="91"/>
    </row>
    <row r="560" customFormat="false" ht="14.25" hidden="false" customHeight="false" outlineLevel="0" collapsed="false">
      <c r="A560" s="77"/>
      <c r="B560" s="78"/>
      <c r="C560" s="79"/>
      <c r="D560" s="80" t="str">
        <f aca="false">_xlfn.IFNA(VLOOKUP(C560,'بيانات الآليات '!A:G,4,FALSE()),"")</f>
        <v/>
      </c>
      <c r="E560" s="81" t="str">
        <f aca="false">_xlfn.IFNA(VLOOKUP(C560,'بيانات الآليات '!A:G,2,FALSE()),"")</f>
        <v/>
      </c>
      <c r="F560" s="81" t="str">
        <f aca="false">_xlfn.IFNA(VLOOKUP(C560,'بيانات الآليات '!A:G,5,FALSE()),"")</f>
        <v/>
      </c>
      <c r="G560" s="82"/>
      <c r="H560" s="83" t="str">
        <f aca="false">_xlfn.IFNA(VLOOKUP(G560,Table14543[],2,FALSE()),"")</f>
        <v/>
      </c>
      <c r="I560" s="84" t="str">
        <f aca="false">_xlfn.IFNA(VLOOKUP(G560,Table14543[],3,FALSE()),"")</f>
        <v/>
      </c>
      <c r="J560" s="83" t="str">
        <f aca="false">CONCATENATE("",G560,""," ",H560," ",I560)</f>
        <v>  </v>
      </c>
      <c r="K560" s="85"/>
      <c r="L560" s="86"/>
      <c r="M560" s="86"/>
      <c r="N560" s="86" t="n">
        <f aca="false">L560*M560</f>
        <v>0</v>
      </c>
      <c r="O560" s="86"/>
      <c r="P560" s="87" t="n">
        <f aca="false">(M560*L560)+O560</f>
        <v>0</v>
      </c>
      <c r="Q560" s="91"/>
    </row>
    <row r="561" customFormat="false" ht="14.25" hidden="false" customHeight="false" outlineLevel="0" collapsed="false">
      <c r="A561" s="77"/>
      <c r="B561" s="78"/>
      <c r="C561" s="79"/>
      <c r="D561" s="80" t="str">
        <f aca="false">_xlfn.IFNA(VLOOKUP(C561,'بيانات الآليات '!A:G,4,FALSE()),"")</f>
        <v/>
      </c>
      <c r="E561" s="81" t="str">
        <f aca="false">_xlfn.IFNA(VLOOKUP(C561,'بيانات الآليات '!A:G,2,FALSE()),"")</f>
        <v/>
      </c>
      <c r="F561" s="81" t="str">
        <f aca="false">_xlfn.IFNA(VLOOKUP(C561,'بيانات الآليات '!A:G,5,FALSE()),"")</f>
        <v/>
      </c>
      <c r="G561" s="82"/>
      <c r="H561" s="83" t="str">
        <f aca="false">_xlfn.IFNA(VLOOKUP(G561,Table14543[],2,FALSE()),"")</f>
        <v/>
      </c>
      <c r="I561" s="84" t="str">
        <f aca="false">_xlfn.IFNA(VLOOKUP(G561,Table14543[],3,FALSE()),"")</f>
        <v/>
      </c>
      <c r="J561" s="83" t="str">
        <f aca="false">CONCATENATE("",G561,""," ",H561," ",I561)</f>
        <v>  </v>
      </c>
      <c r="K561" s="85"/>
      <c r="L561" s="86"/>
      <c r="M561" s="86"/>
      <c r="N561" s="86" t="n">
        <f aca="false">L561*M561</f>
        <v>0</v>
      </c>
      <c r="O561" s="86"/>
      <c r="P561" s="87" t="n">
        <f aca="false">(M561*L561)+O561</f>
        <v>0</v>
      </c>
      <c r="Q561" s="91"/>
    </row>
    <row r="562" customFormat="false" ht="14.25" hidden="false" customHeight="false" outlineLevel="0" collapsed="false">
      <c r="A562" s="77"/>
      <c r="B562" s="78"/>
      <c r="C562" s="79"/>
      <c r="D562" s="80" t="str">
        <f aca="false">_xlfn.IFNA(VLOOKUP(C562,'بيانات الآليات '!A:G,4,FALSE()),"")</f>
        <v/>
      </c>
      <c r="E562" s="81" t="str">
        <f aca="false">_xlfn.IFNA(VLOOKUP(C562,'بيانات الآليات '!A:G,2,FALSE()),"")</f>
        <v/>
      </c>
      <c r="F562" s="81" t="str">
        <f aca="false">_xlfn.IFNA(VLOOKUP(C562,'بيانات الآليات '!A:G,5,FALSE()),"")</f>
        <v/>
      </c>
      <c r="G562" s="82"/>
      <c r="H562" s="83" t="str">
        <f aca="false">_xlfn.IFNA(VLOOKUP(G562,Table14543[],2,FALSE()),"")</f>
        <v/>
      </c>
      <c r="I562" s="84" t="str">
        <f aca="false">_xlfn.IFNA(VLOOKUP(G562,Table14543[],3,FALSE()),"")</f>
        <v/>
      </c>
      <c r="J562" s="83" t="str">
        <f aca="false">CONCATENATE("",G562,""," ",H562," ",I562)</f>
        <v>  </v>
      </c>
      <c r="K562" s="85"/>
      <c r="L562" s="86"/>
      <c r="M562" s="86"/>
      <c r="N562" s="86" t="n">
        <f aca="false">L562*M562</f>
        <v>0</v>
      </c>
      <c r="O562" s="86"/>
      <c r="P562" s="87" t="n">
        <f aca="false">(M562*L562)+O562</f>
        <v>0</v>
      </c>
      <c r="Q562" s="91"/>
    </row>
    <row r="563" customFormat="false" ht="14.25" hidden="false" customHeight="false" outlineLevel="0" collapsed="false">
      <c r="A563" s="77"/>
      <c r="B563" s="78"/>
      <c r="C563" s="79"/>
      <c r="D563" s="80" t="str">
        <f aca="false">_xlfn.IFNA(VLOOKUP(C563,'بيانات الآليات '!A:G,4,FALSE()),"")</f>
        <v/>
      </c>
      <c r="E563" s="81" t="str">
        <f aca="false">_xlfn.IFNA(VLOOKUP(C563,'بيانات الآليات '!A:G,2,FALSE()),"")</f>
        <v/>
      </c>
      <c r="F563" s="81" t="str">
        <f aca="false">_xlfn.IFNA(VLOOKUP(C563,'بيانات الآليات '!A:G,5,FALSE()),"")</f>
        <v/>
      </c>
      <c r="G563" s="82"/>
      <c r="H563" s="83" t="str">
        <f aca="false">_xlfn.IFNA(VLOOKUP(G563,Table14543[],2,FALSE()),"")</f>
        <v/>
      </c>
      <c r="I563" s="84" t="str">
        <f aca="false">_xlfn.IFNA(VLOOKUP(G563,Table14543[],3,FALSE()),"")</f>
        <v/>
      </c>
      <c r="J563" s="83" t="str">
        <f aca="false">CONCATENATE("",G563,""," ",H563," ",I563)</f>
        <v>  </v>
      </c>
      <c r="K563" s="85"/>
      <c r="L563" s="86"/>
      <c r="M563" s="86"/>
      <c r="N563" s="86" t="n">
        <f aca="false">L563*M563</f>
        <v>0</v>
      </c>
      <c r="O563" s="86"/>
      <c r="P563" s="87" t="n">
        <f aca="false">(M563*L563)+O563</f>
        <v>0</v>
      </c>
      <c r="Q563" s="91"/>
    </row>
    <row r="564" customFormat="false" ht="14.25" hidden="false" customHeight="false" outlineLevel="0" collapsed="false">
      <c r="A564" s="77"/>
      <c r="B564" s="78"/>
      <c r="C564" s="79"/>
      <c r="D564" s="80" t="str">
        <f aca="false">_xlfn.IFNA(VLOOKUP(C564,'بيانات الآليات '!A:G,4,FALSE()),"")</f>
        <v/>
      </c>
      <c r="E564" s="81" t="str">
        <f aca="false">_xlfn.IFNA(VLOOKUP(C564,'بيانات الآليات '!A:G,2,FALSE()),"")</f>
        <v/>
      </c>
      <c r="F564" s="81" t="str">
        <f aca="false">_xlfn.IFNA(VLOOKUP(C564,'بيانات الآليات '!A:G,5,FALSE()),"")</f>
        <v/>
      </c>
      <c r="G564" s="82"/>
      <c r="H564" s="83" t="str">
        <f aca="false">_xlfn.IFNA(VLOOKUP(G564,Table14543[],2,FALSE()),"")</f>
        <v/>
      </c>
      <c r="I564" s="84" t="str">
        <f aca="false">_xlfn.IFNA(VLOOKUP(G564,Table14543[],3,FALSE()),"")</f>
        <v/>
      </c>
      <c r="J564" s="83" t="str">
        <f aca="false">CONCATENATE("",G564,""," ",H564," ",I564)</f>
        <v>  </v>
      </c>
      <c r="K564" s="85"/>
      <c r="L564" s="86"/>
      <c r="M564" s="86"/>
      <c r="N564" s="86" t="n">
        <f aca="false">L564*M564</f>
        <v>0</v>
      </c>
      <c r="O564" s="86"/>
      <c r="P564" s="87" t="n">
        <f aca="false">(M564*L564)+O564</f>
        <v>0</v>
      </c>
      <c r="Q564" s="91"/>
    </row>
    <row r="565" customFormat="false" ht="14.25" hidden="false" customHeight="false" outlineLevel="0" collapsed="false">
      <c r="A565" s="77"/>
      <c r="B565" s="78"/>
      <c r="C565" s="79"/>
      <c r="D565" s="80" t="str">
        <f aca="false">_xlfn.IFNA(VLOOKUP(C565,'بيانات الآليات '!A:G,4,FALSE()),"")</f>
        <v/>
      </c>
      <c r="E565" s="81" t="str">
        <f aca="false">_xlfn.IFNA(VLOOKUP(C565,'بيانات الآليات '!A:G,2,FALSE()),"")</f>
        <v/>
      </c>
      <c r="F565" s="81" t="str">
        <f aca="false">_xlfn.IFNA(VLOOKUP(C565,'بيانات الآليات '!A:G,5,FALSE()),"")</f>
        <v/>
      </c>
      <c r="G565" s="82"/>
      <c r="H565" s="83" t="str">
        <f aca="false">_xlfn.IFNA(VLOOKUP(G565,Table14543[],2,FALSE()),"")</f>
        <v/>
      </c>
      <c r="I565" s="84" t="str">
        <f aca="false">_xlfn.IFNA(VLOOKUP(G565,Table14543[],3,FALSE()),"")</f>
        <v/>
      </c>
      <c r="J565" s="83" t="str">
        <f aca="false">CONCATENATE("",G565,""," ",H565," ",I565)</f>
        <v>  </v>
      </c>
      <c r="K565" s="85"/>
      <c r="L565" s="86"/>
      <c r="M565" s="86"/>
      <c r="N565" s="86" t="n">
        <f aca="false">L565*M565</f>
        <v>0</v>
      </c>
      <c r="O565" s="86"/>
      <c r="P565" s="87" t="n">
        <f aca="false">(M565*L565)+O565</f>
        <v>0</v>
      </c>
      <c r="Q565" s="91"/>
    </row>
    <row r="566" customFormat="false" ht="14.25" hidden="false" customHeight="false" outlineLevel="0" collapsed="false">
      <c r="A566" s="77"/>
      <c r="B566" s="78"/>
      <c r="C566" s="79"/>
      <c r="D566" s="80" t="str">
        <f aca="false">_xlfn.IFNA(VLOOKUP(C566,'بيانات الآليات '!A:G,4,FALSE()),"")</f>
        <v/>
      </c>
      <c r="E566" s="81" t="str">
        <f aca="false">_xlfn.IFNA(VLOOKUP(C566,'بيانات الآليات '!A:G,2,FALSE()),"")</f>
        <v/>
      </c>
      <c r="F566" s="81" t="str">
        <f aca="false">_xlfn.IFNA(VLOOKUP(C566,'بيانات الآليات '!A:G,5,FALSE()),"")</f>
        <v/>
      </c>
      <c r="G566" s="82"/>
      <c r="H566" s="83" t="str">
        <f aca="false">_xlfn.IFNA(VLOOKUP(G566,Table14543[],2,FALSE()),"")</f>
        <v/>
      </c>
      <c r="I566" s="84" t="str">
        <f aca="false">_xlfn.IFNA(VLOOKUP(G566,Table14543[],3,FALSE()),"")</f>
        <v/>
      </c>
      <c r="J566" s="83" t="str">
        <f aca="false">CONCATENATE("",G566,""," ",H566," ",I566)</f>
        <v>  </v>
      </c>
      <c r="K566" s="85"/>
      <c r="L566" s="86"/>
      <c r="M566" s="86"/>
      <c r="N566" s="86" t="n">
        <f aca="false">L566*M566</f>
        <v>0</v>
      </c>
      <c r="O566" s="86"/>
      <c r="P566" s="87" t="n">
        <f aca="false">(M566*L566)+O566</f>
        <v>0</v>
      </c>
      <c r="Q566" s="91"/>
    </row>
    <row r="567" customFormat="false" ht="14.25" hidden="false" customHeight="false" outlineLevel="0" collapsed="false">
      <c r="A567" s="77"/>
      <c r="B567" s="78"/>
      <c r="C567" s="79"/>
      <c r="D567" s="80" t="str">
        <f aca="false">_xlfn.IFNA(VLOOKUP(C567,'بيانات الآليات '!A:G,4,FALSE()),"")</f>
        <v/>
      </c>
      <c r="E567" s="81" t="str">
        <f aca="false">_xlfn.IFNA(VLOOKUP(C567,'بيانات الآليات '!A:G,2,FALSE()),"")</f>
        <v/>
      </c>
      <c r="F567" s="81" t="str">
        <f aca="false">_xlfn.IFNA(VLOOKUP(C567,'بيانات الآليات '!A:G,5,FALSE()),"")</f>
        <v/>
      </c>
      <c r="G567" s="82"/>
      <c r="H567" s="83" t="str">
        <f aca="false">_xlfn.IFNA(VLOOKUP(G567,Table14543[],2,FALSE()),"")</f>
        <v/>
      </c>
      <c r="I567" s="84" t="str">
        <f aca="false">_xlfn.IFNA(VLOOKUP(G567,Table14543[],3,FALSE()),"")</f>
        <v/>
      </c>
      <c r="J567" s="83" t="str">
        <f aca="false">CONCATENATE("",G567,""," ",H567," ",I567)</f>
        <v>  </v>
      </c>
      <c r="K567" s="85"/>
      <c r="L567" s="86"/>
      <c r="M567" s="86"/>
      <c r="N567" s="86" t="n">
        <f aca="false">L567*M567</f>
        <v>0</v>
      </c>
      <c r="O567" s="86"/>
      <c r="P567" s="87" t="n">
        <f aca="false">(M567*L567)+O567</f>
        <v>0</v>
      </c>
      <c r="Q567" s="91"/>
    </row>
    <row r="568" customFormat="false" ht="14.25" hidden="false" customHeight="false" outlineLevel="0" collapsed="false">
      <c r="A568" s="77"/>
      <c r="B568" s="78"/>
      <c r="C568" s="79"/>
      <c r="D568" s="80" t="str">
        <f aca="false">_xlfn.IFNA(VLOOKUP(C568,'بيانات الآليات '!A:G,4,FALSE()),"")</f>
        <v/>
      </c>
      <c r="E568" s="81" t="str">
        <f aca="false">_xlfn.IFNA(VLOOKUP(C568,'بيانات الآليات '!A:G,2,FALSE()),"")</f>
        <v/>
      </c>
      <c r="F568" s="81" t="str">
        <f aca="false">_xlfn.IFNA(VLOOKUP(C568,'بيانات الآليات '!A:G,5,FALSE()),"")</f>
        <v/>
      </c>
      <c r="G568" s="82"/>
      <c r="H568" s="83" t="str">
        <f aca="false">_xlfn.IFNA(VLOOKUP(G568,Table14543[],2,FALSE()),"")</f>
        <v/>
      </c>
      <c r="I568" s="84" t="str">
        <f aca="false">_xlfn.IFNA(VLOOKUP(G568,Table14543[],3,FALSE()),"")</f>
        <v/>
      </c>
      <c r="J568" s="83" t="str">
        <f aca="false">CONCATENATE("",G568,""," ",H568," ",I568)</f>
        <v>  </v>
      </c>
      <c r="K568" s="85"/>
      <c r="L568" s="86"/>
      <c r="M568" s="86"/>
      <c r="N568" s="86" t="n">
        <f aca="false">L568*M568</f>
        <v>0</v>
      </c>
      <c r="O568" s="86"/>
      <c r="P568" s="87" t="n">
        <f aca="false">(M568*L568)+O568</f>
        <v>0</v>
      </c>
      <c r="Q568" s="91"/>
    </row>
    <row r="569" customFormat="false" ht="14.25" hidden="false" customHeight="false" outlineLevel="0" collapsed="false">
      <c r="A569" s="77"/>
      <c r="B569" s="78"/>
      <c r="C569" s="79"/>
      <c r="D569" s="80" t="str">
        <f aca="false">_xlfn.IFNA(VLOOKUP(C569,'بيانات الآليات '!A:G,4,FALSE()),"")</f>
        <v/>
      </c>
      <c r="E569" s="81" t="str">
        <f aca="false">_xlfn.IFNA(VLOOKUP(C569,'بيانات الآليات '!A:G,2,FALSE()),"")</f>
        <v/>
      </c>
      <c r="F569" s="81" t="str">
        <f aca="false">_xlfn.IFNA(VLOOKUP(C569,'بيانات الآليات '!A:G,5,FALSE()),"")</f>
        <v/>
      </c>
      <c r="G569" s="82"/>
      <c r="H569" s="83" t="str">
        <f aca="false">_xlfn.IFNA(VLOOKUP(G569,Table14543[],2,FALSE()),"")</f>
        <v/>
      </c>
      <c r="I569" s="84" t="str">
        <f aca="false">_xlfn.IFNA(VLOOKUP(G569,Table14543[],3,FALSE()),"")</f>
        <v/>
      </c>
      <c r="J569" s="83" t="str">
        <f aca="false">CONCATENATE("",G569,""," ",H569," ",I569)</f>
        <v>  </v>
      </c>
      <c r="K569" s="85"/>
      <c r="L569" s="86"/>
      <c r="M569" s="86"/>
      <c r="N569" s="86" t="n">
        <f aca="false">L569*M569</f>
        <v>0</v>
      </c>
      <c r="O569" s="86"/>
      <c r="P569" s="87" t="n">
        <f aca="false">(M569*L569)+O569</f>
        <v>0</v>
      </c>
      <c r="Q569" s="91"/>
    </row>
    <row r="570" customFormat="false" ht="14.25" hidden="false" customHeight="false" outlineLevel="0" collapsed="false">
      <c r="A570" s="77"/>
      <c r="B570" s="78"/>
      <c r="C570" s="79"/>
      <c r="D570" s="80" t="str">
        <f aca="false">_xlfn.IFNA(VLOOKUP(C570,'بيانات الآليات '!A:G,4,FALSE()),"")</f>
        <v/>
      </c>
      <c r="E570" s="81" t="str">
        <f aca="false">_xlfn.IFNA(VLOOKUP(C570,'بيانات الآليات '!A:G,2,FALSE()),"")</f>
        <v/>
      </c>
      <c r="F570" s="81" t="str">
        <f aca="false">_xlfn.IFNA(VLOOKUP(C570,'بيانات الآليات '!A:G,5,FALSE()),"")</f>
        <v/>
      </c>
      <c r="G570" s="82"/>
      <c r="H570" s="83" t="str">
        <f aca="false">_xlfn.IFNA(VLOOKUP(G570,Table14543[],2,FALSE()),"")</f>
        <v/>
      </c>
      <c r="I570" s="84" t="str">
        <f aca="false">_xlfn.IFNA(VLOOKUP(G570,Table14543[],3,FALSE()),"")</f>
        <v/>
      </c>
      <c r="J570" s="83" t="str">
        <f aca="false">CONCATENATE("",G570,""," ",H570," ",I570)</f>
        <v>  </v>
      </c>
      <c r="K570" s="85"/>
      <c r="L570" s="86"/>
      <c r="M570" s="86"/>
      <c r="N570" s="86" t="n">
        <f aca="false">L570*M570</f>
        <v>0</v>
      </c>
      <c r="O570" s="86"/>
      <c r="P570" s="87" t="n">
        <f aca="false">(M570*L570)+O570</f>
        <v>0</v>
      </c>
      <c r="Q570" s="91"/>
    </row>
    <row r="571" customFormat="false" ht="14.25" hidden="false" customHeight="false" outlineLevel="0" collapsed="false">
      <c r="A571" s="77"/>
      <c r="B571" s="78"/>
      <c r="C571" s="79"/>
      <c r="D571" s="80" t="str">
        <f aca="false">_xlfn.IFNA(VLOOKUP(C571,'بيانات الآليات '!A:G,4,FALSE()),"")</f>
        <v/>
      </c>
      <c r="E571" s="81" t="str">
        <f aca="false">_xlfn.IFNA(VLOOKUP(C571,'بيانات الآليات '!A:G,2,FALSE()),"")</f>
        <v/>
      </c>
      <c r="F571" s="81" t="str">
        <f aca="false">_xlfn.IFNA(VLOOKUP(C571,'بيانات الآليات '!A:G,5,FALSE()),"")</f>
        <v/>
      </c>
      <c r="G571" s="82"/>
      <c r="H571" s="83" t="str">
        <f aca="false">_xlfn.IFNA(VLOOKUP(G571,Table14543[],2,FALSE()),"")</f>
        <v/>
      </c>
      <c r="I571" s="84" t="str">
        <f aca="false">_xlfn.IFNA(VLOOKUP(G571,Table14543[],3,FALSE()),"")</f>
        <v/>
      </c>
      <c r="J571" s="83" t="str">
        <f aca="false">CONCATENATE("",G571,""," ",H571," ",I571)</f>
        <v>  </v>
      </c>
      <c r="K571" s="85"/>
      <c r="L571" s="86"/>
      <c r="M571" s="86"/>
      <c r="N571" s="86" t="n">
        <f aca="false">L571*M571</f>
        <v>0</v>
      </c>
      <c r="O571" s="86"/>
      <c r="P571" s="87" t="n">
        <f aca="false">(M571*L571)+O571</f>
        <v>0</v>
      </c>
      <c r="Q571" s="91"/>
    </row>
    <row r="572" customFormat="false" ht="14.25" hidden="false" customHeight="false" outlineLevel="0" collapsed="false">
      <c r="A572" s="77"/>
      <c r="B572" s="78"/>
      <c r="C572" s="79"/>
      <c r="D572" s="80" t="str">
        <f aca="false">_xlfn.IFNA(VLOOKUP(C572,'بيانات الآليات '!A:G,4,FALSE()),"")</f>
        <v/>
      </c>
      <c r="E572" s="81" t="str">
        <f aca="false">_xlfn.IFNA(VLOOKUP(C572,'بيانات الآليات '!A:G,2,FALSE()),"")</f>
        <v/>
      </c>
      <c r="F572" s="81" t="str">
        <f aca="false">_xlfn.IFNA(VLOOKUP(C572,'بيانات الآليات '!A:G,5,FALSE()),"")</f>
        <v/>
      </c>
      <c r="G572" s="82"/>
      <c r="H572" s="83" t="str">
        <f aca="false">_xlfn.IFNA(VLOOKUP(G572,Table14543[],2,FALSE()),"")</f>
        <v/>
      </c>
      <c r="I572" s="84" t="str">
        <f aca="false">_xlfn.IFNA(VLOOKUP(G572,Table14543[],3,FALSE()),"")</f>
        <v/>
      </c>
      <c r="J572" s="83" t="str">
        <f aca="false">CONCATENATE("",G572,""," ",H572," ",I572)</f>
        <v>  </v>
      </c>
      <c r="K572" s="85"/>
      <c r="L572" s="86"/>
      <c r="M572" s="86"/>
      <c r="N572" s="86" t="n">
        <f aca="false">L572*M572</f>
        <v>0</v>
      </c>
      <c r="O572" s="86"/>
      <c r="P572" s="87" t="n">
        <f aca="false">(M572*L572)+O572</f>
        <v>0</v>
      </c>
      <c r="Q572" s="91"/>
    </row>
    <row r="573" customFormat="false" ht="14.25" hidden="false" customHeight="false" outlineLevel="0" collapsed="false">
      <c r="A573" s="77"/>
      <c r="B573" s="78"/>
      <c r="C573" s="79"/>
      <c r="D573" s="80" t="str">
        <f aca="false">_xlfn.IFNA(VLOOKUP(C573,'بيانات الآليات '!A:G,4,FALSE()),"")</f>
        <v/>
      </c>
      <c r="E573" s="81" t="str">
        <f aca="false">_xlfn.IFNA(VLOOKUP(C573,'بيانات الآليات '!A:G,2,FALSE()),"")</f>
        <v/>
      </c>
      <c r="F573" s="81" t="str">
        <f aca="false">_xlfn.IFNA(VLOOKUP(C573,'بيانات الآليات '!A:G,5,FALSE()),"")</f>
        <v/>
      </c>
      <c r="G573" s="82"/>
      <c r="H573" s="83" t="str">
        <f aca="false">_xlfn.IFNA(VLOOKUP(G573,Table14543[],2,FALSE()),"")</f>
        <v/>
      </c>
      <c r="I573" s="84" t="str">
        <f aca="false">_xlfn.IFNA(VLOOKUP(G573,Table14543[],3,FALSE()),"")</f>
        <v/>
      </c>
      <c r="J573" s="83" t="str">
        <f aca="false">CONCATENATE("",G573,""," ",H573," ",I573)</f>
        <v>  </v>
      </c>
      <c r="K573" s="85"/>
      <c r="L573" s="86"/>
      <c r="M573" s="86"/>
      <c r="N573" s="86" t="n">
        <f aca="false">L573*M573</f>
        <v>0</v>
      </c>
      <c r="O573" s="86"/>
      <c r="P573" s="87" t="n">
        <f aca="false">(M573*L573)+O573</f>
        <v>0</v>
      </c>
      <c r="Q573" s="91"/>
    </row>
    <row r="574" customFormat="false" ht="14.25" hidden="false" customHeight="false" outlineLevel="0" collapsed="false">
      <c r="A574" s="77"/>
      <c r="B574" s="78"/>
      <c r="C574" s="79"/>
      <c r="D574" s="80" t="str">
        <f aca="false">_xlfn.IFNA(VLOOKUP(C574,'بيانات الآليات '!A:G,4,FALSE()),"")</f>
        <v/>
      </c>
      <c r="E574" s="81" t="str">
        <f aca="false">_xlfn.IFNA(VLOOKUP(C574,'بيانات الآليات '!A:G,2,FALSE()),"")</f>
        <v/>
      </c>
      <c r="F574" s="81" t="str">
        <f aca="false">_xlfn.IFNA(VLOOKUP(C574,'بيانات الآليات '!A:G,5,FALSE()),"")</f>
        <v/>
      </c>
      <c r="G574" s="82"/>
      <c r="H574" s="83" t="str">
        <f aca="false">_xlfn.IFNA(VLOOKUP(G574,Table14543[],2,FALSE()),"")</f>
        <v/>
      </c>
      <c r="I574" s="84" t="str">
        <f aca="false">_xlfn.IFNA(VLOOKUP(G574,Table14543[],3,FALSE()),"")</f>
        <v/>
      </c>
      <c r="J574" s="83" t="str">
        <f aca="false">CONCATENATE("",G574,""," ",H574," ",I574)</f>
        <v>  </v>
      </c>
      <c r="K574" s="85"/>
      <c r="L574" s="86"/>
      <c r="M574" s="86"/>
      <c r="N574" s="86" t="n">
        <f aca="false">L574*M574</f>
        <v>0</v>
      </c>
      <c r="O574" s="86"/>
      <c r="P574" s="87" t="n">
        <f aca="false">(M574*L574)+O574</f>
        <v>0</v>
      </c>
      <c r="Q574" s="91"/>
    </row>
    <row r="575" customFormat="false" ht="14.25" hidden="false" customHeight="false" outlineLevel="0" collapsed="false">
      <c r="A575" s="77"/>
      <c r="B575" s="78"/>
      <c r="C575" s="79"/>
      <c r="D575" s="80" t="str">
        <f aca="false">_xlfn.IFNA(VLOOKUP(C575,'بيانات الآليات '!A:G,4,FALSE()),"")</f>
        <v/>
      </c>
      <c r="E575" s="81" t="str">
        <f aca="false">_xlfn.IFNA(VLOOKUP(C575,'بيانات الآليات '!A:G,2,FALSE()),"")</f>
        <v/>
      </c>
      <c r="F575" s="81" t="str">
        <f aca="false">_xlfn.IFNA(VLOOKUP(C575,'بيانات الآليات '!A:G,5,FALSE()),"")</f>
        <v/>
      </c>
      <c r="G575" s="82"/>
      <c r="H575" s="83" t="str">
        <f aca="false">_xlfn.IFNA(VLOOKUP(G575,Table14543[],2,FALSE()),"")</f>
        <v/>
      </c>
      <c r="I575" s="84" t="str">
        <f aca="false">_xlfn.IFNA(VLOOKUP(G575,Table14543[],3,FALSE()),"")</f>
        <v/>
      </c>
      <c r="J575" s="83" t="str">
        <f aca="false">CONCATENATE("",G575,""," ",H575," ",I575)</f>
        <v>  </v>
      </c>
      <c r="K575" s="85"/>
      <c r="L575" s="86"/>
      <c r="M575" s="86"/>
      <c r="N575" s="86" t="n">
        <f aca="false">L575*M575</f>
        <v>0</v>
      </c>
      <c r="O575" s="86"/>
      <c r="P575" s="87" t="n">
        <f aca="false">(M575*L575)+O575</f>
        <v>0</v>
      </c>
      <c r="Q575" s="91"/>
    </row>
    <row r="576" customFormat="false" ht="14.25" hidden="false" customHeight="false" outlineLevel="0" collapsed="false">
      <c r="A576" s="77"/>
      <c r="B576" s="78"/>
      <c r="C576" s="79"/>
      <c r="D576" s="80" t="str">
        <f aca="false">_xlfn.IFNA(VLOOKUP(C576,'بيانات الآليات '!A:G,4,FALSE()),"")</f>
        <v/>
      </c>
      <c r="E576" s="81" t="str">
        <f aca="false">_xlfn.IFNA(VLOOKUP(C576,'بيانات الآليات '!A:G,2,FALSE()),"")</f>
        <v/>
      </c>
      <c r="F576" s="81" t="str">
        <f aca="false">_xlfn.IFNA(VLOOKUP(C576,'بيانات الآليات '!A:G,5,FALSE()),"")</f>
        <v/>
      </c>
      <c r="G576" s="82"/>
      <c r="H576" s="83" t="str">
        <f aca="false">_xlfn.IFNA(VLOOKUP(G576,Table14543[],2,FALSE()),"")</f>
        <v/>
      </c>
      <c r="I576" s="84" t="str">
        <f aca="false">_xlfn.IFNA(VLOOKUP(G576,Table14543[],3,FALSE()),"")</f>
        <v/>
      </c>
      <c r="J576" s="83" t="str">
        <f aca="false">CONCATENATE("",G576,""," ",H576," ",I576)</f>
        <v>  </v>
      </c>
      <c r="K576" s="85"/>
      <c r="L576" s="86"/>
      <c r="M576" s="86"/>
      <c r="N576" s="86" t="n">
        <f aca="false">L576*M576</f>
        <v>0</v>
      </c>
      <c r="O576" s="86"/>
      <c r="P576" s="87" t="n">
        <f aca="false">(M576*L576)+O576</f>
        <v>0</v>
      </c>
      <c r="Q576" s="91"/>
    </row>
    <row r="577" customFormat="false" ht="14.25" hidden="false" customHeight="false" outlineLevel="0" collapsed="false">
      <c r="A577" s="77"/>
      <c r="B577" s="78"/>
      <c r="C577" s="79"/>
      <c r="D577" s="80" t="str">
        <f aca="false">_xlfn.IFNA(VLOOKUP(C577,'بيانات الآليات '!A:G,4,FALSE()),"")</f>
        <v/>
      </c>
      <c r="E577" s="81" t="str">
        <f aca="false">_xlfn.IFNA(VLOOKUP(C577,'بيانات الآليات '!A:G,2,FALSE()),"")</f>
        <v/>
      </c>
      <c r="F577" s="81" t="str">
        <f aca="false">_xlfn.IFNA(VLOOKUP(C577,'بيانات الآليات '!A:G,5,FALSE()),"")</f>
        <v/>
      </c>
      <c r="G577" s="82"/>
      <c r="H577" s="83" t="str">
        <f aca="false">_xlfn.IFNA(VLOOKUP(G577,Table14543[],2,FALSE()),"")</f>
        <v/>
      </c>
      <c r="I577" s="84" t="str">
        <f aca="false">_xlfn.IFNA(VLOOKUP(G577,Table14543[],3,FALSE()),"")</f>
        <v/>
      </c>
      <c r="J577" s="83" t="str">
        <f aca="false">CONCATENATE("",G577,""," ",H577," ",I577)</f>
        <v>  </v>
      </c>
      <c r="K577" s="85"/>
      <c r="L577" s="86"/>
      <c r="M577" s="86"/>
      <c r="N577" s="86" t="n">
        <f aca="false">L577*M577</f>
        <v>0</v>
      </c>
      <c r="O577" s="86"/>
      <c r="P577" s="87" t="n">
        <f aca="false">(M577*L577)+O577</f>
        <v>0</v>
      </c>
      <c r="Q577" s="91"/>
    </row>
    <row r="578" customFormat="false" ht="14.25" hidden="false" customHeight="false" outlineLevel="0" collapsed="false">
      <c r="A578" s="77"/>
      <c r="B578" s="78"/>
      <c r="C578" s="79"/>
      <c r="D578" s="80" t="str">
        <f aca="false">_xlfn.IFNA(VLOOKUP(C578,'بيانات الآليات '!A:G,4,FALSE()),"")</f>
        <v/>
      </c>
      <c r="E578" s="81" t="str">
        <f aca="false">_xlfn.IFNA(VLOOKUP(C578,'بيانات الآليات '!A:G,2,FALSE()),"")</f>
        <v/>
      </c>
      <c r="F578" s="81" t="str">
        <f aca="false">_xlfn.IFNA(VLOOKUP(C578,'بيانات الآليات '!A:G,5,FALSE()),"")</f>
        <v/>
      </c>
      <c r="G578" s="82"/>
      <c r="H578" s="83" t="str">
        <f aca="false">_xlfn.IFNA(VLOOKUP(G578,Table14543[],2,FALSE()),"")</f>
        <v/>
      </c>
      <c r="I578" s="84" t="str">
        <f aca="false">_xlfn.IFNA(VLOOKUP(G578,Table14543[],3,FALSE()),"")</f>
        <v/>
      </c>
      <c r="J578" s="83" t="str">
        <f aca="false">CONCATENATE("",G578,""," ",H578," ",I578)</f>
        <v>  </v>
      </c>
      <c r="K578" s="85"/>
      <c r="L578" s="86"/>
      <c r="M578" s="86"/>
      <c r="N578" s="86" t="n">
        <f aca="false">L578*M578</f>
        <v>0</v>
      </c>
      <c r="O578" s="86"/>
      <c r="P578" s="87" t="n">
        <f aca="false">(M578*L578)+O578</f>
        <v>0</v>
      </c>
      <c r="Q578" s="91"/>
    </row>
    <row r="579" customFormat="false" ht="14.25" hidden="false" customHeight="false" outlineLevel="0" collapsed="false">
      <c r="A579" s="77"/>
      <c r="B579" s="78"/>
      <c r="C579" s="79"/>
      <c r="D579" s="80" t="str">
        <f aca="false">_xlfn.IFNA(VLOOKUP(C579,'بيانات الآليات '!A:G,4,FALSE()),"")</f>
        <v/>
      </c>
      <c r="E579" s="81" t="str">
        <f aca="false">_xlfn.IFNA(VLOOKUP(C579,'بيانات الآليات '!A:G,2,FALSE()),"")</f>
        <v/>
      </c>
      <c r="F579" s="81" t="str">
        <f aca="false">_xlfn.IFNA(VLOOKUP(C579,'بيانات الآليات '!A:G,5,FALSE()),"")</f>
        <v/>
      </c>
      <c r="G579" s="82"/>
      <c r="H579" s="83" t="str">
        <f aca="false">_xlfn.IFNA(VLOOKUP(G579,Table14543[],2,FALSE()),"")</f>
        <v/>
      </c>
      <c r="I579" s="84" t="str">
        <f aca="false">_xlfn.IFNA(VLOOKUP(G579,Table14543[],3,FALSE()),"")</f>
        <v/>
      </c>
      <c r="J579" s="83" t="str">
        <f aca="false">CONCATENATE("",G579,""," ",H579," ",I579)</f>
        <v>  </v>
      </c>
      <c r="K579" s="85"/>
      <c r="L579" s="86"/>
      <c r="M579" s="86"/>
      <c r="N579" s="86" t="n">
        <f aca="false">L579*M579</f>
        <v>0</v>
      </c>
      <c r="O579" s="86"/>
      <c r="P579" s="87" t="n">
        <f aca="false">(M579*L579)+O579</f>
        <v>0</v>
      </c>
      <c r="Q579" s="91"/>
    </row>
    <row r="580" customFormat="false" ht="14.25" hidden="false" customHeight="false" outlineLevel="0" collapsed="false">
      <c r="A580" s="77"/>
      <c r="B580" s="78"/>
      <c r="C580" s="79"/>
      <c r="D580" s="80" t="str">
        <f aca="false">_xlfn.IFNA(VLOOKUP(C580,'بيانات الآليات '!A:G,4,FALSE()),"")</f>
        <v/>
      </c>
      <c r="E580" s="81" t="str">
        <f aca="false">_xlfn.IFNA(VLOOKUP(C580,'بيانات الآليات '!A:G,2,FALSE()),"")</f>
        <v/>
      </c>
      <c r="F580" s="81" t="str">
        <f aca="false">_xlfn.IFNA(VLOOKUP(C580,'بيانات الآليات '!A:G,5,FALSE()),"")</f>
        <v/>
      </c>
      <c r="G580" s="82"/>
      <c r="H580" s="83" t="str">
        <f aca="false">_xlfn.IFNA(VLOOKUP(G580,Table14543[],2,FALSE()),"")</f>
        <v/>
      </c>
      <c r="I580" s="84" t="str">
        <f aca="false">_xlfn.IFNA(VLOOKUP(G580,Table14543[],3,FALSE()),"")</f>
        <v/>
      </c>
      <c r="J580" s="83" t="str">
        <f aca="false">CONCATENATE("",G580,""," ",H580," ",I580)</f>
        <v>  </v>
      </c>
      <c r="K580" s="85"/>
      <c r="L580" s="86"/>
      <c r="M580" s="86"/>
      <c r="N580" s="86" t="n">
        <f aca="false">L580*M580</f>
        <v>0</v>
      </c>
      <c r="O580" s="86"/>
      <c r="P580" s="87" t="n">
        <f aca="false">(M580*L580)+O580</f>
        <v>0</v>
      </c>
      <c r="Q580" s="91"/>
    </row>
    <row r="581" customFormat="false" ht="14.25" hidden="false" customHeight="false" outlineLevel="0" collapsed="false">
      <c r="A581" s="77"/>
      <c r="B581" s="78"/>
      <c r="C581" s="79"/>
      <c r="D581" s="80" t="str">
        <f aca="false">_xlfn.IFNA(VLOOKUP(C581,'بيانات الآليات '!A:G,4,FALSE()),"")</f>
        <v/>
      </c>
      <c r="E581" s="81" t="str">
        <f aca="false">_xlfn.IFNA(VLOOKUP(C581,'بيانات الآليات '!A:G,2,FALSE()),"")</f>
        <v/>
      </c>
      <c r="F581" s="81" t="str">
        <f aca="false">_xlfn.IFNA(VLOOKUP(C581,'بيانات الآليات '!A:G,5,FALSE()),"")</f>
        <v/>
      </c>
      <c r="G581" s="82"/>
      <c r="H581" s="83" t="str">
        <f aca="false">_xlfn.IFNA(VLOOKUP(G581,Table14543[],2,FALSE()),"")</f>
        <v/>
      </c>
      <c r="I581" s="84" t="str">
        <f aca="false">_xlfn.IFNA(VLOOKUP(G581,Table14543[],3,FALSE()),"")</f>
        <v/>
      </c>
      <c r="J581" s="83" t="str">
        <f aca="false">CONCATENATE("",G581,""," ",H581," ",I581)</f>
        <v>  </v>
      </c>
      <c r="K581" s="85"/>
      <c r="L581" s="86"/>
      <c r="M581" s="86"/>
      <c r="N581" s="86" t="n">
        <f aca="false">L581*M581</f>
        <v>0</v>
      </c>
      <c r="O581" s="86"/>
      <c r="P581" s="87" t="n">
        <f aca="false">(M581*L581)+O581</f>
        <v>0</v>
      </c>
      <c r="Q581" s="91"/>
    </row>
    <row r="582" customFormat="false" ht="14.25" hidden="false" customHeight="false" outlineLevel="0" collapsed="false">
      <c r="A582" s="77"/>
      <c r="B582" s="78"/>
      <c r="C582" s="79"/>
      <c r="D582" s="80" t="str">
        <f aca="false">_xlfn.IFNA(VLOOKUP(C582,'بيانات الآليات '!A:G,4,FALSE()),"")</f>
        <v/>
      </c>
      <c r="E582" s="81" t="str">
        <f aca="false">_xlfn.IFNA(VLOOKUP(C582,'بيانات الآليات '!A:G,2,FALSE()),"")</f>
        <v/>
      </c>
      <c r="F582" s="81" t="str">
        <f aca="false">_xlfn.IFNA(VLOOKUP(C582,'بيانات الآليات '!A:G,5,FALSE()),"")</f>
        <v/>
      </c>
      <c r="G582" s="82"/>
      <c r="H582" s="83" t="str">
        <f aca="false">_xlfn.IFNA(VLOOKUP(G582,Table14543[],2,FALSE()),"")</f>
        <v/>
      </c>
      <c r="I582" s="84" t="str">
        <f aca="false">_xlfn.IFNA(VLOOKUP(G582,Table14543[],3,FALSE()),"")</f>
        <v/>
      </c>
      <c r="J582" s="83" t="str">
        <f aca="false">CONCATENATE("",G582,""," ",H582," ",I582)</f>
        <v>  </v>
      </c>
      <c r="K582" s="85"/>
      <c r="L582" s="86"/>
      <c r="M582" s="86"/>
      <c r="N582" s="86" t="n">
        <f aca="false">L582*M582</f>
        <v>0</v>
      </c>
      <c r="O582" s="86"/>
      <c r="P582" s="87" t="n">
        <f aca="false">(M582*L582)+O582</f>
        <v>0</v>
      </c>
      <c r="Q582" s="91"/>
    </row>
    <row r="583" customFormat="false" ht="14.25" hidden="false" customHeight="false" outlineLevel="0" collapsed="false">
      <c r="A583" s="77"/>
      <c r="B583" s="78"/>
      <c r="C583" s="79"/>
      <c r="D583" s="80" t="str">
        <f aca="false">_xlfn.IFNA(VLOOKUP(C583,'بيانات الآليات '!A:G,4,FALSE()),"")</f>
        <v/>
      </c>
      <c r="E583" s="81" t="str">
        <f aca="false">_xlfn.IFNA(VLOOKUP(C583,'بيانات الآليات '!A:G,2,FALSE()),"")</f>
        <v/>
      </c>
      <c r="F583" s="81" t="str">
        <f aca="false">_xlfn.IFNA(VLOOKUP(C583,'بيانات الآليات '!A:G,5,FALSE()),"")</f>
        <v/>
      </c>
      <c r="G583" s="82"/>
      <c r="H583" s="83" t="str">
        <f aca="false">_xlfn.IFNA(VLOOKUP(G583,Table14543[],2,FALSE()),"")</f>
        <v/>
      </c>
      <c r="I583" s="84" t="str">
        <f aca="false">_xlfn.IFNA(VLOOKUP(G583,Table14543[],3,FALSE()),"")</f>
        <v/>
      </c>
      <c r="J583" s="83" t="str">
        <f aca="false">CONCATENATE("",G583,""," ",H583," ",I583)</f>
        <v>  </v>
      </c>
      <c r="K583" s="85"/>
      <c r="L583" s="86"/>
      <c r="M583" s="86"/>
      <c r="N583" s="86" t="n">
        <f aca="false">L583*M583</f>
        <v>0</v>
      </c>
      <c r="O583" s="86"/>
      <c r="P583" s="87" t="n">
        <f aca="false">(M583*L583)+O583</f>
        <v>0</v>
      </c>
      <c r="Q583" s="91"/>
    </row>
    <row r="584" customFormat="false" ht="14.25" hidden="false" customHeight="false" outlineLevel="0" collapsed="false">
      <c r="A584" s="77"/>
      <c r="B584" s="78"/>
      <c r="C584" s="79"/>
      <c r="D584" s="80" t="str">
        <f aca="false">_xlfn.IFNA(VLOOKUP(C584,'بيانات الآليات '!A:G,4,FALSE()),"")</f>
        <v/>
      </c>
      <c r="E584" s="81" t="str">
        <f aca="false">_xlfn.IFNA(VLOOKUP(C584,'بيانات الآليات '!A:G,2,FALSE()),"")</f>
        <v/>
      </c>
      <c r="F584" s="81" t="str">
        <f aca="false">_xlfn.IFNA(VLOOKUP(C584,'بيانات الآليات '!A:G,5,FALSE()),"")</f>
        <v/>
      </c>
      <c r="G584" s="82"/>
      <c r="H584" s="83" t="str">
        <f aca="false">_xlfn.IFNA(VLOOKUP(G584,Table14543[],2,FALSE()),"")</f>
        <v/>
      </c>
      <c r="I584" s="84" t="str">
        <f aca="false">_xlfn.IFNA(VLOOKUP(G584,Table14543[],3,FALSE()),"")</f>
        <v/>
      </c>
      <c r="J584" s="83" t="str">
        <f aca="false">CONCATENATE("",G584,""," ",H584," ",I584)</f>
        <v>  </v>
      </c>
      <c r="K584" s="85"/>
      <c r="L584" s="86"/>
      <c r="M584" s="86"/>
      <c r="N584" s="86" t="n">
        <f aca="false">L584*M584</f>
        <v>0</v>
      </c>
      <c r="O584" s="86"/>
      <c r="P584" s="87" t="n">
        <f aca="false">(M584*L584)+O584</f>
        <v>0</v>
      </c>
      <c r="Q584" s="91"/>
    </row>
    <row r="585" customFormat="false" ht="14.25" hidden="false" customHeight="false" outlineLevel="0" collapsed="false">
      <c r="A585" s="77"/>
      <c r="B585" s="78"/>
      <c r="C585" s="79"/>
      <c r="D585" s="80" t="str">
        <f aca="false">_xlfn.IFNA(VLOOKUP(C585,'بيانات الآليات '!A:G,4,FALSE()),"")</f>
        <v/>
      </c>
      <c r="E585" s="81" t="str">
        <f aca="false">_xlfn.IFNA(VLOOKUP(C585,'بيانات الآليات '!A:G,2,FALSE()),"")</f>
        <v/>
      </c>
      <c r="F585" s="81" t="str">
        <f aca="false">_xlfn.IFNA(VLOOKUP(C585,'بيانات الآليات '!A:G,5,FALSE()),"")</f>
        <v/>
      </c>
      <c r="G585" s="82"/>
      <c r="H585" s="83" t="str">
        <f aca="false">_xlfn.IFNA(VLOOKUP(G585,Table14543[],2,FALSE()),"")</f>
        <v/>
      </c>
      <c r="I585" s="84" t="str">
        <f aca="false">_xlfn.IFNA(VLOOKUP(G585,Table14543[],3,FALSE()),"")</f>
        <v/>
      </c>
      <c r="J585" s="83" t="str">
        <f aca="false">CONCATENATE("",G585,""," ",H585," ",I585)</f>
        <v>  </v>
      </c>
      <c r="K585" s="85"/>
      <c r="L585" s="86"/>
      <c r="M585" s="86"/>
      <c r="N585" s="86" t="n">
        <f aca="false">L585*M585</f>
        <v>0</v>
      </c>
      <c r="O585" s="86"/>
      <c r="P585" s="87" t="n">
        <f aca="false">(M585*L585)+O585</f>
        <v>0</v>
      </c>
      <c r="Q585" s="91"/>
    </row>
    <row r="586" customFormat="false" ht="14.25" hidden="false" customHeight="false" outlineLevel="0" collapsed="false">
      <c r="A586" s="77"/>
      <c r="B586" s="78"/>
      <c r="C586" s="79"/>
      <c r="D586" s="80" t="str">
        <f aca="false">_xlfn.IFNA(VLOOKUP(C586,'بيانات الآليات '!A:G,4,FALSE()),"")</f>
        <v/>
      </c>
      <c r="E586" s="81" t="str">
        <f aca="false">_xlfn.IFNA(VLOOKUP(C586,'بيانات الآليات '!A:G,2,FALSE()),"")</f>
        <v/>
      </c>
      <c r="F586" s="81" t="str">
        <f aca="false">_xlfn.IFNA(VLOOKUP(C586,'بيانات الآليات '!A:G,5,FALSE()),"")</f>
        <v/>
      </c>
      <c r="G586" s="82"/>
      <c r="H586" s="83" t="str">
        <f aca="false">_xlfn.IFNA(VLOOKUP(G586,Table14543[],2,FALSE()),"")</f>
        <v/>
      </c>
      <c r="I586" s="84" t="str">
        <f aca="false">_xlfn.IFNA(VLOOKUP(G586,Table14543[],3,FALSE()),"")</f>
        <v/>
      </c>
      <c r="J586" s="83" t="str">
        <f aca="false">CONCATENATE("",G586,""," ",H586," ",I586)</f>
        <v>  </v>
      </c>
      <c r="K586" s="85"/>
      <c r="L586" s="86"/>
      <c r="M586" s="86"/>
      <c r="N586" s="86" t="n">
        <f aca="false">L586*M586</f>
        <v>0</v>
      </c>
      <c r="O586" s="86"/>
      <c r="P586" s="87" t="n">
        <f aca="false">(M586*L586)+O586</f>
        <v>0</v>
      </c>
      <c r="Q586" s="91"/>
    </row>
    <row r="587" customFormat="false" ht="14.25" hidden="false" customHeight="false" outlineLevel="0" collapsed="false">
      <c r="A587" s="77"/>
      <c r="B587" s="78"/>
      <c r="C587" s="79"/>
      <c r="D587" s="80" t="str">
        <f aca="false">_xlfn.IFNA(VLOOKUP(C587,'بيانات الآليات '!A:G,4,FALSE()),"")</f>
        <v/>
      </c>
      <c r="E587" s="81" t="str">
        <f aca="false">_xlfn.IFNA(VLOOKUP(C587,'بيانات الآليات '!A:G,2,FALSE()),"")</f>
        <v/>
      </c>
      <c r="F587" s="81" t="str">
        <f aca="false">_xlfn.IFNA(VLOOKUP(C587,'بيانات الآليات '!A:G,5,FALSE()),"")</f>
        <v/>
      </c>
      <c r="G587" s="82"/>
      <c r="H587" s="83" t="str">
        <f aca="false">_xlfn.IFNA(VLOOKUP(G587,Table14543[],2,FALSE()),"")</f>
        <v/>
      </c>
      <c r="I587" s="84" t="str">
        <f aca="false">_xlfn.IFNA(VLOOKUP(G587,Table14543[],3,FALSE()),"")</f>
        <v/>
      </c>
      <c r="J587" s="83" t="str">
        <f aca="false">CONCATENATE("",G587,""," ",H587," ",I587)</f>
        <v>  </v>
      </c>
      <c r="K587" s="85"/>
      <c r="L587" s="86"/>
      <c r="M587" s="86"/>
      <c r="N587" s="86" t="n">
        <f aca="false">L587*M587</f>
        <v>0</v>
      </c>
      <c r="O587" s="86"/>
      <c r="P587" s="87" t="n">
        <f aca="false">(M587*L587)+O587</f>
        <v>0</v>
      </c>
      <c r="Q587" s="91"/>
    </row>
    <row r="588" customFormat="false" ht="14.25" hidden="false" customHeight="false" outlineLevel="0" collapsed="false">
      <c r="A588" s="77"/>
      <c r="B588" s="78"/>
      <c r="C588" s="79"/>
      <c r="D588" s="80" t="str">
        <f aca="false">_xlfn.IFNA(VLOOKUP(C588,'بيانات الآليات '!A:G,4,FALSE()),"")</f>
        <v/>
      </c>
      <c r="E588" s="81" t="str">
        <f aca="false">_xlfn.IFNA(VLOOKUP(C588,'بيانات الآليات '!A:G,2,FALSE()),"")</f>
        <v/>
      </c>
      <c r="F588" s="81" t="str">
        <f aca="false">_xlfn.IFNA(VLOOKUP(C588,'بيانات الآليات '!A:G,5,FALSE()),"")</f>
        <v/>
      </c>
      <c r="G588" s="82"/>
      <c r="H588" s="83" t="str">
        <f aca="false">_xlfn.IFNA(VLOOKUP(G588,Table14543[],2,FALSE()),"")</f>
        <v/>
      </c>
      <c r="I588" s="84" t="str">
        <f aca="false">_xlfn.IFNA(VLOOKUP(G588,Table14543[],3,FALSE()),"")</f>
        <v/>
      </c>
      <c r="J588" s="83" t="str">
        <f aca="false">CONCATENATE("",G588,""," ",H588," ",I588)</f>
        <v>  </v>
      </c>
      <c r="K588" s="85"/>
      <c r="L588" s="86"/>
      <c r="M588" s="86"/>
      <c r="N588" s="86" t="n">
        <f aca="false">L588*M588</f>
        <v>0</v>
      </c>
      <c r="O588" s="86"/>
      <c r="P588" s="87" t="n">
        <f aca="false">(M588*L588)+O588</f>
        <v>0</v>
      </c>
      <c r="Q588" s="91"/>
    </row>
    <row r="589" customFormat="false" ht="14.25" hidden="false" customHeight="false" outlineLevel="0" collapsed="false">
      <c r="A589" s="77"/>
      <c r="B589" s="78"/>
      <c r="C589" s="79"/>
      <c r="D589" s="80" t="str">
        <f aca="false">_xlfn.IFNA(VLOOKUP(C589,'بيانات الآليات '!A:G,4,FALSE()),"")</f>
        <v/>
      </c>
      <c r="E589" s="81" t="str">
        <f aca="false">_xlfn.IFNA(VLOOKUP(C589,'بيانات الآليات '!A:G,2,FALSE()),"")</f>
        <v/>
      </c>
      <c r="F589" s="81" t="str">
        <f aca="false">_xlfn.IFNA(VLOOKUP(C589,'بيانات الآليات '!A:G,5,FALSE()),"")</f>
        <v/>
      </c>
      <c r="G589" s="82"/>
      <c r="H589" s="83" t="str">
        <f aca="false">_xlfn.IFNA(VLOOKUP(G589,Table14543[],2,FALSE()),"")</f>
        <v/>
      </c>
      <c r="I589" s="84" t="str">
        <f aca="false">_xlfn.IFNA(VLOOKUP(G589,Table14543[],3,FALSE()),"")</f>
        <v/>
      </c>
      <c r="J589" s="83" t="str">
        <f aca="false">CONCATENATE("",G589,""," ",H589," ",I589)</f>
        <v>  </v>
      </c>
      <c r="K589" s="85"/>
      <c r="L589" s="86"/>
      <c r="M589" s="86"/>
      <c r="N589" s="86" t="n">
        <f aca="false">L589*M589</f>
        <v>0</v>
      </c>
      <c r="O589" s="86"/>
      <c r="P589" s="87" t="n">
        <f aca="false">(M589*L589)+O589</f>
        <v>0</v>
      </c>
      <c r="Q589" s="91"/>
    </row>
    <row r="590" customFormat="false" ht="14.25" hidden="false" customHeight="false" outlineLevel="0" collapsed="false">
      <c r="A590" s="77"/>
      <c r="B590" s="78"/>
      <c r="C590" s="79"/>
      <c r="D590" s="80" t="str">
        <f aca="false">_xlfn.IFNA(VLOOKUP(C590,'بيانات الآليات '!A:G,4,FALSE()),"")</f>
        <v/>
      </c>
      <c r="E590" s="81" t="str">
        <f aca="false">_xlfn.IFNA(VLOOKUP(C590,'بيانات الآليات '!A:G,2,FALSE()),"")</f>
        <v/>
      </c>
      <c r="F590" s="81" t="str">
        <f aca="false">_xlfn.IFNA(VLOOKUP(C590,'بيانات الآليات '!A:G,5,FALSE()),"")</f>
        <v/>
      </c>
      <c r="G590" s="82"/>
      <c r="H590" s="83" t="str">
        <f aca="false">_xlfn.IFNA(VLOOKUP(G590,Table14543[],2,FALSE()),"")</f>
        <v/>
      </c>
      <c r="I590" s="84" t="str">
        <f aca="false">_xlfn.IFNA(VLOOKUP(G590,Table14543[],3,FALSE()),"")</f>
        <v/>
      </c>
      <c r="J590" s="83" t="str">
        <f aca="false">CONCATENATE("",G590,""," ",H590," ",I590)</f>
        <v>  </v>
      </c>
      <c r="K590" s="85"/>
      <c r="L590" s="86"/>
      <c r="M590" s="86"/>
      <c r="N590" s="86" t="n">
        <f aca="false">L590*M590</f>
        <v>0</v>
      </c>
      <c r="O590" s="86"/>
      <c r="P590" s="87" t="n">
        <f aca="false">(M590*L590)+O590</f>
        <v>0</v>
      </c>
      <c r="Q590" s="91"/>
    </row>
    <row r="591" customFormat="false" ht="14.25" hidden="false" customHeight="false" outlineLevel="0" collapsed="false">
      <c r="A591" s="77"/>
      <c r="B591" s="78"/>
      <c r="C591" s="79"/>
      <c r="D591" s="80" t="str">
        <f aca="false">_xlfn.IFNA(VLOOKUP(C591,'بيانات الآليات '!A:G,4,FALSE()),"")</f>
        <v/>
      </c>
      <c r="E591" s="81" t="str">
        <f aca="false">_xlfn.IFNA(VLOOKUP(C591,'بيانات الآليات '!A:G,2,FALSE()),"")</f>
        <v/>
      </c>
      <c r="F591" s="81" t="str">
        <f aca="false">_xlfn.IFNA(VLOOKUP(C591,'بيانات الآليات '!A:G,5,FALSE()),"")</f>
        <v/>
      </c>
      <c r="G591" s="82"/>
      <c r="H591" s="83" t="str">
        <f aca="false">_xlfn.IFNA(VLOOKUP(G591,Table14543[],2,FALSE()),"")</f>
        <v/>
      </c>
      <c r="I591" s="84" t="str">
        <f aca="false">_xlfn.IFNA(VLOOKUP(G591,Table14543[],3,FALSE()),"")</f>
        <v/>
      </c>
      <c r="J591" s="83" t="str">
        <f aca="false">CONCATENATE("",G591,""," ",H591," ",I591)</f>
        <v>  </v>
      </c>
      <c r="K591" s="85"/>
      <c r="L591" s="86"/>
      <c r="M591" s="86"/>
      <c r="N591" s="86" t="n">
        <f aca="false">L591*M591</f>
        <v>0</v>
      </c>
      <c r="O591" s="86"/>
      <c r="P591" s="87" t="n">
        <f aca="false">(M591*L591)+O591</f>
        <v>0</v>
      </c>
      <c r="Q591" s="91"/>
    </row>
    <row r="592" customFormat="false" ht="14.25" hidden="false" customHeight="false" outlineLevel="0" collapsed="false">
      <c r="A592" s="77"/>
      <c r="B592" s="78"/>
      <c r="C592" s="79"/>
      <c r="D592" s="80" t="str">
        <f aca="false">_xlfn.IFNA(VLOOKUP(C592,'بيانات الآليات '!A:G,4,FALSE()),"")</f>
        <v/>
      </c>
      <c r="E592" s="81" t="str">
        <f aca="false">_xlfn.IFNA(VLOOKUP(C592,'بيانات الآليات '!A:G,2,FALSE()),"")</f>
        <v/>
      </c>
      <c r="F592" s="81" t="str">
        <f aca="false">_xlfn.IFNA(VLOOKUP(C592,'بيانات الآليات '!A:G,5,FALSE()),"")</f>
        <v/>
      </c>
      <c r="G592" s="82"/>
      <c r="H592" s="83" t="str">
        <f aca="false">_xlfn.IFNA(VLOOKUP(G592,Table14543[],2,FALSE()),"")</f>
        <v/>
      </c>
      <c r="I592" s="84" t="str">
        <f aca="false">_xlfn.IFNA(VLOOKUP(G592,Table14543[],3,FALSE()),"")</f>
        <v/>
      </c>
      <c r="J592" s="83" t="str">
        <f aca="false">CONCATENATE("",G592,""," ",H592," ",I592)</f>
        <v>  </v>
      </c>
      <c r="K592" s="85"/>
      <c r="L592" s="86"/>
      <c r="M592" s="86"/>
      <c r="N592" s="86" t="n">
        <f aca="false">L592*M592</f>
        <v>0</v>
      </c>
      <c r="O592" s="86"/>
      <c r="P592" s="87" t="n">
        <f aca="false">(M592*L592)+O592</f>
        <v>0</v>
      </c>
      <c r="Q592" s="91"/>
    </row>
    <row r="593" customFormat="false" ht="14.25" hidden="false" customHeight="false" outlineLevel="0" collapsed="false">
      <c r="A593" s="77"/>
      <c r="B593" s="78"/>
      <c r="C593" s="79"/>
      <c r="D593" s="80" t="str">
        <f aca="false">_xlfn.IFNA(VLOOKUP(C593,'بيانات الآليات '!A:G,4,FALSE()),"")</f>
        <v/>
      </c>
      <c r="E593" s="81" t="str">
        <f aca="false">_xlfn.IFNA(VLOOKUP(C593,'بيانات الآليات '!A:G,2,FALSE()),"")</f>
        <v/>
      </c>
      <c r="F593" s="81" t="str">
        <f aca="false">_xlfn.IFNA(VLOOKUP(C593,'بيانات الآليات '!A:G,5,FALSE()),"")</f>
        <v/>
      </c>
      <c r="G593" s="82"/>
      <c r="H593" s="83" t="str">
        <f aca="false">_xlfn.IFNA(VLOOKUP(G593,Table14543[],2,FALSE()),"")</f>
        <v/>
      </c>
      <c r="I593" s="84" t="str">
        <f aca="false">_xlfn.IFNA(VLOOKUP(G593,Table14543[],3,FALSE()),"")</f>
        <v/>
      </c>
      <c r="J593" s="83" t="str">
        <f aca="false">CONCATENATE("",G593,""," ",H593," ",I593)</f>
        <v>  </v>
      </c>
      <c r="K593" s="85"/>
      <c r="L593" s="86"/>
      <c r="M593" s="86"/>
      <c r="N593" s="86" t="n">
        <f aca="false">L593*M593</f>
        <v>0</v>
      </c>
      <c r="O593" s="86"/>
      <c r="P593" s="87" t="n">
        <f aca="false">(M593*L593)+O593</f>
        <v>0</v>
      </c>
      <c r="Q593" s="91"/>
    </row>
    <row r="594" customFormat="false" ht="14.25" hidden="false" customHeight="false" outlineLevel="0" collapsed="false">
      <c r="A594" s="77"/>
      <c r="B594" s="78"/>
      <c r="C594" s="79"/>
      <c r="D594" s="80" t="str">
        <f aca="false">_xlfn.IFNA(VLOOKUP(C594,'بيانات الآليات '!A:G,4,FALSE()),"")</f>
        <v/>
      </c>
      <c r="E594" s="81" t="str">
        <f aca="false">_xlfn.IFNA(VLOOKUP(C594,'بيانات الآليات '!A:G,2,FALSE()),"")</f>
        <v/>
      </c>
      <c r="F594" s="81" t="str">
        <f aca="false">_xlfn.IFNA(VLOOKUP(C594,'بيانات الآليات '!A:G,5,FALSE()),"")</f>
        <v/>
      </c>
      <c r="G594" s="82"/>
      <c r="H594" s="83" t="str">
        <f aca="false">_xlfn.IFNA(VLOOKUP(G594,Table14543[],2,FALSE()),"")</f>
        <v/>
      </c>
      <c r="I594" s="84" t="str">
        <f aca="false">_xlfn.IFNA(VLOOKUP(G594,Table14543[],3,FALSE()),"")</f>
        <v/>
      </c>
      <c r="J594" s="83" t="str">
        <f aca="false">CONCATENATE("",G594,""," ",H594," ",I594)</f>
        <v>  </v>
      </c>
      <c r="K594" s="85"/>
      <c r="L594" s="86"/>
      <c r="M594" s="86"/>
      <c r="N594" s="86" t="n">
        <f aca="false">L594*M594</f>
        <v>0</v>
      </c>
      <c r="O594" s="86"/>
      <c r="P594" s="87" t="n">
        <f aca="false">(M594*L594)+O594</f>
        <v>0</v>
      </c>
      <c r="Q594" s="91"/>
    </row>
    <row r="595" customFormat="false" ht="14.25" hidden="false" customHeight="false" outlineLevel="0" collapsed="false">
      <c r="A595" s="77"/>
      <c r="B595" s="78"/>
      <c r="C595" s="79"/>
      <c r="D595" s="80" t="str">
        <f aca="false">_xlfn.IFNA(VLOOKUP(C595,'بيانات الآليات '!A:G,4,FALSE()),"")</f>
        <v/>
      </c>
      <c r="E595" s="81" t="str">
        <f aca="false">_xlfn.IFNA(VLOOKUP(C595,'بيانات الآليات '!A:G,2,FALSE()),"")</f>
        <v/>
      </c>
      <c r="F595" s="81" t="str">
        <f aca="false">_xlfn.IFNA(VLOOKUP(C595,'بيانات الآليات '!A:G,5,FALSE()),"")</f>
        <v/>
      </c>
      <c r="G595" s="82"/>
      <c r="H595" s="83" t="str">
        <f aca="false">_xlfn.IFNA(VLOOKUP(G595,Table14543[],2,FALSE()),"")</f>
        <v/>
      </c>
      <c r="I595" s="84" t="str">
        <f aca="false">_xlfn.IFNA(VLOOKUP(G595,Table14543[],3,FALSE()),"")</f>
        <v/>
      </c>
      <c r="J595" s="83" t="str">
        <f aca="false">CONCATENATE("",G595,""," ",H595," ",I595)</f>
        <v>  </v>
      </c>
      <c r="K595" s="85"/>
      <c r="L595" s="86"/>
      <c r="M595" s="86"/>
      <c r="N595" s="86" t="n">
        <f aca="false">L595*M595</f>
        <v>0</v>
      </c>
      <c r="O595" s="86"/>
      <c r="P595" s="87" t="n">
        <f aca="false">(M595*L595)+O595</f>
        <v>0</v>
      </c>
      <c r="Q595" s="91"/>
    </row>
    <row r="596" customFormat="false" ht="14.25" hidden="false" customHeight="false" outlineLevel="0" collapsed="false">
      <c r="A596" s="77"/>
      <c r="B596" s="78"/>
      <c r="C596" s="79"/>
      <c r="D596" s="80" t="str">
        <f aca="false">_xlfn.IFNA(VLOOKUP(C596,'بيانات الآليات '!A:G,4,FALSE()),"")</f>
        <v/>
      </c>
      <c r="E596" s="81" t="str">
        <f aca="false">_xlfn.IFNA(VLOOKUP(C596,'بيانات الآليات '!A:G,2,FALSE()),"")</f>
        <v/>
      </c>
      <c r="F596" s="81" t="str">
        <f aca="false">_xlfn.IFNA(VLOOKUP(C596,'بيانات الآليات '!A:G,5,FALSE()),"")</f>
        <v/>
      </c>
      <c r="G596" s="82"/>
      <c r="H596" s="83" t="str">
        <f aca="false">_xlfn.IFNA(VLOOKUP(G596,Table14543[],2,FALSE()),"")</f>
        <v/>
      </c>
      <c r="I596" s="84" t="str">
        <f aca="false">_xlfn.IFNA(VLOOKUP(G596,Table14543[],3,FALSE()),"")</f>
        <v/>
      </c>
      <c r="J596" s="83" t="str">
        <f aca="false">CONCATENATE("",G596,""," ",H596," ",I596)</f>
        <v>  </v>
      </c>
      <c r="K596" s="85"/>
      <c r="L596" s="86"/>
      <c r="M596" s="86"/>
      <c r="N596" s="86" t="n">
        <f aca="false">L596*M596</f>
        <v>0</v>
      </c>
      <c r="O596" s="86"/>
      <c r="P596" s="87" t="n">
        <f aca="false">(M596*L596)+O596</f>
        <v>0</v>
      </c>
      <c r="Q596" s="91"/>
    </row>
    <row r="597" customFormat="false" ht="14.25" hidden="false" customHeight="false" outlineLevel="0" collapsed="false">
      <c r="A597" s="77"/>
      <c r="B597" s="78"/>
      <c r="C597" s="79"/>
      <c r="D597" s="80" t="str">
        <f aca="false">_xlfn.IFNA(VLOOKUP(C597,'بيانات الآليات '!A:G,4,FALSE()),"")</f>
        <v/>
      </c>
      <c r="E597" s="81" t="str">
        <f aca="false">_xlfn.IFNA(VLOOKUP(C597,'بيانات الآليات '!A:G,2,FALSE()),"")</f>
        <v/>
      </c>
      <c r="F597" s="81" t="str">
        <f aca="false">_xlfn.IFNA(VLOOKUP(C597,'بيانات الآليات '!A:G,5,FALSE()),"")</f>
        <v/>
      </c>
      <c r="G597" s="82"/>
      <c r="H597" s="83" t="str">
        <f aca="false">_xlfn.IFNA(VLOOKUP(G597,Table14543[],2,FALSE()),"")</f>
        <v/>
      </c>
      <c r="I597" s="84" t="str">
        <f aca="false">_xlfn.IFNA(VLOOKUP(G597,Table14543[],3,FALSE()),"")</f>
        <v/>
      </c>
      <c r="J597" s="83" t="str">
        <f aca="false">CONCATENATE("",G597,""," ",H597," ",I597)</f>
        <v>  </v>
      </c>
      <c r="K597" s="85"/>
      <c r="L597" s="86"/>
      <c r="M597" s="86"/>
      <c r="N597" s="86" t="n">
        <f aca="false">L597*M597</f>
        <v>0</v>
      </c>
      <c r="O597" s="86"/>
      <c r="P597" s="87" t="n">
        <f aca="false">(M597*L597)+O597</f>
        <v>0</v>
      </c>
      <c r="Q597" s="91"/>
    </row>
    <row r="598" customFormat="false" ht="14.25" hidden="false" customHeight="false" outlineLevel="0" collapsed="false">
      <c r="A598" s="77"/>
      <c r="B598" s="78"/>
      <c r="C598" s="79"/>
      <c r="D598" s="80" t="str">
        <f aca="false">_xlfn.IFNA(VLOOKUP(C598,'بيانات الآليات '!A:G,4,FALSE()),"")</f>
        <v/>
      </c>
      <c r="E598" s="81" t="str">
        <f aca="false">_xlfn.IFNA(VLOOKUP(C598,'بيانات الآليات '!A:G,2,FALSE()),"")</f>
        <v/>
      </c>
      <c r="F598" s="81" t="str">
        <f aca="false">_xlfn.IFNA(VLOOKUP(C598,'بيانات الآليات '!A:G,5,FALSE()),"")</f>
        <v/>
      </c>
      <c r="G598" s="82"/>
      <c r="H598" s="83" t="str">
        <f aca="false">_xlfn.IFNA(VLOOKUP(G598,Table14543[],2,FALSE()),"")</f>
        <v/>
      </c>
      <c r="I598" s="84" t="str">
        <f aca="false">_xlfn.IFNA(VLOOKUP(G598,Table14543[],3,FALSE()),"")</f>
        <v/>
      </c>
      <c r="J598" s="83" t="str">
        <f aca="false">CONCATENATE("",G598,""," ",H598," ",I598)</f>
        <v>  </v>
      </c>
      <c r="K598" s="85"/>
      <c r="L598" s="86"/>
      <c r="M598" s="86"/>
      <c r="N598" s="86" t="n">
        <f aca="false">L598*M598</f>
        <v>0</v>
      </c>
      <c r="O598" s="86"/>
      <c r="P598" s="87" t="n">
        <f aca="false">(M598*L598)+O598</f>
        <v>0</v>
      </c>
      <c r="Q598" s="91"/>
    </row>
    <row r="599" customFormat="false" ht="14.25" hidden="false" customHeight="false" outlineLevel="0" collapsed="false">
      <c r="A599" s="77"/>
      <c r="B599" s="78"/>
      <c r="C599" s="79"/>
      <c r="D599" s="80" t="str">
        <f aca="false">_xlfn.IFNA(VLOOKUP(C599,'بيانات الآليات '!A:G,4,FALSE()),"")</f>
        <v/>
      </c>
      <c r="E599" s="81" t="str">
        <f aca="false">_xlfn.IFNA(VLOOKUP(C599,'بيانات الآليات '!A:G,2,FALSE()),"")</f>
        <v/>
      </c>
      <c r="F599" s="81" t="str">
        <f aca="false">_xlfn.IFNA(VLOOKUP(C599,'بيانات الآليات '!A:G,5,FALSE()),"")</f>
        <v/>
      </c>
      <c r="G599" s="82"/>
      <c r="H599" s="83" t="str">
        <f aca="false">_xlfn.IFNA(VLOOKUP(G599,Table14543[],2,FALSE()),"")</f>
        <v/>
      </c>
      <c r="I599" s="84" t="str">
        <f aca="false">_xlfn.IFNA(VLOOKUP(G599,Table14543[],3,FALSE()),"")</f>
        <v/>
      </c>
      <c r="J599" s="83" t="str">
        <f aca="false">CONCATENATE("",G599,""," ",H599," ",I599)</f>
        <v>  </v>
      </c>
      <c r="K599" s="85"/>
      <c r="L599" s="86"/>
      <c r="M599" s="86"/>
      <c r="N599" s="86" t="n">
        <f aca="false">L599*M599</f>
        <v>0</v>
      </c>
      <c r="O599" s="86"/>
      <c r="P599" s="87" t="n">
        <f aca="false">(M599*L599)+O599</f>
        <v>0</v>
      </c>
      <c r="Q599" s="91"/>
    </row>
    <row r="600" customFormat="false" ht="14.25" hidden="false" customHeight="false" outlineLevel="0" collapsed="false">
      <c r="A600" s="77"/>
      <c r="B600" s="78"/>
      <c r="C600" s="79"/>
      <c r="D600" s="80" t="str">
        <f aca="false">_xlfn.IFNA(VLOOKUP(C600,'بيانات الآليات '!A:G,4,FALSE()),"")</f>
        <v/>
      </c>
      <c r="E600" s="81" t="str">
        <f aca="false">_xlfn.IFNA(VLOOKUP(C600,'بيانات الآليات '!A:G,2,FALSE()),"")</f>
        <v/>
      </c>
      <c r="F600" s="81" t="str">
        <f aca="false">_xlfn.IFNA(VLOOKUP(C600,'بيانات الآليات '!A:G,5,FALSE()),"")</f>
        <v/>
      </c>
      <c r="G600" s="82"/>
      <c r="H600" s="83" t="str">
        <f aca="false">_xlfn.IFNA(VLOOKUP(G600,Table14543[],2,FALSE()),"")</f>
        <v/>
      </c>
      <c r="I600" s="84" t="str">
        <f aca="false">_xlfn.IFNA(VLOOKUP(G600,Table14543[],3,FALSE()),"")</f>
        <v/>
      </c>
      <c r="J600" s="83" t="str">
        <f aca="false">CONCATENATE("",G600,""," ",H600," ",I600)</f>
        <v>  </v>
      </c>
      <c r="K600" s="85"/>
      <c r="L600" s="86"/>
      <c r="M600" s="86"/>
      <c r="N600" s="86" t="n">
        <f aca="false">L600*M600</f>
        <v>0</v>
      </c>
      <c r="O600" s="86"/>
      <c r="P600" s="87" t="n">
        <f aca="false">(M600*L600)+O600</f>
        <v>0</v>
      </c>
      <c r="Q600" s="91"/>
    </row>
    <row r="601" customFormat="false" ht="14.25" hidden="false" customHeight="false" outlineLevel="0" collapsed="false">
      <c r="A601" s="77"/>
      <c r="B601" s="78"/>
      <c r="C601" s="79"/>
      <c r="D601" s="80" t="str">
        <f aca="false">_xlfn.IFNA(VLOOKUP(C601,'بيانات الآليات '!A:G,4,FALSE()),"")</f>
        <v/>
      </c>
      <c r="E601" s="81" t="str">
        <f aca="false">_xlfn.IFNA(VLOOKUP(C601,'بيانات الآليات '!A:G,2,FALSE()),"")</f>
        <v/>
      </c>
      <c r="F601" s="81" t="str">
        <f aca="false">_xlfn.IFNA(VLOOKUP(C601,'بيانات الآليات '!A:G,5,FALSE()),"")</f>
        <v/>
      </c>
      <c r="G601" s="82"/>
      <c r="H601" s="83" t="str">
        <f aca="false">_xlfn.IFNA(VLOOKUP(G601,Table14543[],2,FALSE()),"")</f>
        <v/>
      </c>
      <c r="I601" s="84" t="str">
        <f aca="false">_xlfn.IFNA(VLOOKUP(G601,Table14543[],3,FALSE()),"")</f>
        <v/>
      </c>
      <c r="J601" s="83" t="str">
        <f aca="false">CONCATENATE("",G601,""," ",H601," ",I601)</f>
        <v>  </v>
      </c>
      <c r="K601" s="85"/>
      <c r="L601" s="86"/>
      <c r="M601" s="86"/>
      <c r="N601" s="86" t="n">
        <f aca="false">L601*M601</f>
        <v>0</v>
      </c>
      <c r="O601" s="86"/>
      <c r="P601" s="87" t="n">
        <f aca="false">(M601*L601)+O601</f>
        <v>0</v>
      </c>
      <c r="Q601" s="91"/>
    </row>
    <row r="602" customFormat="false" ht="14.25" hidden="false" customHeight="false" outlineLevel="0" collapsed="false">
      <c r="A602" s="77"/>
      <c r="B602" s="78"/>
      <c r="C602" s="79"/>
      <c r="D602" s="80" t="str">
        <f aca="false">_xlfn.IFNA(VLOOKUP(C602,'بيانات الآليات '!A:G,4,FALSE()),"")</f>
        <v/>
      </c>
      <c r="E602" s="81" t="str">
        <f aca="false">_xlfn.IFNA(VLOOKUP(C602,'بيانات الآليات '!A:G,2,FALSE()),"")</f>
        <v/>
      </c>
      <c r="F602" s="81" t="str">
        <f aca="false">_xlfn.IFNA(VLOOKUP(C602,'بيانات الآليات '!A:G,5,FALSE()),"")</f>
        <v/>
      </c>
      <c r="G602" s="82"/>
      <c r="H602" s="83" t="str">
        <f aca="false">_xlfn.IFNA(VLOOKUP(G602,Table14543[],2,FALSE()),"")</f>
        <v/>
      </c>
      <c r="I602" s="84" t="str">
        <f aca="false">_xlfn.IFNA(VLOOKUP(G602,Table14543[],3,FALSE()),"")</f>
        <v/>
      </c>
      <c r="J602" s="83" t="str">
        <f aca="false">CONCATENATE("",G602,""," ",H602," ",I602)</f>
        <v>  </v>
      </c>
      <c r="K602" s="85"/>
      <c r="L602" s="86"/>
      <c r="M602" s="86"/>
      <c r="N602" s="86" t="n">
        <f aca="false">L602*M602</f>
        <v>0</v>
      </c>
      <c r="O602" s="86"/>
      <c r="P602" s="87" t="n">
        <f aca="false">(M602*L602)+O602</f>
        <v>0</v>
      </c>
      <c r="Q602" s="91"/>
    </row>
    <row r="603" customFormat="false" ht="14.25" hidden="false" customHeight="false" outlineLevel="0" collapsed="false">
      <c r="A603" s="77"/>
      <c r="B603" s="78"/>
      <c r="C603" s="79"/>
      <c r="D603" s="80" t="str">
        <f aca="false">_xlfn.IFNA(VLOOKUP(C603,'بيانات الآليات '!A:G,4,FALSE()),"")</f>
        <v/>
      </c>
      <c r="E603" s="81" t="str">
        <f aca="false">_xlfn.IFNA(VLOOKUP(C603,'بيانات الآليات '!A:G,2,FALSE()),"")</f>
        <v/>
      </c>
      <c r="F603" s="81" t="str">
        <f aca="false">_xlfn.IFNA(VLOOKUP(C603,'بيانات الآليات '!A:G,5,FALSE()),"")</f>
        <v/>
      </c>
      <c r="G603" s="82"/>
      <c r="H603" s="83" t="str">
        <f aca="false">_xlfn.IFNA(VLOOKUP(G603,Table14543[],2,FALSE()),"")</f>
        <v/>
      </c>
      <c r="I603" s="84" t="str">
        <f aca="false">_xlfn.IFNA(VLOOKUP(G603,Table14543[],3,FALSE()),"")</f>
        <v/>
      </c>
      <c r="J603" s="83" t="str">
        <f aca="false">CONCATENATE("",G603,""," ",H603," ",I603)</f>
        <v>  </v>
      </c>
      <c r="K603" s="85"/>
      <c r="L603" s="86"/>
      <c r="M603" s="86"/>
      <c r="N603" s="86" t="n">
        <f aca="false">L603*M603</f>
        <v>0</v>
      </c>
      <c r="O603" s="86"/>
      <c r="P603" s="87" t="n">
        <f aca="false">(M603*L603)+O603</f>
        <v>0</v>
      </c>
      <c r="Q603" s="91"/>
    </row>
    <row r="604" customFormat="false" ht="14.25" hidden="false" customHeight="false" outlineLevel="0" collapsed="false">
      <c r="A604" s="77"/>
      <c r="B604" s="78"/>
      <c r="C604" s="79"/>
      <c r="D604" s="80" t="str">
        <f aca="false">_xlfn.IFNA(VLOOKUP(C604,'بيانات الآليات '!A:G,4,FALSE()),"")</f>
        <v/>
      </c>
      <c r="E604" s="81" t="str">
        <f aca="false">_xlfn.IFNA(VLOOKUP(C604,'بيانات الآليات '!A:G,2,FALSE()),"")</f>
        <v/>
      </c>
      <c r="F604" s="81" t="str">
        <f aca="false">_xlfn.IFNA(VLOOKUP(C604,'بيانات الآليات '!A:G,5,FALSE()),"")</f>
        <v/>
      </c>
      <c r="G604" s="82"/>
      <c r="H604" s="83" t="str">
        <f aca="false">_xlfn.IFNA(VLOOKUP(G604,Table14543[],2,FALSE()),"")</f>
        <v/>
      </c>
      <c r="I604" s="84" t="str">
        <f aca="false">_xlfn.IFNA(VLOOKUP(G604,Table14543[],3,FALSE()),"")</f>
        <v/>
      </c>
      <c r="J604" s="83" t="str">
        <f aca="false">CONCATENATE("",G604,""," ",H604," ",I604)</f>
        <v>  </v>
      </c>
      <c r="K604" s="85"/>
      <c r="L604" s="86"/>
      <c r="M604" s="86"/>
      <c r="N604" s="86" t="n">
        <f aca="false">L604*M604</f>
        <v>0</v>
      </c>
      <c r="O604" s="86"/>
      <c r="P604" s="87" t="n">
        <f aca="false">(M604*L604)+O604</f>
        <v>0</v>
      </c>
      <c r="Q604" s="91"/>
    </row>
    <row r="605" customFormat="false" ht="14.25" hidden="false" customHeight="false" outlineLevel="0" collapsed="false">
      <c r="A605" s="77"/>
      <c r="B605" s="78"/>
      <c r="C605" s="79"/>
      <c r="D605" s="80" t="str">
        <f aca="false">_xlfn.IFNA(VLOOKUP(C605,'بيانات الآليات '!A:G,4,FALSE()),"")</f>
        <v/>
      </c>
      <c r="E605" s="81" t="str">
        <f aca="false">_xlfn.IFNA(VLOOKUP(C605,'بيانات الآليات '!A:G,2,FALSE()),"")</f>
        <v/>
      </c>
      <c r="F605" s="81" t="str">
        <f aca="false">_xlfn.IFNA(VLOOKUP(C605,'بيانات الآليات '!A:G,5,FALSE()),"")</f>
        <v/>
      </c>
      <c r="G605" s="82"/>
      <c r="H605" s="83" t="str">
        <f aca="false">_xlfn.IFNA(VLOOKUP(G605,Table14543[],2,FALSE()),"")</f>
        <v/>
      </c>
      <c r="I605" s="84" t="str">
        <f aca="false">_xlfn.IFNA(VLOOKUP(G605,Table14543[],3,FALSE()),"")</f>
        <v/>
      </c>
      <c r="J605" s="83" t="str">
        <f aca="false">CONCATENATE("",G605,""," ",H605," ",I605)</f>
        <v>  </v>
      </c>
      <c r="K605" s="85"/>
      <c r="L605" s="86"/>
      <c r="M605" s="86"/>
      <c r="N605" s="86" t="n">
        <f aca="false">L605*M605</f>
        <v>0</v>
      </c>
      <c r="O605" s="86"/>
      <c r="P605" s="87" t="n">
        <f aca="false">(M605*L605)+O605</f>
        <v>0</v>
      </c>
      <c r="Q605" s="91"/>
    </row>
    <row r="606" customFormat="false" ht="14.25" hidden="false" customHeight="false" outlineLevel="0" collapsed="false">
      <c r="A606" s="77"/>
      <c r="B606" s="78"/>
      <c r="C606" s="79"/>
      <c r="D606" s="80" t="str">
        <f aca="false">_xlfn.IFNA(VLOOKUP(C606,'بيانات الآليات '!A:G,4,FALSE()),"")</f>
        <v/>
      </c>
      <c r="E606" s="81" t="str">
        <f aca="false">_xlfn.IFNA(VLOOKUP(C606,'بيانات الآليات '!A:G,2,FALSE()),"")</f>
        <v/>
      </c>
      <c r="F606" s="81" t="str">
        <f aca="false">_xlfn.IFNA(VLOOKUP(C606,'بيانات الآليات '!A:G,5,FALSE()),"")</f>
        <v/>
      </c>
      <c r="G606" s="82"/>
      <c r="H606" s="83" t="str">
        <f aca="false">_xlfn.IFNA(VLOOKUP(G606,Table14543[],2,FALSE()),"")</f>
        <v/>
      </c>
      <c r="I606" s="84" t="str">
        <f aca="false">_xlfn.IFNA(VLOOKUP(G606,Table14543[],3,FALSE()),"")</f>
        <v/>
      </c>
      <c r="J606" s="83" t="str">
        <f aca="false">CONCATENATE("",G606,""," ",H606," ",I606)</f>
        <v>  </v>
      </c>
      <c r="K606" s="85"/>
      <c r="L606" s="86"/>
      <c r="M606" s="86"/>
      <c r="N606" s="86" t="n">
        <f aca="false">L606*M606</f>
        <v>0</v>
      </c>
      <c r="O606" s="86"/>
      <c r="P606" s="87" t="n">
        <f aca="false">(M606*L606)+O606</f>
        <v>0</v>
      </c>
      <c r="Q606" s="91"/>
    </row>
    <row r="607" customFormat="false" ht="14.25" hidden="false" customHeight="false" outlineLevel="0" collapsed="false">
      <c r="A607" s="77"/>
      <c r="B607" s="78"/>
      <c r="C607" s="79"/>
      <c r="D607" s="80" t="str">
        <f aca="false">_xlfn.IFNA(VLOOKUP(C607,'بيانات الآليات '!A:G,4,FALSE()),"")</f>
        <v/>
      </c>
      <c r="E607" s="81" t="str">
        <f aca="false">_xlfn.IFNA(VLOOKUP(C607,'بيانات الآليات '!A:G,2,FALSE()),"")</f>
        <v/>
      </c>
      <c r="F607" s="81" t="str">
        <f aca="false">_xlfn.IFNA(VLOOKUP(C607,'بيانات الآليات '!A:G,5,FALSE()),"")</f>
        <v/>
      </c>
      <c r="G607" s="82"/>
      <c r="H607" s="83" t="str">
        <f aca="false">_xlfn.IFNA(VLOOKUP(G607,Table14543[],2,FALSE()),"")</f>
        <v/>
      </c>
      <c r="I607" s="84" t="str">
        <f aca="false">_xlfn.IFNA(VLOOKUP(G607,Table14543[],3,FALSE()),"")</f>
        <v/>
      </c>
      <c r="J607" s="83" t="str">
        <f aca="false">CONCATENATE("",G607,""," ",H607," ",I607)</f>
        <v>  </v>
      </c>
      <c r="K607" s="85"/>
      <c r="L607" s="86"/>
      <c r="M607" s="86"/>
      <c r="N607" s="86" t="n">
        <f aca="false">L607*M607</f>
        <v>0</v>
      </c>
      <c r="O607" s="86"/>
      <c r="P607" s="87" t="n">
        <f aca="false">(M607*L607)+O607</f>
        <v>0</v>
      </c>
      <c r="Q607" s="91"/>
    </row>
    <row r="608" customFormat="false" ht="14.25" hidden="false" customHeight="false" outlineLevel="0" collapsed="false">
      <c r="A608" s="77"/>
      <c r="B608" s="78"/>
      <c r="C608" s="79"/>
      <c r="D608" s="80" t="str">
        <f aca="false">_xlfn.IFNA(VLOOKUP(C608,'بيانات الآليات '!A:G,4,FALSE()),"")</f>
        <v/>
      </c>
      <c r="E608" s="81" t="str">
        <f aca="false">_xlfn.IFNA(VLOOKUP(C608,'بيانات الآليات '!A:G,2,FALSE()),"")</f>
        <v/>
      </c>
      <c r="F608" s="81" t="str">
        <f aca="false">_xlfn.IFNA(VLOOKUP(C608,'بيانات الآليات '!A:G,5,FALSE()),"")</f>
        <v/>
      </c>
      <c r="G608" s="82"/>
      <c r="H608" s="83" t="str">
        <f aca="false">_xlfn.IFNA(VLOOKUP(G608,Table14543[],2,FALSE()),"")</f>
        <v/>
      </c>
      <c r="I608" s="84" t="str">
        <f aca="false">_xlfn.IFNA(VLOOKUP(G608,Table14543[],3,FALSE()),"")</f>
        <v/>
      </c>
      <c r="J608" s="83" t="str">
        <f aca="false">CONCATENATE("",G608,""," ",H608," ",I608)</f>
        <v>  </v>
      </c>
      <c r="K608" s="85"/>
      <c r="L608" s="86"/>
      <c r="M608" s="86"/>
      <c r="N608" s="86" t="n">
        <f aca="false">L608*M608</f>
        <v>0</v>
      </c>
      <c r="O608" s="86"/>
      <c r="P608" s="87" t="n">
        <f aca="false">(M608*L608)+O608</f>
        <v>0</v>
      </c>
      <c r="Q608" s="91"/>
    </row>
    <row r="609" customFormat="false" ht="14.25" hidden="false" customHeight="false" outlineLevel="0" collapsed="false">
      <c r="A609" s="77"/>
      <c r="B609" s="78"/>
      <c r="C609" s="79"/>
      <c r="D609" s="80" t="str">
        <f aca="false">_xlfn.IFNA(VLOOKUP(C609,'بيانات الآليات '!A:G,4,FALSE()),"")</f>
        <v/>
      </c>
      <c r="E609" s="81" t="str">
        <f aca="false">_xlfn.IFNA(VLOOKUP(C609,'بيانات الآليات '!A:G,2,FALSE()),"")</f>
        <v/>
      </c>
      <c r="F609" s="81" t="str">
        <f aca="false">_xlfn.IFNA(VLOOKUP(C609,'بيانات الآليات '!A:G,5,FALSE()),"")</f>
        <v/>
      </c>
      <c r="G609" s="82"/>
      <c r="H609" s="83" t="str">
        <f aca="false">_xlfn.IFNA(VLOOKUP(G609,Table14543[],2,FALSE()),"")</f>
        <v/>
      </c>
      <c r="I609" s="84" t="str">
        <f aca="false">_xlfn.IFNA(VLOOKUP(G609,Table14543[],3,FALSE()),"")</f>
        <v/>
      </c>
      <c r="J609" s="83" t="str">
        <f aca="false">CONCATENATE("",G609,""," ",H609," ",I609)</f>
        <v>  </v>
      </c>
      <c r="K609" s="85"/>
      <c r="L609" s="86"/>
      <c r="M609" s="86"/>
      <c r="N609" s="86" t="n">
        <f aca="false">L609*M609</f>
        <v>0</v>
      </c>
      <c r="O609" s="86"/>
      <c r="P609" s="87" t="n">
        <f aca="false">(M609*L609)+O609</f>
        <v>0</v>
      </c>
      <c r="Q609" s="91"/>
    </row>
    <row r="610" customFormat="false" ht="14.25" hidden="false" customHeight="false" outlineLevel="0" collapsed="false">
      <c r="A610" s="77"/>
      <c r="B610" s="78"/>
      <c r="C610" s="79"/>
      <c r="D610" s="80" t="str">
        <f aca="false">_xlfn.IFNA(VLOOKUP(C610,'بيانات الآليات '!A:G,4,FALSE()),"")</f>
        <v/>
      </c>
      <c r="E610" s="81" t="str">
        <f aca="false">_xlfn.IFNA(VLOOKUP(C610,'بيانات الآليات '!A:G,2,FALSE()),"")</f>
        <v/>
      </c>
      <c r="F610" s="81" t="str">
        <f aca="false">_xlfn.IFNA(VLOOKUP(C610,'بيانات الآليات '!A:G,5,FALSE()),"")</f>
        <v/>
      </c>
      <c r="G610" s="82"/>
      <c r="H610" s="83" t="str">
        <f aca="false">_xlfn.IFNA(VLOOKUP(G610,Table14543[],2,FALSE()),"")</f>
        <v/>
      </c>
      <c r="I610" s="84" t="str">
        <f aca="false">_xlfn.IFNA(VLOOKUP(G610,Table14543[],3,FALSE()),"")</f>
        <v/>
      </c>
      <c r="J610" s="83" t="str">
        <f aca="false">CONCATENATE("",G610,""," ",H610," ",I610)</f>
        <v>  </v>
      </c>
      <c r="K610" s="85"/>
      <c r="L610" s="86"/>
      <c r="M610" s="86"/>
      <c r="N610" s="86" t="n">
        <f aca="false">L610*M610</f>
        <v>0</v>
      </c>
      <c r="O610" s="86"/>
      <c r="P610" s="87" t="n">
        <f aca="false">(M610*L610)+O610</f>
        <v>0</v>
      </c>
      <c r="Q610" s="91"/>
    </row>
    <row r="611" customFormat="false" ht="14.25" hidden="false" customHeight="false" outlineLevel="0" collapsed="false">
      <c r="A611" s="77"/>
      <c r="B611" s="78"/>
      <c r="C611" s="79"/>
      <c r="D611" s="80" t="str">
        <f aca="false">_xlfn.IFNA(VLOOKUP(C611,'بيانات الآليات '!A:G,4,FALSE()),"")</f>
        <v/>
      </c>
      <c r="E611" s="81" t="str">
        <f aca="false">_xlfn.IFNA(VLOOKUP(C611,'بيانات الآليات '!A:G,2,FALSE()),"")</f>
        <v/>
      </c>
      <c r="F611" s="81" t="str">
        <f aca="false">_xlfn.IFNA(VLOOKUP(C611,'بيانات الآليات '!A:G,5,FALSE()),"")</f>
        <v/>
      </c>
      <c r="G611" s="82"/>
      <c r="H611" s="83" t="str">
        <f aca="false">_xlfn.IFNA(VLOOKUP(G611,Table14543[],2,FALSE()),"")</f>
        <v/>
      </c>
      <c r="I611" s="84" t="str">
        <f aca="false">_xlfn.IFNA(VLOOKUP(G611,Table14543[],3,FALSE()),"")</f>
        <v/>
      </c>
      <c r="J611" s="83" t="str">
        <f aca="false">CONCATENATE("",G611,""," ",H611," ",I611)</f>
        <v>  </v>
      </c>
      <c r="K611" s="85"/>
      <c r="L611" s="86"/>
      <c r="M611" s="86"/>
      <c r="N611" s="86" t="n">
        <f aca="false">L611*M611</f>
        <v>0</v>
      </c>
      <c r="O611" s="86"/>
      <c r="P611" s="87" t="n">
        <f aca="false">(M611*L611)+O611</f>
        <v>0</v>
      </c>
      <c r="Q611" s="91"/>
    </row>
    <row r="612" customFormat="false" ht="14.25" hidden="false" customHeight="false" outlineLevel="0" collapsed="false">
      <c r="A612" s="77"/>
      <c r="B612" s="78"/>
      <c r="C612" s="79"/>
      <c r="D612" s="80" t="str">
        <f aca="false">_xlfn.IFNA(VLOOKUP(C612,'بيانات الآليات '!A:G,4,FALSE()),"")</f>
        <v/>
      </c>
      <c r="E612" s="81" t="str">
        <f aca="false">_xlfn.IFNA(VLOOKUP(C612,'بيانات الآليات '!A:G,2,FALSE()),"")</f>
        <v/>
      </c>
      <c r="F612" s="81" t="str">
        <f aca="false">_xlfn.IFNA(VLOOKUP(C612,'بيانات الآليات '!A:G,5,FALSE()),"")</f>
        <v/>
      </c>
      <c r="G612" s="82"/>
      <c r="H612" s="83" t="str">
        <f aca="false">_xlfn.IFNA(VLOOKUP(G612,Table14543[],2,FALSE()),"")</f>
        <v/>
      </c>
      <c r="I612" s="84" t="str">
        <f aca="false">_xlfn.IFNA(VLOOKUP(G612,Table14543[],3,FALSE()),"")</f>
        <v/>
      </c>
      <c r="J612" s="83" t="str">
        <f aca="false">CONCATENATE("",G612,""," ",H612," ",I612)</f>
        <v>  </v>
      </c>
      <c r="K612" s="85"/>
      <c r="L612" s="86"/>
      <c r="M612" s="86"/>
      <c r="N612" s="86" t="n">
        <f aca="false">L612*M612</f>
        <v>0</v>
      </c>
      <c r="O612" s="86"/>
      <c r="P612" s="87" t="n">
        <f aca="false">(M612*L612)+O612</f>
        <v>0</v>
      </c>
      <c r="Q612" s="91"/>
    </row>
    <row r="613" customFormat="false" ht="14.25" hidden="false" customHeight="false" outlineLevel="0" collapsed="false">
      <c r="A613" s="77"/>
      <c r="B613" s="78"/>
      <c r="C613" s="79"/>
      <c r="D613" s="80" t="str">
        <f aca="false">_xlfn.IFNA(VLOOKUP(C613,'بيانات الآليات '!A:G,4,FALSE()),"")</f>
        <v/>
      </c>
      <c r="E613" s="81" t="str">
        <f aca="false">_xlfn.IFNA(VLOOKUP(C613,'بيانات الآليات '!A:G,2,FALSE()),"")</f>
        <v/>
      </c>
      <c r="F613" s="81" t="str">
        <f aca="false">_xlfn.IFNA(VLOOKUP(C613,'بيانات الآليات '!A:G,5,FALSE()),"")</f>
        <v/>
      </c>
      <c r="G613" s="82"/>
      <c r="H613" s="83" t="str">
        <f aca="false">_xlfn.IFNA(VLOOKUP(G613,Table14543[],2,FALSE()),"")</f>
        <v/>
      </c>
      <c r="I613" s="84" t="str">
        <f aca="false">_xlfn.IFNA(VLOOKUP(G613,Table14543[],3,FALSE()),"")</f>
        <v/>
      </c>
      <c r="J613" s="83" t="str">
        <f aca="false">CONCATENATE("",G613,""," ",H613," ",I613)</f>
        <v>  </v>
      </c>
      <c r="K613" s="85"/>
      <c r="L613" s="86"/>
      <c r="M613" s="86"/>
      <c r="N613" s="86" t="n">
        <f aca="false">L613*M613</f>
        <v>0</v>
      </c>
      <c r="O613" s="86"/>
      <c r="P613" s="87" t="n">
        <f aca="false">(M613*L613)+O613</f>
        <v>0</v>
      </c>
      <c r="Q613" s="91"/>
    </row>
    <row r="614" customFormat="false" ht="14.25" hidden="false" customHeight="false" outlineLevel="0" collapsed="false">
      <c r="A614" s="77"/>
      <c r="B614" s="78"/>
      <c r="C614" s="79"/>
      <c r="D614" s="80" t="str">
        <f aca="false">_xlfn.IFNA(VLOOKUP(C614,'بيانات الآليات '!A:G,4,FALSE()),"")</f>
        <v/>
      </c>
      <c r="E614" s="81" t="str">
        <f aca="false">_xlfn.IFNA(VLOOKUP(C614,'بيانات الآليات '!A:G,2,FALSE()),"")</f>
        <v/>
      </c>
      <c r="F614" s="81" t="str">
        <f aca="false">_xlfn.IFNA(VLOOKUP(C614,'بيانات الآليات '!A:G,5,FALSE()),"")</f>
        <v/>
      </c>
      <c r="G614" s="82"/>
      <c r="H614" s="83" t="str">
        <f aca="false">_xlfn.IFNA(VLOOKUP(G614,Table14543[],2,FALSE()),"")</f>
        <v/>
      </c>
      <c r="I614" s="84" t="str">
        <f aca="false">_xlfn.IFNA(VLOOKUP(G614,Table14543[],3,FALSE()),"")</f>
        <v/>
      </c>
      <c r="J614" s="83" t="str">
        <f aca="false">CONCATENATE("",G614,""," ",H614," ",I614)</f>
        <v>  </v>
      </c>
      <c r="K614" s="85"/>
      <c r="L614" s="86"/>
      <c r="M614" s="86"/>
      <c r="N614" s="86" t="n">
        <f aca="false">L614*M614</f>
        <v>0</v>
      </c>
      <c r="O614" s="86"/>
      <c r="P614" s="87" t="n">
        <f aca="false">(M614*L614)+O614</f>
        <v>0</v>
      </c>
      <c r="Q614" s="91"/>
    </row>
    <row r="615" customFormat="false" ht="14.25" hidden="false" customHeight="false" outlineLevel="0" collapsed="false">
      <c r="A615" s="77"/>
      <c r="B615" s="78"/>
      <c r="C615" s="79"/>
      <c r="D615" s="80" t="str">
        <f aca="false">_xlfn.IFNA(VLOOKUP(C615,'بيانات الآليات '!A:G,4,FALSE()),"")</f>
        <v/>
      </c>
      <c r="E615" s="81" t="str">
        <f aca="false">_xlfn.IFNA(VLOOKUP(C615,'بيانات الآليات '!A:G,2,FALSE()),"")</f>
        <v/>
      </c>
      <c r="F615" s="81" t="str">
        <f aca="false">_xlfn.IFNA(VLOOKUP(C615,'بيانات الآليات '!A:G,5,FALSE()),"")</f>
        <v/>
      </c>
      <c r="G615" s="82"/>
      <c r="H615" s="83" t="str">
        <f aca="false">_xlfn.IFNA(VLOOKUP(G615,Table14543[],2,FALSE()),"")</f>
        <v/>
      </c>
      <c r="I615" s="84" t="str">
        <f aca="false">_xlfn.IFNA(VLOOKUP(G615,Table14543[],3,FALSE()),"")</f>
        <v/>
      </c>
      <c r="J615" s="83" t="str">
        <f aca="false">CONCATENATE("",G615,""," ",H615," ",I615)</f>
        <v>  </v>
      </c>
      <c r="K615" s="85"/>
      <c r="L615" s="86"/>
      <c r="M615" s="86"/>
      <c r="N615" s="86" t="n">
        <f aca="false">L615*M615</f>
        <v>0</v>
      </c>
      <c r="O615" s="86"/>
      <c r="P615" s="87" t="n">
        <f aca="false">(M615*L615)+O615</f>
        <v>0</v>
      </c>
      <c r="Q615" s="91"/>
    </row>
    <row r="616" customFormat="false" ht="14.25" hidden="false" customHeight="false" outlineLevel="0" collapsed="false">
      <c r="A616" s="77"/>
      <c r="B616" s="78"/>
      <c r="C616" s="79"/>
      <c r="D616" s="80" t="str">
        <f aca="false">_xlfn.IFNA(VLOOKUP(C616,'بيانات الآليات '!A:G,4,FALSE()),"")</f>
        <v/>
      </c>
      <c r="E616" s="81" t="str">
        <f aca="false">_xlfn.IFNA(VLOOKUP(C616,'بيانات الآليات '!A:G,2,FALSE()),"")</f>
        <v/>
      </c>
      <c r="F616" s="81" t="str">
        <f aca="false">_xlfn.IFNA(VLOOKUP(C616,'بيانات الآليات '!A:G,5,FALSE()),"")</f>
        <v/>
      </c>
      <c r="G616" s="82"/>
      <c r="H616" s="83" t="str">
        <f aca="false">_xlfn.IFNA(VLOOKUP(G616,Table14543[],2,FALSE()),"")</f>
        <v/>
      </c>
      <c r="I616" s="84" t="str">
        <f aca="false">_xlfn.IFNA(VLOOKUP(G616,Table14543[],3,FALSE()),"")</f>
        <v/>
      </c>
      <c r="J616" s="83" t="str">
        <f aca="false">CONCATENATE("",G616,""," ",H616," ",I616)</f>
        <v>  </v>
      </c>
      <c r="K616" s="85"/>
      <c r="L616" s="86"/>
      <c r="M616" s="86"/>
      <c r="N616" s="86" t="n">
        <f aca="false">L616*M616</f>
        <v>0</v>
      </c>
      <c r="O616" s="86"/>
      <c r="P616" s="87" t="n">
        <f aca="false">(M616*L616)+O616</f>
        <v>0</v>
      </c>
      <c r="Q616" s="91"/>
    </row>
    <row r="617" customFormat="false" ht="14.25" hidden="false" customHeight="false" outlineLevel="0" collapsed="false">
      <c r="A617" s="77"/>
      <c r="B617" s="78"/>
      <c r="C617" s="79"/>
      <c r="D617" s="80" t="str">
        <f aca="false">_xlfn.IFNA(VLOOKUP(C617,'بيانات الآليات '!A:G,4,FALSE()),"")</f>
        <v/>
      </c>
      <c r="E617" s="81" t="str">
        <f aca="false">_xlfn.IFNA(VLOOKUP(C617,'بيانات الآليات '!A:G,2,FALSE()),"")</f>
        <v/>
      </c>
      <c r="F617" s="81" t="str">
        <f aca="false">_xlfn.IFNA(VLOOKUP(C617,'بيانات الآليات '!A:G,5,FALSE()),"")</f>
        <v/>
      </c>
      <c r="G617" s="82"/>
      <c r="H617" s="83" t="str">
        <f aca="false">_xlfn.IFNA(VLOOKUP(G617,Table14543[],2,FALSE()),"")</f>
        <v/>
      </c>
      <c r="I617" s="84" t="str">
        <f aca="false">_xlfn.IFNA(VLOOKUP(G617,Table14543[],3,FALSE()),"")</f>
        <v/>
      </c>
      <c r="J617" s="83" t="str">
        <f aca="false">CONCATENATE("",G617,""," ",H617," ",I617)</f>
        <v>  </v>
      </c>
      <c r="K617" s="85"/>
      <c r="L617" s="86"/>
      <c r="M617" s="86"/>
      <c r="N617" s="86" t="n">
        <f aca="false">L617*M617</f>
        <v>0</v>
      </c>
      <c r="O617" s="86"/>
      <c r="P617" s="87" t="n">
        <f aca="false">(M617*L617)+O617</f>
        <v>0</v>
      </c>
      <c r="Q617" s="91"/>
    </row>
    <row r="618" customFormat="false" ht="14.25" hidden="false" customHeight="false" outlineLevel="0" collapsed="false">
      <c r="A618" s="77"/>
      <c r="B618" s="78"/>
      <c r="C618" s="79"/>
      <c r="D618" s="80" t="str">
        <f aca="false">_xlfn.IFNA(VLOOKUP(C618,'بيانات الآليات '!A:G,4,FALSE()),"")</f>
        <v/>
      </c>
      <c r="E618" s="81" t="str">
        <f aca="false">_xlfn.IFNA(VLOOKUP(C618,'بيانات الآليات '!A:G,2,FALSE()),"")</f>
        <v/>
      </c>
      <c r="F618" s="81" t="str">
        <f aca="false">_xlfn.IFNA(VLOOKUP(C618,'بيانات الآليات '!A:G,5,FALSE()),"")</f>
        <v/>
      </c>
      <c r="G618" s="82"/>
      <c r="H618" s="83" t="str">
        <f aca="false">_xlfn.IFNA(VLOOKUP(G618,Table14543[],2,FALSE()),"")</f>
        <v/>
      </c>
      <c r="I618" s="84" t="str">
        <f aca="false">_xlfn.IFNA(VLOOKUP(G618,Table14543[],3,FALSE()),"")</f>
        <v/>
      </c>
      <c r="J618" s="83" t="str">
        <f aca="false">CONCATENATE("",G618,""," ",H618," ",I618)</f>
        <v>  </v>
      </c>
      <c r="K618" s="85"/>
      <c r="L618" s="86"/>
      <c r="M618" s="86"/>
      <c r="N618" s="86" t="n">
        <f aca="false">L618*M618</f>
        <v>0</v>
      </c>
      <c r="O618" s="86"/>
      <c r="P618" s="87" t="n">
        <f aca="false">(M618*L618)+O618</f>
        <v>0</v>
      </c>
      <c r="Q618" s="91"/>
    </row>
    <row r="619" customFormat="false" ht="14.25" hidden="false" customHeight="false" outlineLevel="0" collapsed="false">
      <c r="A619" s="77"/>
      <c r="B619" s="78"/>
      <c r="C619" s="79"/>
      <c r="D619" s="80" t="str">
        <f aca="false">_xlfn.IFNA(VLOOKUP(C619,'بيانات الآليات '!A:G,4,FALSE()),"")</f>
        <v/>
      </c>
      <c r="E619" s="81" t="str">
        <f aca="false">_xlfn.IFNA(VLOOKUP(C619,'بيانات الآليات '!A:G,2,FALSE()),"")</f>
        <v/>
      </c>
      <c r="F619" s="81" t="str">
        <f aca="false">_xlfn.IFNA(VLOOKUP(C619,'بيانات الآليات '!A:G,5,FALSE()),"")</f>
        <v/>
      </c>
      <c r="G619" s="82"/>
      <c r="H619" s="83" t="str">
        <f aca="false">_xlfn.IFNA(VLOOKUP(G619,Table14543[],2,FALSE()),"")</f>
        <v/>
      </c>
      <c r="I619" s="84" t="str">
        <f aca="false">_xlfn.IFNA(VLOOKUP(G619,Table14543[],3,FALSE()),"")</f>
        <v/>
      </c>
      <c r="J619" s="83" t="str">
        <f aca="false">CONCATENATE("",G619,""," ",H619," ",I619)</f>
        <v>  </v>
      </c>
      <c r="K619" s="85"/>
      <c r="L619" s="86"/>
      <c r="M619" s="86"/>
      <c r="N619" s="86" t="n">
        <f aca="false">L619*M619</f>
        <v>0</v>
      </c>
      <c r="O619" s="86"/>
      <c r="P619" s="87" t="n">
        <f aca="false">(M619*L619)+O619</f>
        <v>0</v>
      </c>
      <c r="Q619" s="91"/>
    </row>
    <row r="620" customFormat="false" ht="14.25" hidden="false" customHeight="false" outlineLevel="0" collapsed="false">
      <c r="A620" s="77"/>
      <c r="B620" s="78"/>
      <c r="C620" s="79"/>
      <c r="D620" s="80" t="str">
        <f aca="false">_xlfn.IFNA(VLOOKUP(C620,'بيانات الآليات '!A:G,4,FALSE()),"")</f>
        <v/>
      </c>
      <c r="E620" s="81" t="str">
        <f aca="false">_xlfn.IFNA(VLOOKUP(C620,'بيانات الآليات '!A:G,2,FALSE()),"")</f>
        <v/>
      </c>
      <c r="F620" s="81" t="str">
        <f aca="false">_xlfn.IFNA(VLOOKUP(C620,'بيانات الآليات '!A:G,5,FALSE()),"")</f>
        <v/>
      </c>
      <c r="G620" s="82"/>
      <c r="H620" s="83" t="str">
        <f aca="false">_xlfn.IFNA(VLOOKUP(G620,Table14543[],2,FALSE()),"")</f>
        <v/>
      </c>
      <c r="I620" s="84" t="str">
        <f aca="false">_xlfn.IFNA(VLOOKUP(G620,Table14543[],3,FALSE()),"")</f>
        <v/>
      </c>
      <c r="J620" s="83" t="str">
        <f aca="false">CONCATENATE("",G620,""," ",H620," ",I620)</f>
        <v>  </v>
      </c>
      <c r="K620" s="85"/>
      <c r="L620" s="86"/>
      <c r="M620" s="86"/>
      <c r="N620" s="86" t="n">
        <f aca="false">L620*M620</f>
        <v>0</v>
      </c>
      <c r="O620" s="86"/>
      <c r="P620" s="87" t="n">
        <f aca="false">(M620*L620)+O620</f>
        <v>0</v>
      </c>
      <c r="Q620" s="91"/>
    </row>
    <row r="621" customFormat="false" ht="14.25" hidden="false" customHeight="false" outlineLevel="0" collapsed="false">
      <c r="A621" s="77"/>
      <c r="B621" s="78"/>
      <c r="C621" s="79"/>
      <c r="D621" s="80" t="str">
        <f aca="false">_xlfn.IFNA(VLOOKUP(C621,'بيانات الآليات '!A:G,4,FALSE()),"")</f>
        <v/>
      </c>
      <c r="E621" s="81" t="str">
        <f aca="false">_xlfn.IFNA(VLOOKUP(C621,'بيانات الآليات '!A:G,2,FALSE()),"")</f>
        <v/>
      </c>
      <c r="F621" s="81" t="str">
        <f aca="false">_xlfn.IFNA(VLOOKUP(C621,'بيانات الآليات '!A:G,5,FALSE()),"")</f>
        <v/>
      </c>
      <c r="G621" s="82"/>
      <c r="H621" s="83" t="str">
        <f aca="false">_xlfn.IFNA(VLOOKUP(G621,Table14543[],2,FALSE()),"")</f>
        <v/>
      </c>
      <c r="I621" s="84" t="str">
        <f aca="false">_xlfn.IFNA(VLOOKUP(G621,Table14543[],3,FALSE()),"")</f>
        <v/>
      </c>
      <c r="J621" s="83" t="str">
        <f aca="false">CONCATENATE("",G621,""," ",H621," ",I621)</f>
        <v>  </v>
      </c>
      <c r="K621" s="85"/>
      <c r="L621" s="86"/>
      <c r="M621" s="86"/>
      <c r="N621" s="86" t="n">
        <f aca="false">L621*M621</f>
        <v>0</v>
      </c>
      <c r="O621" s="86"/>
      <c r="P621" s="87" t="n">
        <f aca="false">(M621*L621)+O621</f>
        <v>0</v>
      </c>
      <c r="Q621" s="91"/>
    </row>
    <row r="622" customFormat="false" ht="14.25" hidden="false" customHeight="false" outlineLevel="0" collapsed="false">
      <c r="A622" s="77"/>
      <c r="B622" s="78"/>
      <c r="C622" s="79"/>
      <c r="D622" s="80" t="str">
        <f aca="false">_xlfn.IFNA(VLOOKUP(C622,'بيانات الآليات '!A:G,4,FALSE()),"")</f>
        <v/>
      </c>
      <c r="E622" s="81" t="str">
        <f aca="false">_xlfn.IFNA(VLOOKUP(C622,'بيانات الآليات '!A:G,2,FALSE()),"")</f>
        <v/>
      </c>
      <c r="F622" s="81" t="str">
        <f aca="false">_xlfn.IFNA(VLOOKUP(C622,'بيانات الآليات '!A:G,5,FALSE()),"")</f>
        <v/>
      </c>
      <c r="G622" s="82"/>
      <c r="H622" s="83" t="str">
        <f aca="false">_xlfn.IFNA(VLOOKUP(G622,Table14543[],2,FALSE()),"")</f>
        <v/>
      </c>
      <c r="I622" s="84" t="str">
        <f aca="false">_xlfn.IFNA(VLOOKUP(G622,Table14543[],3,FALSE()),"")</f>
        <v/>
      </c>
      <c r="J622" s="83" t="str">
        <f aca="false">CONCATENATE("",G622,""," ",H622," ",I622)</f>
        <v>  </v>
      </c>
      <c r="K622" s="85"/>
      <c r="L622" s="86"/>
      <c r="M622" s="86"/>
      <c r="N622" s="86" t="n">
        <f aca="false">L622*M622</f>
        <v>0</v>
      </c>
      <c r="O622" s="86"/>
      <c r="P622" s="87" t="n">
        <f aca="false">(M622*L622)+O622</f>
        <v>0</v>
      </c>
      <c r="Q622" s="91"/>
    </row>
    <row r="623" customFormat="false" ht="14.25" hidden="false" customHeight="false" outlineLevel="0" collapsed="false">
      <c r="A623" s="77"/>
      <c r="B623" s="78"/>
      <c r="C623" s="79"/>
      <c r="D623" s="80" t="str">
        <f aca="false">_xlfn.IFNA(VLOOKUP(C623,'بيانات الآليات '!A:G,4,FALSE()),"")</f>
        <v/>
      </c>
      <c r="E623" s="81" t="str">
        <f aca="false">_xlfn.IFNA(VLOOKUP(C623,'بيانات الآليات '!A:G,2,FALSE()),"")</f>
        <v/>
      </c>
      <c r="F623" s="81" t="str">
        <f aca="false">_xlfn.IFNA(VLOOKUP(C623,'بيانات الآليات '!A:G,5,FALSE()),"")</f>
        <v/>
      </c>
      <c r="G623" s="82"/>
      <c r="H623" s="83" t="str">
        <f aca="false">_xlfn.IFNA(VLOOKUP(G623,Table14543[],2,FALSE()),"")</f>
        <v/>
      </c>
      <c r="I623" s="84" t="str">
        <f aca="false">_xlfn.IFNA(VLOOKUP(G623,Table14543[],3,FALSE()),"")</f>
        <v/>
      </c>
      <c r="J623" s="83" t="str">
        <f aca="false">CONCATENATE("",G623,""," ",H623," ",I623)</f>
        <v>  </v>
      </c>
      <c r="K623" s="85"/>
      <c r="L623" s="86"/>
      <c r="M623" s="86"/>
      <c r="N623" s="86" t="n">
        <f aca="false">L623*M623</f>
        <v>0</v>
      </c>
      <c r="O623" s="86"/>
      <c r="P623" s="87" t="n">
        <f aca="false">(M623*L623)+O623</f>
        <v>0</v>
      </c>
      <c r="Q623" s="91"/>
    </row>
    <row r="624" customFormat="false" ht="14.25" hidden="false" customHeight="false" outlineLevel="0" collapsed="false">
      <c r="A624" s="77"/>
      <c r="B624" s="78"/>
      <c r="C624" s="79"/>
      <c r="D624" s="80" t="str">
        <f aca="false">_xlfn.IFNA(VLOOKUP(C624,'بيانات الآليات '!A:G,4,FALSE()),"")</f>
        <v/>
      </c>
      <c r="E624" s="81" t="str">
        <f aca="false">_xlfn.IFNA(VLOOKUP(C624,'بيانات الآليات '!A:G,2,FALSE()),"")</f>
        <v/>
      </c>
      <c r="F624" s="81" t="str">
        <f aca="false">_xlfn.IFNA(VLOOKUP(C624,'بيانات الآليات '!A:G,5,FALSE()),"")</f>
        <v/>
      </c>
      <c r="G624" s="82"/>
      <c r="H624" s="83" t="str">
        <f aca="false">_xlfn.IFNA(VLOOKUP(G624,Table14543[],2,FALSE()),"")</f>
        <v/>
      </c>
      <c r="I624" s="84" t="str">
        <f aca="false">_xlfn.IFNA(VLOOKUP(G624,Table14543[],3,FALSE()),"")</f>
        <v/>
      </c>
      <c r="J624" s="83" t="str">
        <f aca="false">CONCATENATE("",G624,""," ",H624," ",I624)</f>
        <v>  </v>
      </c>
      <c r="K624" s="85"/>
      <c r="L624" s="86"/>
      <c r="M624" s="86"/>
      <c r="N624" s="86" t="n">
        <f aca="false">L624*M624</f>
        <v>0</v>
      </c>
      <c r="O624" s="86"/>
      <c r="P624" s="87" t="n">
        <f aca="false">(M624*L624)+O624</f>
        <v>0</v>
      </c>
      <c r="Q624" s="91"/>
    </row>
    <row r="625" customFormat="false" ht="14.25" hidden="false" customHeight="false" outlineLevel="0" collapsed="false">
      <c r="A625" s="77"/>
      <c r="B625" s="78"/>
      <c r="C625" s="79"/>
      <c r="D625" s="80" t="str">
        <f aca="false">_xlfn.IFNA(VLOOKUP(C625,'بيانات الآليات '!A:G,4,FALSE()),"")</f>
        <v/>
      </c>
      <c r="E625" s="81" t="str">
        <f aca="false">_xlfn.IFNA(VLOOKUP(C625,'بيانات الآليات '!A:G,2,FALSE()),"")</f>
        <v/>
      </c>
      <c r="F625" s="81" t="str">
        <f aca="false">_xlfn.IFNA(VLOOKUP(C625,'بيانات الآليات '!A:G,5,FALSE()),"")</f>
        <v/>
      </c>
      <c r="G625" s="82"/>
      <c r="H625" s="83" t="str">
        <f aca="false">_xlfn.IFNA(VLOOKUP(G625,Table14543[],2,FALSE()),"")</f>
        <v/>
      </c>
      <c r="I625" s="84" t="str">
        <f aca="false">_xlfn.IFNA(VLOOKUP(G625,Table14543[],3,FALSE()),"")</f>
        <v/>
      </c>
      <c r="J625" s="83" t="str">
        <f aca="false">CONCATENATE("",G625,""," ",H625," ",I625)</f>
        <v>  </v>
      </c>
      <c r="K625" s="85"/>
      <c r="L625" s="86"/>
      <c r="M625" s="86"/>
      <c r="N625" s="86" t="n">
        <f aca="false">L625*M625</f>
        <v>0</v>
      </c>
      <c r="O625" s="86"/>
      <c r="P625" s="87" t="n">
        <f aca="false">(M625*L625)+O625</f>
        <v>0</v>
      </c>
      <c r="Q625" s="91"/>
    </row>
    <row r="626" customFormat="false" ht="14.25" hidden="false" customHeight="false" outlineLevel="0" collapsed="false">
      <c r="A626" s="77"/>
      <c r="B626" s="78"/>
      <c r="C626" s="79"/>
      <c r="D626" s="80" t="str">
        <f aca="false">_xlfn.IFNA(VLOOKUP(C626,'بيانات الآليات '!A:G,4,FALSE()),"")</f>
        <v/>
      </c>
      <c r="E626" s="81" t="str">
        <f aca="false">_xlfn.IFNA(VLOOKUP(C626,'بيانات الآليات '!A:G,2,FALSE()),"")</f>
        <v/>
      </c>
      <c r="F626" s="81" t="str">
        <f aca="false">_xlfn.IFNA(VLOOKUP(C626,'بيانات الآليات '!A:G,5,FALSE()),"")</f>
        <v/>
      </c>
      <c r="G626" s="82"/>
      <c r="H626" s="83" t="str">
        <f aca="false">_xlfn.IFNA(VLOOKUP(G626,Table14543[],2,FALSE()),"")</f>
        <v/>
      </c>
      <c r="I626" s="84" t="str">
        <f aca="false">_xlfn.IFNA(VLOOKUP(G626,Table14543[],3,FALSE()),"")</f>
        <v/>
      </c>
      <c r="J626" s="83" t="str">
        <f aca="false">CONCATENATE("",G626,""," ",H626," ",I626)</f>
        <v>  </v>
      </c>
      <c r="K626" s="85"/>
      <c r="L626" s="86"/>
      <c r="M626" s="86"/>
      <c r="N626" s="86" t="n">
        <f aca="false">L626*M626</f>
        <v>0</v>
      </c>
      <c r="O626" s="86"/>
      <c r="P626" s="87" t="n">
        <f aca="false">(M626*L626)+O626</f>
        <v>0</v>
      </c>
      <c r="Q626" s="91"/>
    </row>
    <row r="627" customFormat="false" ht="14.25" hidden="false" customHeight="false" outlineLevel="0" collapsed="false">
      <c r="A627" s="77"/>
      <c r="B627" s="78"/>
      <c r="C627" s="79"/>
      <c r="D627" s="80" t="str">
        <f aca="false">_xlfn.IFNA(VLOOKUP(C627,'بيانات الآليات '!A:G,4,FALSE()),"")</f>
        <v/>
      </c>
      <c r="E627" s="81" t="str">
        <f aca="false">_xlfn.IFNA(VLOOKUP(C627,'بيانات الآليات '!A:G,2,FALSE()),"")</f>
        <v/>
      </c>
      <c r="F627" s="81" t="str">
        <f aca="false">_xlfn.IFNA(VLOOKUP(C627,'بيانات الآليات '!A:G,5,FALSE()),"")</f>
        <v/>
      </c>
      <c r="G627" s="82"/>
      <c r="H627" s="83" t="str">
        <f aca="false">_xlfn.IFNA(VLOOKUP(G627,Table14543[],2,FALSE()),"")</f>
        <v/>
      </c>
      <c r="I627" s="84" t="str">
        <f aca="false">_xlfn.IFNA(VLOOKUP(G627,Table14543[],3,FALSE()),"")</f>
        <v/>
      </c>
      <c r="J627" s="83" t="str">
        <f aca="false">CONCATENATE("",G627,""," ",H627," ",I627)</f>
        <v>  </v>
      </c>
      <c r="K627" s="85"/>
      <c r="L627" s="86"/>
      <c r="M627" s="86"/>
      <c r="N627" s="86" t="n">
        <f aca="false">L627*M627</f>
        <v>0</v>
      </c>
      <c r="O627" s="86"/>
      <c r="P627" s="87" t="n">
        <f aca="false">(M627*L627)+O627</f>
        <v>0</v>
      </c>
      <c r="Q627" s="91"/>
    </row>
    <row r="628" customFormat="false" ht="14.25" hidden="false" customHeight="false" outlineLevel="0" collapsed="false">
      <c r="A628" s="77"/>
      <c r="B628" s="78"/>
      <c r="C628" s="79"/>
      <c r="D628" s="80" t="str">
        <f aca="false">_xlfn.IFNA(VLOOKUP(C628,'بيانات الآليات '!A:G,4,FALSE()),"")</f>
        <v/>
      </c>
      <c r="E628" s="81" t="str">
        <f aca="false">_xlfn.IFNA(VLOOKUP(C628,'بيانات الآليات '!A:G,2,FALSE()),"")</f>
        <v/>
      </c>
      <c r="F628" s="81" t="str">
        <f aca="false">_xlfn.IFNA(VLOOKUP(C628,'بيانات الآليات '!A:G,5,FALSE()),"")</f>
        <v/>
      </c>
      <c r="G628" s="82"/>
      <c r="H628" s="83" t="str">
        <f aca="false">_xlfn.IFNA(VLOOKUP(G628,Table14543[],2,FALSE()),"")</f>
        <v/>
      </c>
      <c r="I628" s="84" t="str">
        <f aca="false">_xlfn.IFNA(VLOOKUP(G628,Table14543[],3,FALSE()),"")</f>
        <v/>
      </c>
      <c r="J628" s="83" t="str">
        <f aca="false">CONCATENATE("",G628,""," ",H628," ",I628)</f>
        <v>  </v>
      </c>
      <c r="K628" s="85"/>
      <c r="L628" s="86"/>
      <c r="M628" s="86"/>
      <c r="N628" s="86" t="n">
        <f aca="false">L628*M628</f>
        <v>0</v>
      </c>
      <c r="O628" s="86"/>
      <c r="P628" s="87" t="n">
        <f aca="false">(M628*L628)+O628</f>
        <v>0</v>
      </c>
      <c r="Q628" s="91"/>
    </row>
    <row r="629" customFormat="false" ht="14.25" hidden="false" customHeight="false" outlineLevel="0" collapsed="false">
      <c r="A629" s="77"/>
      <c r="B629" s="78"/>
      <c r="C629" s="79"/>
      <c r="D629" s="80" t="str">
        <f aca="false">_xlfn.IFNA(VLOOKUP(C629,'بيانات الآليات '!A:G,4,FALSE()),"")</f>
        <v/>
      </c>
      <c r="E629" s="81" t="str">
        <f aca="false">_xlfn.IFNA(VLOOKUP(C629,'بيانات الآليات '!A:G,2,FALSE()),"")</f>
        <v/>
      </c>
      <c r="F629" s="81" t="str">
        <f aca="false">_xlfn.IFNA(VLOOKUP(C629,'بيانات الآليات '!A:G,5,FALSE()),"")</f>
        <v/>
      </c>
      <c r="G629" s="82"/>
      <c r="H629" s="83" t="str">
        <f aca="false">_xlfn.IFNA(VLOOKUP(G629,Table14543[],2,FALSE()),"")</f>
        <v/>
      </c>
      <c r="I629" s="84" t="str">
        <f aca="false">_xlfn.IFNA(VLOOKUP(G629,Table14543[],3,FALSE()),"")</f>
        <v/>
      </c>
      <c r="J629" s="83" t="str">
        <f aca="false">CONCATENATE("",G629,""," ",H629," ",I629)</f>
        <v>  </v>
      </c>
      <c r="K629" s="85"/>
      <c r="L629" s="86"/>
      <c r="M629" s="86"/>
      <c r="N629" s="86" t="n">
        <f aca="false">L629*M629</f>
        <v>0</v>
      </c>
      <c r="O629" s="86"/>
      <c r="P629" s="87" t="n">
        <f aca="false">(M629*L629)+O629</f>
        <v>0</v>
      </c>
      <c r="Q629" s="91"/>
    </row>
    <row r="630" customFormat="false" ht="14.25" hidden="false" customHeight="false" outlineLevel="0" collapsed="false">
      <c r="A630" s="77"/>
      <c r="B630" s="78"/>
      <c r="C630" s="79"/>
      <c r="D630" s="80" t="str">
        <f aca="false">_xlfn.IFNA(VLOOKUP(C630,'بيانات الآليات '!A:G,4,FALSE()),"")</f>
        <v/>
      </c>
      <c r="E630" s="81" t="str">
        <f aca="false">_xlfn.IFNA(VLOOKUP(C630,'بيانات الآليات '!A:G,2,FALSE()),"")</f>
        <v/>
      </c>
      <c r="F630" s="81" t="str">
        <f aca="false">_xlfn.IFNA(VLOOKUP(C630,'بيانات الآليات '!A:G,5,FALSE()),"")</f>
        <v/>
      </c>
      <c r="G630" s="82"/>
      <c r="H630" s="83" t="str">
        <f aca="false">_xlfn.IFNA(VLOOKUP(G630,Table14543[],2,FALSE()),"")</f>
        <v/>
      </c>
      <c r="I630" s="84" t="str">
        <f aca="false">_xlfn.IFNA(VLOOKUP(G630,Table14543[],3,FALSE()),"")</f>
        <v/>
      </c>
      <c r="J630" s="83" t="str">
        <f aca="false">CONCATENATE("",G630,""," ",H630," ",I630)</f>
        <v>  </v>
      </c>
      <c r="K630" s="85"/>
      <c r="L630" s="86"/>
      <c r="M630" s="86"/>
      <c r="N630" s="86" t="n">
        <f aca="false">L630*M630</f>
        <v>0</v>
      </c>
      <c r="O630" s="86"/>
      <c r="P630" s="87" t="n">
        <f aca="false">(M630*L630)+O630</f>
        <v>0</v>
      </c>
      <c r="Q630" s="91"/>
    </row>
    <row r="631" customFormat="false" ht="14.25" hidden="false" customHeight="false" outlineLevel="0" collapsed="false">
      <c r="A631" s="77"/>
      <c r="B631" s="78"/>
      <c r="C631" s="79"/>
      <c r="D631" s="80" t="str">
        <f aca="false">_xlfn.IFNA(VLOOKUP(C631,'بيانات الآليات '!A:G,4,FALSE()),"")</f>
        <v/>
      </c>
      <c r="E631" s="81" t="str">
        <f aca="false">_xlfn.IFNA(VLOOKUP(C631,'بيانات الآليات '!A:G,2,FALSE()),"")</f>
        <v/>
      </c>
      <c r="F631" s="81" t="str">
        <f aca="false">_xlfn.IFNA(VLOOKUP(C631,'بيانات الآليات '!A:G,5,FALSE()),"")</f>
        <v/>
      </c>
      <c r="G631" s="82"/>
      <c r="H631" s="83" t="str">
        <f aca="false">_xlfn.IFNA(VLOOKUP(G631,Table14543[],2,FALSE()),"")</f>
        <v/>
      </c>
      <c r="I631" s="84" t="str">
        <f aca="false">_xlfn.IFNA(VLOOKUP(G631,Table14543[],3,FALSE()),"")</f>
        <v/>
      </c>
      <c r="J631" s="83" t="str">
        <f aca="false">CONCATENATE("",G631,""," ",H631," ",I631)</f>
        <v>  </v>
      </c>
      <c r="K631" s="85"/>
      <c r="L631" s="86"/>
      <c r="M631" s="86"/>
      <c r="N631" s="86" t="n">
        <f aca="false">L631*M631</f>
        <v>0</v>
      </c>
      <c r="O631" s="86"/>
      <c r="P631" s="87" t="n">
        <f aca="false">(M631*L631)+O631</f>
        <v>0</v>
      </c>
      <c r="Q631" s="91"/>
    </row>
    <row r="632" customFormat="false" ht="14.25" hidden="false" customHeight="false" outlineLevel="0" collapsed="false">
      <c r="A632" s="77"/>
      <c r="B632" s="78"/>
      <c r="C632" s="79"/>
      <c r="D632" s="80" t="str">
        <f aca="false">_xlfn.IFNA(VLOOKUP(C632,'بيانات الآليات '!A:G,4,FALSE()),"")</f>
        <v/>
      </c>
      <c r="E632" s="81" t="str">
        <f aca="false">_xlfn.IFNA(VLOOKUP(C632,'بيانات الآليات '!A:G,2,FALSE()),"")</f>
        <v/>
      </c>
      <c r="F632" s="81" t="str">
        <f aca="false">_xlfn.IFNA(VLOOKUP(C632,'بيانات الآليات '!A:G,5,FALSE()),"")</f>
        <v/>
      </c>
      <c r="G632" s="82"/>
      <c r="H632" s="83" t="str">
        <f aca="false">_xlfn.IFNA(VLOOKUP(G632,Table14543[],2,FALSE()),"")</f>
        <v/>
      </c>
      <c r="I632" s="84" t="str">
        <f aca="false">_xlfn.IFNA(VLOOKUP(G632,Table14543[],3,FALSE()),"")</f>
        <v/>
      </c>
      <c r="J632" s="83" t="str">
        <f aca="false">CONCATENATE("",G632,""," ",H632," ",I632)</f>
        <v>  </v>
      </c>
      <c r="K632" s="85"/>
      <c r="L632" s="86"/>
      <c r="M632" s="86"/>
      <c r="N632" s="86" t="n">
        <f aca="false">L632*M632</f>
        <v>0</v>
      </c>
      <c r="O632" s="86"/>
      <c r="P632" s="87" t="n">
        <f aca="false">(M632*L632)+O632</f>
        <v>0</v>
      </c>
      <c r="Q632" s="91"/>
    </row>
    <row r="633" customFormat="false" ht="14.25" hidden="false" customHeight="false" outlineLevel="0" collapsed="false">
      <c r="A633" s="77"/>
      <c r="B633" s="78"/>
      <c r="C633" s="79"/>
      <c r="D633" s="80" t="str">
        <f aca="false">_xlfn.IFNA(VLOOKUP(C633,'بيانات الآليات '!A:G,4,FALSE()),"")</f>
        <v/>
      </c>
      <c r="E633" s="81" t="str">
        <f aca="false">_xlfn.IFNA(VLOOKUP(C633,'بيانات الآليات '!A:G,2,FALSE()),"")</f>
        <v/>
      </c>
      <c r="F633" s="81" t="str">
        <f aca="false">_xlfn.IFNA(VLOOKUP(C633,'بيانات الآليات '!A:G,5,FALSE()),"")</f>
        <v/>
      </c>
      <c r="G633" s="82"/>
      <c r="H633" s="83" t="str">
        <f aca="false">_xlfn.IFNA(VLOOKUP(G633,Table14543[],2,FALSE()),"")</f>
        <v/>
      </c>
      <c r="I633" s="84" t="str">
        <f aca="false">_xlfn.IFNA(VLOOKUP(G633,Table14543[],3,FALSE()),"")</f>
        <v/>
      </c>
      <c r="J633" s="83" t="str">
        <f aca="false">CONCATENATE("",G633,""," ",H633," ",I633)</f>
        <v>  </v>
      </c>
      <c r="K633" s="85"/>
      <c r="L633" s="86"/>
      <c r="M633" s="86"/>
      <c r="N633" s="86" t="n">
        <f aca="false">L633*M633</f>
        <v>0</v>
      </c>
      <c r="O633" s="86"/>
      <c r="P633" s="87" t="n">
        <f aca="false">(M633*L633)+O633</f>
        <v>0</v>
      </c>
      <c r="Q633" s="91"/>
    </row>
    <row r="634" customFormat="false" ht="14.25" hidden="false" customHeight="false" outlineLevel="0" collapsed="false">
      <c r="A634" s="77"/>
      <c r="B634" s="78"/>
      <c r="C634" s="79"/>
      <c r="D634" s="80" t="str">
        <f aca="false">_xlfn.IFNA(VLOOKUP(C634,'بيانات الآليات '!A:G,4,FALSE()),"")</f>
        <v/>
      </c>
      <c r="E634" s="81" t="str">
        <f aca="false">_xlfn.IFNA(VLOOKUP(C634,'بيانات الآليات '!A:G,2,FALSE()),"")</f>
        <v/>
      </c>
      <c r="F634" s="81" t="str">
        <f aca="false">_xlfn.IFNA(VLOOKUP(C634,'بيانات الآليات '!A:G,5,FALSE()),"")</f>
        <v/>
      </c>
      <c r="G634" s="82"/>
      <c r="H634" s="83" t="str">
        <f aca="false">_xlfn.IFNA(VLOOKUP(G634,Table14543[],2,FALSE()),"")</f>
        <v/>
      </c>
      <c r="I634" s="84" t="str">
        <f aca="false">_xlfn.IFNA(VLOOKUP(G634,Table14543[],3,FALSE()),"")</f>
        <v/>
      </c>
      <c r="J634" s="83" t="str">
        <f aca="false">CONCATENATE("",G634,""," ",H634," ",I634)</f>
        <v>  </v>
      </c>
      <c r="K634" s="85"/>
      <c r="L634" s="86"/>
      <c r="M634" s="86"/>
      <c r="N634" s="86" t="n">
        <f aca="false">L634*M634</f>
        <v>0</v>
      </c>
      <c r="O634" s="86"/>
      <c r="P634" s="87" t="n">
        <f aca="false">(M634*L634)+O634</f>
        <v>0</v>
      </c>
      <c r="Q634" s="91"/>
    </row>
    <row r="635" customFormat="false" ht="14.25" hidden="false" customHeight="false" outlineLevel="0" collapsed="false">
      <c r="A635" s="77"/>
      <c r="B635" s="78"/>
      <c r="C635" s="79"/>
      <c r="D635" s="80" t="str">
        <f aca="false">_xlfn.IFNA(VLOOKUP(C635,'بيانات الآليات '!A:G,4,FALSE()),"")</f>
        <v/>
      </c>
      <c r="E635" s="81" t="str">
        <f aca="false">_xlfn.IFNA(VLOOKUP(C635,'بيانات الآليات '!A:G,2,FALSE()),"")</f>
        <v/>
      </c>
      <c r="F635" s="81" t="str">
        <f aca="false">_xlfn.IFNA(VLOOKUP(C635,'بيانات الآليات '!A:G,5,FALSE()),"")</f>
        <v/>
      </c>
      <c r="G635" s="82"/>
      <c r="H635" s="83" t="str">
        <f aca="false">_xlfn.IFNA(VLOOKUP(G635,Table14543[],2,FALSE()),"")</f>
        <v/>
      </c>
      <c r="I635" s="84" t="str">
        <f aca="false">_xlfn.IFNA(VLOOKUP(G635,Table14543[],3,FALSE()),"")</f>
        <v/>
      </c>
      <c r="J635" s="83" t="str">
        <f aca="false">CONCATENATE("",G635,""," ",H635," ",I635)</f>
        <v>  </v>
      </c>
      <c r="K635" s="85"/>
      <c r="L635" s="86"/>
      <c r="M635" s="86"/>
      <c r="N635" s="86" t="n">
        <f aca="false">L635*M635</f>
        <v>0</v>
      </c>
      <c r="O635" s="86"/>
      <c r="P635" s="87" t="n">
        <f aca="false">(M635*L635)+O635</f>
        <v>0</v>
      </c>
      <c r="Q635" s="91"/>
    </row>
    <row r="636" customFormat="false" ht="14.25" hidden="false" customHeight="false" outlineLevel="0" collapsed="false">
      <c r="A636" s="77"/>
      <c r="B636" s="78"/>
      <c r="C636" s="79"/>
      <c r="D636" s="80" t="str">
        <f aca="false">_xlfn.IFNA(VLOOKUP(C636,'بيانات الآليات '!A:G,4,FALSE()),"")</f>
        <v/>
      </c>
      <c r="E636" s="81" t="str">
        <f aca="false">_xlfn.IFNA(VLOOKUP(C636,'بيانات الآليات '!A:G,2,FALSE()),"")</f>
        <v/>
      </c>
      <c r="F636" s="81" t="str">
        <f aca="false">_xlfn.IFNA(VLOOKUP(C636,'بيانات الآليات '!A:G,5,FALSE()),"")</f>
        <v/>
      </c>
      <c r="G636" s="82"/>
      <c r="H636" s="83" t="str">
        <f aca="false">_xlfn.IFNA(VLOOKUP(G636,Table14543[],2,FALSE()),"")</f>
        <v/>
      </c>
      <c r="I636" s="84" t="str">
        <f aca="false">_xlfn.IFNA(VLOOKUP(G636,Table14543[],3,FALSE()),"")</f>
        <v/>
      </c>
      <c r="J636" s="83" t="str">
        <f aca="false">CONCATENATE("",G636,""," ",H636," ",I636)</f>
        <v>  </v>
      </c>
      <c r="K636" s="85"/>
      <c r="L636" s="86"/>
      <c r="M636" s="86"/>
      <c r="N636" s="86" t="n">
        <f aca="false">L636*M636</f>
        <v>0</v>
      </c>
      <c r="O636" s="86"/>
      <c r="P636" s="87" t="n">
        <f aca="false">(M636*L636)+O636</f>
        <v>0</v>
      </c>
      <c r="Q636" s="91"/>
    </row>
    <row r="637" customFormat="false" ht="14.25" hidden="false" customHeight="false" outlineLevel="0" collapsed="false">
      <c r="A637" s="77"/>
      <c r="B637" s="78"/>
      <c r="C637" s="79"/>
      <c r="D637" s="80" t="str">
        <f aca="false">_xlfn.IFNA(VLOOKUP(C637,'بيانات الآليات '!A:G,4,FALSE()),"")</f>
        <v/>
      </c>
      <c r="E637" s="81" t="str">
        <f aca="false">_xlfn.IFNA(VLOOKUP(C637,'بيانات الآليات '!A:G,2,FALSE()),"")</f>
        <v/>
      </c>
      <c r="F637" s="81" t="str">
        <f aca="false">_xlfn.IFNA(VLOOKUP(C637,'بيانات الآليات '!A:G,5,FALSE()),"")</f>
        <v/>
      </c>
      <c r="G637" s="82"/>
      <c r="H637" s="83" t="str">
        <f aca="false">_xlfn.IFNA(VLOOKUP(G637,Table14543[],2,FALSE()),"")</f>
        <v/>
      </c>
      <c r="I637" s="84" t="str">
        <f aca="false">_xlfn.IFNA(VLOOKUP(G637,Table14543[],3,FALSE()),"")</f>
        <v/>
      </c>
      <c r="J637" s="83" t="str">
        <f aca="false">CONCATENATE("",G637,""," ",H637," ",I637)</f>
        <v>  </v>
      </c>
      <c r="K637" s="85"/>
      <c r="L637" s="86"/>
      <c r="M637" s="86"/>
      <c r="N637" s="86" t="n">
        <f aca="false">L637*M637</f>
        <v>0</v>
      </c>
      <c r="O637" s="86"/>
      <c r="P637" s="87" t="n">
        <f aca="false">(M637*L637)+O637</f>
        <v>0</v>
      </c>
      <c r="Q637" s="91"/>
    </row>
    <row r="638" customFormat="false" ht="14.25" hidden="false" customHeight="false" outlineLevel="0" collapsed="false">
      <c r="A638" s="77"/>
      <c r="B638" s="78"/>
      <c r="C638" s="79"/>
      <c r="D638" s="80" t="str">
        <f aca="false">_xlfn.IFNA(VLOOKUP(C638,'بيانات الآليات '!A:G,4,FALSE()),"")</f>
        <v/>
      </c>
      <c r="E638" s="81" t="str">
        <f aca="false">_xlfn.IFNA(VLOOKUP(C638,'بيانات الآليات '!A:G,2,FALSE()),"")</f>
        <v/>
      </c>
      <c r="F638" s="81" t="str">
        <f aca="false">_xlfn.IFNA(VLOOKUP(C638,'بيانات الآليات '!A:G,5,FALSE()),"")</f>
        <v/>
      </c>
      <c r="G638" s="82"/>
      <c r="H638" s="83" t="str">
        <f aca="false">_xlfn.IFNA(VLOOKUP(G638,Table14543[],2,FALSE()),"")</f>
        <v/>
      </c>
      <c r="I638" s="84" t="str">
        <f aca="false">_xlfn.IFNA(VLOOKUP(G638,Table14543[],3,FALSE()),"")</f>
        <v/>
      </c>
      <c r="J638" s="83" t="str">
        <f aca="false">CONCATENATE("",G638,""," ",H638," ",I638)</f>
        <v>  </v>
      </c>
      <c r="K638" s="85"/>
      <c r="L638" s="86"/>
      <c r="M638" s="86"/>
      <c r="N638" s="86" t="n">
        <f aca="false">L638*M638</f>
        <v>0</v>
      </c>
      <c r="O638" s="86"/>
      <c r="P638" s="87" t="n">
        <f aca="false">(M638*L638)+O638</f>
        <v>0</v>
      </c>
      <c r="Q638" s="91"/>
    </row>
    <row r="639" customFormat="false" ht="14.25" hidden="false" customHeight="false" outlineLevel="0" collapsed="false">
      <c r="A639" s="77"/>
      <c r="B639" s="78"/>
      <c r="C639" s="79"/>
      <c r="D639" s="80" t="str">
        <f aca="false">_xlfn.IFNA(VLOOKUP(C639,'بيانات الآليات '!A:G,4,FALSE()),"")</f>
        <v/>
      </c>
      <c r="E639" s="81" t="str">
        <f aca="false">_xlfn.IFNA(VLOOKUP(C639,'بيانات الآليات '!A:G,2,FALSE()),"")</f>
        <v/>
      </c>
      <c r="F639" s="81" t="str">
        <f aca="false">_xlfn.IFNA(VLOOKUP(C639,'بيانات الآليات '!A:G,5,FALSE()),"")</f>
        <v/>
      </c>
      <c r="G639" s="82"/>
      <c r="H639" s="83" t="str">
        <f aca="false">_xlfn.IFNA(VLOOKUP(G639,Table14543[],2,FALSE()),"")</f>
        <v/>
      </c>
      <c r="I639" s="84" t="str">
        <f aca="false">_xlfn.IFNA(VLOOKUP(G639,Table14543[],3,FALSE()),"")</f>
        <v/>
      </c>
      <c r="J639" s="83" t="str">
        <f aca="false">CONCATENATE("",G639,""," ",H639," ",I639)</f>
        <v>  </v>
      </c>
      <c r="K639" s="85"/>
      <c r="L639" s="86"/>
      <c r="M639" s="86"/>
      <c r="N639" s="86" t="n">
        <f aca="false">L639*M639</f>
        <v>0</v>
      </c>
      <c r="O639" s="86"/>
      <c r="P639" s="87" t="n">
        <f aca="false">(M639*L639)+O639</f>
        <v>0</v>
      </c>
      <c r="Q639" s="91"/>
    </row>
    <row r="640" customFormat="false" ht="14.25" hidden="false" customHeight="false" outlineLevel="0" collapsed="false">
      <c r="A640" s="77"/>
      <c r="B640" s="78"/>
      <c r="C640" s="79"/>
      <c r="D640" s="80" t="str">
        <f aca="false">_xlfn.IFNA(VLOOKUP(C640,'بيانات الآليات '!A:G,4,FALSE()),"")</f>
        <v/>
      </c>
      <c r="E640" s="81" t="str">
        <f aca="false">_xlfn.IFNA(VLOOKUP(C640,'بيانات الآليات '!A:G,2,FALSE()),"")</f>
        <v/>
      </c>
      <c r="F640" s="81" t="str">
        <f aca="false">_xlfn.IFNA(VLOOKUP(C640,'بيانات الآليات '!A:G,5,FALSE()),"")</f>
        <v/>
      </c>
      <c r="G640" s="82"/>
      <c r="H640" s="83" t="str">
        <f aca="false">_xlfn.IFNA(VLOOKUP(G640,Table14543[],2,FALSE()),"")</f>
        <v/>
      </c>
      <c r="I640" s="84" t="str">
        <f aca="false">_xlfn.IFNA(VLOOKUP(G640,Table14543[],3,FALSE()),"")</f>
        <v/>
      </c>
      <c r="J640" s="83" t="str">
        <f aca="false">CONCATENATE("",G640,""," ",H640," ",I640)</f>
        <v>  </v>
      </c>
      <c r="K640" s="85"/>
      <c r="L640" s="86"/>
      <c r="M640" s="86"/>
      <c r="N640" s="86" t="n">
        <f aca="false">L640*M640</f>
        <v>0</v>
      </c>
      <c r="O640" s="86"/>
      <c r="P640" s="87" t="n">
        <f aca="false">(M640*L640)+O640</f>
        <v>0</v>
      </c>
      <c r="Q640" s="91"/>
    </row>
    <row r="641" customFormat="false" ht="14.25" hidden="false" customHeight="false" outlineLevel="0" collapsed="false">
      <c r="A641" s="77"/>
      <c r="B641" s="78"/>
      <c r="C641" s="79"/>
      <c r="D641" s="80" t="str">
        <f aca="false">_xlfn.IFNA(VLOOKUP(C641,'بيانات الآليات '!A:G,4,FALSE()),"")</f>
        <v/>
      </c>
      <c r="E641" s="81" t="str">
        <f aca="false">_xlfn.IFNA(VLOOKUP(C641,'بيانات الآليات '!A:G,2,FALSE()),"")</f>
        <v/>
      </c>
      <c r="F641" s="81" t="str">
        <f aca="false">_xlfn.IFNA(VLOOKUP(C641,'بيانات الآليات '!A:G,5,FALSE()),"")</f>
        <v/>
      </c>
      <c r="G641" s="82"/>
      <c r="H641" s="83" t="str">
        <f aca="false">_xlfn.IFNA(VLOOKUP(G641,Table14543[],2,FALSE()),"")</f>
        <v/>
      </c>
      <c r="I641" s="84" t="str">
        <f aca="false">_xlfn.IFNA(VLOOKUP(G641,Table14543[],3,FALSE()),"")</f>
        <v/>
      </c>
      <c r="J641" s="83" t="str">
        <f aca="false">CONCATENATE("",G641,""," ",H641," ",I641)</f>
        <v>  </v>
      </c>
      <c r="K641" s="85"/>
      <c r="L641" s="86"/>
      <c r="M641" s="86"/>
      <c r="N641" s="86" t="n">
        <f aca="false">L641*M641</f>
        <v>0</v>
      </c>
      <c r="O641" s="86"/>
      <c r="P641" s="87" t="n">
        <f aca="false">(M641*L641)+O641</f>
        <v>0</v>
      </c>
      <c r="Q641" s="91"/>
    </row>
    <row r="642" customFormat="false" ht="14.25" hidden="false" customHeight="false" outlineLevel="0" collapsed="false">
      <c r="A642" s="77"/>
      <c r="B642" s="78"/>
      <c r="C642" s="79"/>
      <c r="D642" s="80" t="str">
        <f aca="false">_xlfn.IFNA(VLOOKUP(C642,'بيانات الآليات '!A:G,4,FALSE()),"")</f>
        <v/>
      </c>
      <c r="E642" s="81" t="str">
        <f aca="false">_xlfn.IFNA(VLOOKUP(C642,'بيانات الآليات '!A:G,2,FALSE()),"")</f>
        <v/>
      </c>
      <c r="F642" s="81" t="str">
        <f aca="false">_xlfn.IFNA(VLOOKUP(C642,'بيانات الآليات '!A:G,5,FALSE()),"")</f>
        <v/>
      </c>
      <c r="G642" s="82"/>
      <c r="H642" s="83" t="str">
        <f aca="false">_xlfn.IFNA(VLOOKUP(G642,Table14543[],2,FALSE()),"")</f>
        <v/>
      </c>
      <c r="I642" s="84" t="str">
        <f aca="false">_xlfn.IFNA(VLOOKUP(G642,Table14543[],3,FALSE()),"")</f>
        <v/>
      </c>
      <c r="J642" s="83" t="str">
        <f aca="false">CONCATENATE("",G642,""," ",H642," ",I642)</f>
        <v>  </v>
      </c>
      <c r="K642" s="85"/>
      <c r="L642" s="86"/>
      <c r="M642" s="86"/>
      <c r="N642" s="86" t="n">
        <f aca="false">L642*M642</f>
        <v>0</v>
      </c>
      <c r="O642" s="86"/>
      <c r="P642" s="87" t="n">
        <f aca="false">(M642*L642)+O642</f>
        <v>0</v>
      </c>
      <c r="Q642" s="91"/>
    </row>
    <row r="643" customFormat="false" ht="14.25" hidden="false" customHeight="false" outlineLevel="0" collapsed="false">
      <c r="A643" s="77"/>
      <c r="B643" s="78"/>
      <c r="C643" s="79"/>
      <c r="D643" s="80" t="str">
        <f aca="false">_xlfn.IFNA(VLOOKUP(C643,'بيانات الآليات '!A:G,4,FALSE()),"")</f>
        <v/>
      </c>
      <c r="E643" s="81" t="str">
        <f aca="false">_xlfn.IFNA(VLOOKUP(C643,'بيانات الآليات '!A:G,2,FALSE()),"")</f>
        <v/>
      </c>
      <c r="F643" s="81" t="str">
        <f aca="false">_xlfn.IFNA(VLOOKUP(C643,'بيانات الآليات '!A:G,5,FALSE()),"")</f>
        <v/>
      </c>
      <c r="G643" s="82"/>
      <c r="H643" s="83" t="str">
        <f aca="false">_xlfn.IFNA(VLOOKUP(G643,Table14543[],2,FALSE()),"")</f>
        <v/>
      </c>
      <c r="I643" s="84" t="str">
        <f aca="false">_xlfn.IFNA(VLOOKUP(G643,Table14543[],3,FALSE()),"")</f>
        <v/>
      </c>
      <c r="J643" s="83" t="str">
        <f aca="false">CONCATENATE("",G643,""," ",H643," ",I643)</f>
        <v>  </v>
      </c>
      <c r="K643" s="85"/>
      <c r="L643" s="86"/>
      <c r="M643" s="86"/>
      <c r="N643" s="86" t="n">
        <f aca="false">L643*M643</f>
        <v>0</v>
      </c>
      <c r="O643" s="86"/>
      <c r="P643" s="87" t="n">
        <f aca="false">(M643*L643)+O643</f>
        <v>0</v>
      </c>
      <c r="Q643" s="91"/>
    </row>
    <row r="644" customFormat="false" ht="14.25" hidden="false" customHeight="false" outlineLevel="0" collapsed="false">
      <c r="A644" s="77"/>
      <c r="B644" s="78"/>
      <c r="C644" s="79"/>
      <c r="D644" s="80" t="str">
        <f aca="false">_xlfn.IFNA(VLOOKUP(C644,'بيانات الآليات '!A:G,4,FALSE()),"")</f>
        <v/>
      </c>
      <c r="E644" s="81" t="str">
        <f aca="false">_xlfn.IFNA(VLOOKUP(C644,'بيانات الآليات '!A:G,2,FALSE()),"")</f>
        <v/>
      </c>
      <c r="F644" s="81" t="str">
        <f aca="false">_xlfn.IFNA(VLOOKUP(C644,'بيانات الآليات '!A:G,5,FALSE()),"")</f>
        <v/>
      </c>
      <c r="G644" s="82"/>
      <c r="H644" s="83" t="str">
        <f aca="false">_xlfn.IFNA(VLOOKUP(G644,Table14543[],2,FALSE()),"")</f>
        <v/>
      </c>
      <c r="I644" s="84" t="str">
        <f aca="false">_xlfn.IFNA(VLOOKUP(G644,Table14543[],3,FALSE()),"")</f>
        <v/>
      </c>
      <c r="J644" s="83" t="str">
        <f aca="false">CONCATENATE("",G644,""," ",H644," ",I644)</f>
        <v>  </v>
      </c>
      <c r="K644" s="85"/>
      <c r="L644" s="86"/>
      <c r="M644" s="86"/>
      <c r="N644" s="86" t="n">
        <f aca="false">L644*M644</f>
        <v>0</v>
      </c>
      <c r="O644" s="86"/>
      <c r="P644" s="87" t="n">
        <f aca="false">(M644*L644)+O644</f>
        <v>0</v>
      </c>
      <c r="Q644" s="91"/>
    </row>
    <row r="645" customFormat="false" ht="14.25" hidden="false" customHeight="false" outlineLevel="0" collapsed="false">
      <c r="A645" s="77"/>
      <c r="B645" s="78"/>
      <c r="C645" s="79"/>
      <c r="D645" s="80" t="str">
        <f aca="false">_xlfn.IFNA(VLOOKUP(C645,'بيانات الآليات '!A:G,4,FALSE()),"")</f>
        <v/>
      </c>
      <c r="E645" s="81" t="str">
        <f aca="false">_xlfn.IFNA(VLOOKUP(C645,'بيانات الآليات '!A:G,2,FALSE()),"")</f>
        <v/>
      </c>
      <c r="F645" s="81" t="str">
        <f aca="false">_xlfn.IFNA(VLOOKUP(C645,'بيانات الآليات '!A:G,5,FALSE()),"")</f>
        <v/>
      </c>
      <c r="G645" s="82"/>
      <c r="H645" s="83" t="str">
        <f aca="false">_xlfn.IFNA(VLOOKUP(G645,Table14543[],2,FALSE()),"")</f>
        <v/>
      </c>
      <c r="I645" s="84" t="str">
        <f aca="false">_xlfn.IFNA(VLOOKUP(G645,Table14543[],3,FALSE()),"")</f>
        <v/>
      </c>
      <c r="J645" s="83" t="str">
        <f aca="false">CONCATENATE("",G645,""," ",H645," ",I645)</f>
        <v>  </v>
      </c>
      <c r="K645" s="85"/>
      <c r="L645" s="86"/>
      <c r="M645" s="86"/>
      <c r="N645" s="86" t="n">
        <f aca="false">L645*M645</f>
        <v>0</v>
      </c>
      <c r="O645" s="86"/>
      <c r="P645" s="87" t="n">
        <f aca="false">(M645*L645)+O645</f>
        <v>0</v>
      </c>
      <c r="Q645" s="91"/>
    </row>
    <row r="646" customFormat="false" ht="14.25" hidden="false" customHeight="false" outlineLevel="0" collapsed="false">
      <c r="A646" s="77"/>
      <c r="B646" s="78"/>
      <c r="C646" s="79"/>
      <c r="D646" s="80" t="str">
        <f aca="false">_xlfn.IFNA(VLOOKUP(C646,'بيانات الآليات '!A:G,4,FALSE()),"")</f>
        <v/>
      </c>
      <c r="E646" s="81" t="str">
        <f aca="false">_xlfn.IFNA(VLOOKUP(C646,'بيانات الآليات '!A:G,2,FALSE()),"")</f>
        <v/>
      </c>
      <c r="F646" s="81" t="str">
        <f aca="false">_xlfn.IFNA(VLOOKUP(C646,'بيانات الآليات '!A:G,5,FALSE()),"")</f>
        <v/>
      </c>
      <c r="G646" s="82"/>
      <c r="H646" s="83" t="str">
        <f aca="false">_xlfn.IFNA(VLOOKUP(G646,Table14543[],2,FALSE()),"")</f>
        <v/>
      </c>
      <c r="I646" s="84" t="str">
        <f aca="false">_xlfn.IFNA(VLOOKUP(G646,Table14543[],3,FALSE()),"")</f>
        <v/>
      </c>
      <c r="J646" s="83" t="str">
        <f aca="false">CONCATENATE("",G646,""," ",H646," ",I646)</f>
        <v>  </v>
      </c>
      <c r="K646" s="85"/>
      <c r="L646" s="86"/>
      <c r="M646" s="86"/>
      <c r="N646" s="86" t="n">
        <f aca="false">L646*M646</f>
        <v>0</v>
      </c>
      <c r="O646" s="86"/>
      <c r="P646" s="87" t="n">
        <f aca="false">(M646*L646)+O646</f>
        <v>0</v>
      </c>
      <c r="Q646" s="91"/>
    </row>
    <row r="647" customFormat="false" ht="14.25" hidden="false" customHeight="false" outlineLevel="0" collapsed="false">
      <c r="A647" s="77"/>
      <c r="B647" s="78"/>
      <c r="C647" s="79"/>
      <c r="D647" s="80" t="str">
        <f aca="false">_xlfn.IFNA(VLOOKUP(C647,'بيانات الآليات '!A:G,4,FALSE()),"")</f>
        <v/>
      </c>
      <c r="E647" s="81" t="str">
        <f aca="false">_xlfn.IFNA(VLOOKUP(C647,'بيانات الآليات '!A:G,2,FALSE()),"")</f>
        <v/>
      </c>
      <c r="F647" s="81" t="str">
        <f aca="false">_xlfn.IFNA(VLOOKUP(C647,'بيانات الآليات '!A:G,5,FALSE()),"")</f>
        <v/>
      </c>
      <c r="G647" s="82"/>
      <c r="H647" s="83" t="str">
        <f aca="false">_xlfn.IFNA(VLOOKUP(G647,Table14543[],2,FALSE()),"")</f>
        <v/>
      </c>
      <c r="I647" s="84" t="str">
        <f aca="false">_xlfn.IFNA(VLOOKUP(G647,Table14543[],3,FALSE()),"")</f>
        <v/>
      </c>
      <c r="J647" s="83" t="str">
        <f aca="false">CONCATENATE("",G647,""," ",H647," ",I647)</f>
        <v>  </v>
      </c>
      <c r="K647" s="85"/>
      <c r="L647" s="86"/>
      <c r="M647" s="86"/>
      <c r="N647" s="86" t="n">
        <f aca="false">L647*M647</f>
        <v>0</v>
      </c>
      <c r="O647" s="86"/>
      <c r="P647" s="87" t="n">
        <f aca="false">(M647*L647)+O647</f>
        <v>0</v>
      </c>
      <c r="Q647" s="91"/>
    </row>
    <row r="648" customFormat="false" ht="14.25" hidden="false" customHeight="false" outlineLevel="0" collapsed="false">
      <c r="A648" s="77"/>
      <c r="B648" s="78"/>
      <c r="C648" s="79"/>
      <c r="D648" s="80" t="str">
        <f aca="false">_xlfn.IFNA(VLOOKUP(C648,'بيانات الآليات '!A:G,4,FALSE()),"")</f>
        <v/>
      </c>
      <c r="E648" s="81" t="str">
        <f aca="false">_xlfn.IFNA(VLOOKUP(C648,'بيانات الآليات '!A:G,2,FALSE()),"")</f>
        <v/>
      </c>
      <c r="F648" s="81" t="str">
        <f aca="false">_xlfn.IFNA(VLOOKUP(C648,'بيانات الآليات '!A:G,5,FALSE()),"")</f>
        <v/>
      </c>
      <c r="G648" s="82"/>
      <c r="H648" s="83" t="str">
        <f aca="false">_xlfn.IFNA(VLOOKUP(G648,Table14543[],2,FALSE()),"")</f>
        <v/>
      </c>
      <c r="I648" s="84" t="str">
        <f aca="false">_xlfn.IFNA(VLOOKUP(G648,Table14543[],3,FALSE()),"")</f>
        <v/>
      </c>
      <c r="J648" s="83" t="str">
        <f aca="false">CONCATENATE("",G648,""," ",H648," ",I648)</f>
        <v>  </v>
      </c>
      <c r="K648" s="85"/>
      <c r="L648" s="86"/>
      <c r="M648" s="86"/>
      <c r="N648" s="86" t="n">
        <f aca="false">L648*M648</f>
        <v>0</v>
      </c>
      <c r="O648" s="86"/>
      <c r="P648" s="87" t="n">
        <f aca="false">(M648*L648)+O648</f>
        <v>0</v>
      </c>
      <c r="Q648" s="91"/>
    </row>
    <row r="649" customFormat="false" ht="14.25" hidden="false" customHeight="false" outlineLevel="0" collapsed="false">
      <c r="A649" s="77"/>
      <c r="B649" s="78"/>
      <c r="C649" s="79"/>
      <c r="D649" s="80" t="str">
        <f aca="false">_xlfn.IFNA(VLOOKUP(C649,'بيانات الآليات '!A:G,4,FALSE()),"")</f>
        <v/>
      </c>
      <c r="E649" s="81" t="str">
        <f aca="false">_xlfn.IFNA(VLOOKUP(C649,'بيانات الآليات '!A:G,2,FALSE()),"")</f>
        <v/>
      </c>
      <c r="F649" s="81" t="str">
        <f aca="false">_xlfn.IFNA(VLOOKUP(C649,'بيانات الآليات '!A:G,5,FALSE()),"")</f>
        <v/>
      </c>
      <c r="G649" s="82"/>
      <c r="H649" s="83" t="str">
        <f aca="false">_xlfn.IFNA(VLOOKUP(G649,Table14543[],2,FALSE()),"")</f>
        <v/>
      </c>
      <c r="I649" s="84" t="str">
        <f aca="false">_xlfn.IFNA(VLOOKUP(G649,Table14543[],3,FALSE()),"")</f>
        <v/>
      </c>
      <c r="J649" s="83" t="str">
        <f aca="false">CONCATENATE("",G649,""," ",H649," ",I649)</f>
        <v>  </v>
      </c>
      <c r="K649" s="85"/>
      <c r="L649" s="86"/>
      <c r="M649" s="86"/>
      <c r="N649" s="86" t="n">
        <f aca="false">L649*M649</f>
        <v>0</v>
      </c>
      <c r="O649" s="86"/>
      <c r="P649" s="87" t="n">
        <f aca="false">(M649*L649)+O649</f>
        <v>0</v>
      </c>
      <c r="Q649" s="91"/>
    </row>
    <row r="650" customFormat="false" ht="14.25" hidden="false" customHeight="false" outlineLevel="0" collapsed="false">
      <c r="A650" s="77"/>
      <c r="B650" s="78"/>
      <c r="C650" s="79"/>
      <c r="D650" s="80" t="str">
        <f aca="false">_xlfn.IFNA(VLOOKUP(C650,'بيانات الآليات '!A:G,4,FALSE()),"")</f>
        <v/>
      </c>
      <c r="E650" s="81" t="str">
        <f aca="false">_xlfn.IFNA(VLOOKUP(C650,'بيانات الآليات '!A:G,2,FALSE()),"")</f>
        <v/>
      </c>
      <c r="F650" s="81" t="str">
        <f aca="false">_xlfn.IFNA(VLOOKUP(C650,'بيانات الآليات '!A:G,5,FALSE()),"")</f>
        <v/>
      </c>
      <c r="G650" s="82"/>
      <c r="H650" s="83" t="str">
        <f aca="false">_xlfn.IFNA(VLOOKUP(G650,Table14543[],2,FALSE()),"")</f>
        <v/>
      </c>
      <c r="I650" s="84" t="str">
        <f aca="false">_xlfn.IFNA(VLOOKUP(G650,Table14543[],3,FALSE()),"")</f>
        <v/>
      </c>
      <c r="J650" s="83" t="str">
        <f aca="false">CONCATENATE("",G650,""," ",H650," ",I650)</f>
        <v>  </v>
      </c>
      <c r="K650" s="85"/>
      <c r="L650" s="86"/>
      <c r="M650" s="86"/>
      <c r="N650" s="86" t="n">
        <f aca="false">L650*M650</f>
        <v>0</v>
      </c>
      <c r="O650" s="86"/>
      <c r="P650" s="87" t="n">
        <f aca="false">(M650*L650)+O650</f>
        <v>0</v>
      </c>
      <c r="Q650" s="91"/>
    </row>
    <row r="651" customFormat="false" ht="14.25" hidden="false" customHeight="false" outlineLevel="0" collapsed="false">
      <c r="A651" s="77"/>
      <c r="B651" s="78"/>
      <c r="C651" s="79"/>
      <c r="D651" s="80" t="str">
        <f aca="false">_xlfn.IFNA(VLOOKUP(C651,'بيانات الآليات '!A:G,4,FALSE()),"")</f>
        <v/>
      </c>
      <c r="E651" s="81" t="str">
        <f aca="false">_xlfn.IFNA(VLOOKUP(C651,'بيانات الآليات '!A:G,2,FALSE()),"")</f>
        <v/>
      </c>
      <c r="F651" s="81" t="str">
        <f aca="false">_xlfn.IFNA(VLOOKUP(C651,'بيانات الآليات '!A:G,5,FALSE()),"")</f>
        <v/>
      </c>
      <c r="G651" s="82"/>
      <c r="H651" s="83" t="str">
        <f aca="false">_xlfn.IFNA(VLOOKUP(G651,Table14543[],2,FALSE()),"")</f>
        <v/>
      </c>
      <c r="I651" s="84" t="str">
        <f aca="false">_xlfn.IFNA(VLOOKUP(G651,Table14543[],3,FALSE()),"")</f>
        <v/>
      </c>
      <c r="J651" s="83" t="str">
        <f aca="false">CONCATENATE("",G651,""," ",H651," ",I651)</f>
        <v>  </v>
      </c>
      <c r="K651" s="85"/>
      <c r="L651" s="86"/>
      <c r="M651" s="86"/>
      <c r="N651" s="86" t="n">
        <f aca="false">L651*M651</f>
        <v>0</v>
      </c>
      <c r="O651" s="86"/>
      <c r="P651" s="87" t="n">
        <f aca="false">(M651*L651)+O651</f>
        <v>0</v>
      </c>
      <c r="Q651" s="91"/>
    </row>
    <row r="652" customFormat="false" ht="14.25" hidden="false" customHeight="false" outlineLevel="0" collapsed="false">
      <c r="A652" s="77"/>
      <c r="B652" s="78"/>
      <c r="C652" s="79"/>
      <c r="D652" s="80" t="str">
        <f aca="false">_xlfn.IFNA(VLOOKUP(C652,'بيانات الآليات '!A:G,4,FALSE()),"")</f>
        <v/>
      </c>
      <c r="E652" s="81" t="str">
        <f aca="false">_xlfn.IFNA(VLOOKUP(C652,'بيانات الآليات '!A:G,2,FALSE()),"")</f>
        <v/>
      </c>
      <c r="F652" s="81" t="str">
        <f aca="false">_xlfn.IFNA(VLOOKUP(C652,'بيانات الآليات '!A:G,5,FALSE()),"")</f>
        <v/>
      </c>
      <c r="G652" s="82"/>
      <c r="H652" s="83" t="str">
        <f aca="false">_xlfn.IFNA(VLOOKUP(G652,Table14543[],2,FALSE()),"")</f>
        <v/>
      </c>
      <c r="I652" s="84" t="str">
        <f aca="false">_xlfn.IFNA(VLOOKUP(G652,Table14543[],3,FALSE()),"")</f>
        <v/>
      </c>
      <c r="J652" s="83" t="str">
        <f aca="false">CONCATENATE("",G652,""," ",H652," ",I652)</f>
        <v>  </v>
      </c>
      <c r="K652" s="85"/>
      <c r="L652" s="86"/>
      <c r="M652" s="86"/>
      <c r="N652" s="86" t="n">
        <f aca="false">L652*M652</f>
        <v>0</v>
      </c>
      <c r="O652" s="86"/>
      <c r="P652" s="87" t="n">
        <f aca="false">(M652*L652)+O652</f>
        <v>0</v>
      </c>
      <c r="Q652" s="91"/>
    </row>
    <row r="653" customFormat="false" ht="14.25" hidden="false" customHeight="false" outlineLevel="0" collapsed="false">
      <c r="A653" s="77"/>
      <c r="B653" s="78"/>
      <c r="C653" s="79"/>
      <c r="D653" s="80" t="str">
        <f aca="false">_xlfn.IFNA(VLOOKUP(C653,'بيانات الآليات '!A:G,4,FALSE()),"")</f>
        <v/>
      </c>
      <c r="E653" s="81" t="str">
        <f aca="false">_xlfn.IFNA(VLOOKUP(C653,'بيانات الآليات '!A:G,2,FALSE()),"")</f>
        <v/>
      </c>
      <c r="F653" s="81" t="str">
        <f aca="false">_xlfn.IFNA(VLOOKUP(C653,'بيانات الآليات '!A:G,5,FALSE()),"")</f>
        <v/>
      </c>
      <c r="G653" s="82"/>
      <c r="H653" s="83" t="str">
        <f aca="false">_xlfn.IFNA(VLOOKUP(G653,Table14543[],2,FALSE()),"")</f>
        <v/>
      </c>
      <c r="I653" s="84" t="str">
        <f aca="false">_xlfn.IFNA(VLOOKUP(G653,Table14543[],3,FALSE()),"")</f>
        <v/>
      </c>
      <c r="J653" s="83" t="str">
        <f aca="false">CONCATENATE("",G653,""," ",H653," ",I653)</f>
        <v>  </v>
      </c>
      <c r="K653" s="85"/>
      <c r="L653" s="86"/>
      <c r="M653" s="86"/>
      <c r="N653" s="86" t="n">
        <f aca="false">L653*M653</f>
        <v>0</v>
      </c>
      <c r="O653" s="86"/>
      <c r="P653" s="87" t="n">
        <f aca="false">(M653*L653)+O653</f>
        <v>0</v>
      </c>
      <c r="Q653" s="91"/>
    </row>
    <row r="654" customFormat="false" ht="14.25" hidden="false" customHeight="false" outlineLevel="0" collapsed="false">
      <c r="A654" s="77"/>
      <c r="B654" s="78"/>
      <c r="C654" s="79"/>
      <c r="D654" s="80" t="str">
        <f aca="false">_xlfn.IFNA(VLOOKUP(C654,'بيانات الآليات '!A:G,4,FALSE()),"")</f>
        <v/>
      </c>
      <c r="E654" s="81" t="str">
        <f aca="false">_xlfn.IFNA(VLOOKUP(C654,'بيانات الآليات '!A:G,2,FALSE()),"")</f>
        <v/>
      </c>
      <c r="F654" s="81" t="str">
        <f aca="false">_xlfn.IFNA(VLOOKUP(C654,'بيانات الآليات '!A:G,5,FALSE()),"")</f>
        <v/>
      </c>
      <c r="G654" s="82"/>
      <c r="H654" s="83" t="str">
        <f aca="false">_xlfn.IFNA(VLOOKUP(G654,Table14543[],2,FALSE()),"")</f>
        <v/>
      </c>
      <c r="I654" s="84" t="str">
        <f aca="false">_xlfn.IFNA(VLOOKUP(G654,Table14543[],3,FALSE()),"")</f>
        <v/>
      </c>
      <c r="J654" s="83" t="str">
        <f aca="false">CONCATENATE("",G654,""," ",H654," ",I654)</f>
        <v>  </v>
      </c>
      <c r="K654" s="85"/>
      <c r="L654" s="86"/>
      <c r="M654" s="86"/>
      <c r="N654" s="86" t="n">
        <f aca="false">L654*M654</f>
        <v>0</v>
      </c>
      <c r="O654" s="86"/>
      <c r="P654" s="87" t="n">
        <f aca="false">(M654*L654)+O654</f>
        <v>0</v>
      </c>
      <c r="Q654" s="91"/>
    </row>
    <row r="655" customFormat="false" ht="14.25" hidden="false" customHeight="false" outlineLevel="0" collapsed="false">
      <c r="A655" s="77"/>
      <c r="B655" s="78"/>
      <c r="C655" s="79"/>
      <c r="D655" s="80" t="str">
        <f aca="false">_xlfn.IFNA(VLOOKUP(C655,'بيانات الآليات '!A:G,4,FALSE()),"")</f>
        <v/>
      </c>
      <c r="E655" s="81" t="str">
        <f aca="false">_xlfn.IFNA(VLOOKUP(C655,'بيانات الآليات '!A:G,2,FALSE()),"")</f>
        <v/>
      </c>
      <c r="F655" s="81" t="str">
        <f aca="false">_xlfn.IFNA(VLOOKUP(C655,'بيانات الآليات '!A:G,5,FALSE()),"")</f>
        <v/>
      </c>
      <c r="G655" s="82"/>
      <c r="H655" s="83" t="str">
        <f aca="false">_xlfn.IFNA(VLOOKUP(G655,Table14543[],2,FALSE()),"")</f>
        <v/>
      </c>
      <c r="I655" s="84" t="str">
        <f aca="false">_xlfn.IFNA(VLOOKUP(G655,Table14543[],3,FALSE()),"")</f>
        <v/>
      </c>
      <c r="J655" s="83" t="str">
        <f aca="false">CONCATENATE("",G655,""," ",H655," ",I655)</f>
        <v>  </v>
      </c>
      <c r="K655" s="85"/>
      <c r="L655" s="86"/>
      <c r="M655" s="86"/>
      <c r="N655" s="86" t="n">
        <f aca="false">L655*M655</f>
        <v>0</v>
      </c>
      <c r="O655" s="86"/>
      <c r="P655" s="87" t="n">
        <f aca="false">(M655*L655)+O655</f>
        <v>0</v>
      </c>
      <c r="Q655" s="91"/>
    </row>
    <row r="656" customFormat="false" ht="14.25" hidden="false" customHeight="false" outlineLevel="0" collapsed="false">
      <c r="A656" s="77"/>
      <c r="B656" s="78"/>
      <c r="C656" s="79"/>
      <c r="D656" s="80" t="str">
        <f aca="false">_xlfn.IFNA(VLOOKUP(C656,'بيانات الآليات '!A:G,4,FALSE()),"")</f>
        <v/>
      </c>
      <c r="E656" s="81" t="str">
        <f aca="false">_xlfn.IFNA(VLOOKUP(C656,'بيانات الآليات '!A:G,2,FALSE()),"")</f>
        <v/>
      </c>
      <c r="F656" s="81" t="str">
        <f aca="false">_xlfn.IFNA(VLOOKUP(C656,'بيانات الآليات '!A:G,5,FALSE()),"")</f>
        <v/>
      </c>
      <c r="G656" s="82"/>
      <c r="H656" s="83" t="str">
        <f aca="false">_xlfn.IFNA(VLOOKUP(G656,Table14543[],2,FALSE()),"")</f>
        <v/>
      </c>
      <c r="I656" s="84" t="str">
        <f aca="false">_xlfn.IFNA(VLOOKUP(G656,Table14543[],3,FALSE()),"")</f>
        <v/>
      </c>
      <c r="J656" s="83" t="str">
        <f aca="false">CONCATENATE("",G656,""," ",H656," ",I656)</f>
        <v>  </v>
      </c>
      <c r="K656" s="85"/>
      <c r="L656" s="86"/>
      <c r="M656" s="86"/>
      <c r="N656" s="86" t="n">
        <f aca="false">L656*M656</f>
        <v>0</v>
      </c>
      <c r="O656" s="86"/>
      <c r="P656" s="87" t="n">
        <f aca="false">(M656*L656)+O656</f>
        <v>0</v>
      </c>
      <c r="Q656" s="91"/>
    </row>
    <row r="657" customFormat="false" ht="14.25" hidden="false" customHeight="false" outlineLevel="0" collapsed="false">
      <c r="A657" s="77"/>
      <c r="B657" s="78"/>
      <c r="C657" s="79"/>
      <c r="D657" s="80" t="str">
        <f aca="false">_xlfn.IFNA(VLOOKUP(C657,'بيانات الآليات '!A:G,4,FALSE()),"")</f>
        <v/>
      </c>
      <c r="E657" s="81" t="str">
        <f aca="false">_xlfn.IFNA(VLOOKUP(C657,'بيانات الآليات '!A:G,2,FALSE()),"")</f>
        <v/>
      </c>
      <c r="F657" s="81" t="str">
        <f aca="false">_xlfn.IFNA(VLOOKUP(C657,'بيانات الآليات '!A:G,5,FALSE()),"")</f>
        <v/>
      </c>
      <c r="G657" s="82"/>
      <c r="H657" s="83" t="str">
        <f aca="false">_xlfn.IFNA(VLOOKUP(G657,Table14543[],2,FALSE()),"")</f>
        <v/>
      </c>
      <c r="I657" s="84" t="str">
        <f aca="false">_xlfn.IFNA(VLOOKUP(G657,Table14543[],3,FALSE()),"")</f>
        <v/>
      </c>
      <c r="J657" s="83" t="str">
        <f aca="false">CONCATENATE("",G657,""," ",H657," ",I657)</f>
        <v>  </v>
      </c>
      <c r="K657" s="85"/>
      <c r="L657" s="86"/>
      <c r="M657" s="86"/>
      <c r="N657" s="86" t="n">
        <f aca="false">L657*M657</f>
        <v>0</v>
      </c>
      <c r="O657" s="86"/>
      <c r="P657" s="87" t="n">
        <f aca="false">(M657*L657)+O657</f>
        <v>0</v>
      </c>
      <c r="Q657" s="91"/>
    </row>
    <row r="658" customFormat="false" ht="14.25" hidden="false" customHeight="false" outlineLevel="0" collapsed="false">
      <c r="A658" s="77"/>
      <c r="B658" s="78"/>
      <c r="C658" s="79"/>
      <c r="D658" s="80" t="str">
        <f aca="false">_xlfn.IFNA(VLOOKUP(C658,'بيانات الآليات '!A:G,4,FALSE()),"")</f>
        <v/>
      </c>
      <c r="E658" s="81" t="str">
        <f aca="false">_xlfn.IFNA(VLOOKUP(C658,'بيانات الآليات '!A:G,2,FALSE()),"")</f>
        <v/>
      </c>
      <c r="F658" s="81" t="str">
        <f aca="false">_xlfn.IFNA(VLOOKUP(C658,'بيانات الآليات '!A:G,5,FALSE()),"")</f>
        <v/>
      </c>
      <c r="G658" s="82"/>
      <c r="H658" s="83" t="str">
        <f aca="false">_xlfn.IFNA(VLOOKUP(G658,Table14543[],2,FALSE()),"")</f>
        <v/>
      </c>
      <c r="I658" s="84" t="str">
        <f aca="false">_xlfn.IFNA(VLOOKUP(G658,Table14543[],3,FALSE()),"")</f>
        <v/>
      </c>
      <c r="J658" s="83" t="str">
        <f aca="false">CONCATENATE("",G658,""," ",H658," ",I658)</f>
        <v>  </v>
      </c>
      <c r="K658" s="85"/>
      <c r="L658" s="86"/>
      <c r="M658" s="86"/>
      <c r="N658" s="86" t="n">
        <f aca="false">L658*M658</f>
        <v>0</v>
      </c>
      <c r="O658" s="86"/>
      <c r="P658" s="87" t="n">
        <f aca="false">(M658*L658)+O658</f>
        <v>0</v>
      </c>
      <c r="Q658" s="91"/>
    </row>
    <row r="659" customFormat="false" ht="14.25" hidden="false" customHeight="false" outlineLevel="0" collapsed="false">
      <c r="A659" s="77"/>
      <c r="B659" s="78"/>
      <c r="C659" s="79"/>
      <c r="D659" s="80" t="str">
        <f aca="false">_xlfn.IFNA(VLOOKUP(C659,'بيانات الآليات '!A:G,4,FALSE()),"")</f>
        <v/>
      </c>
      <c r="E659" s="81" t="str">
        <f aca="false">_xlfn.IFNA(VLOOKUP(C659,'بيانات الآليات '!A:G,2,FALSE()),"")</f>
        <v/>
      </c>
      <c r="F659" s="81" t="str">
        <f aca="false">_xlfn.IFNA(VLOOKUP(C659,'بيانات الآليات '!A:G,5,FALSE()),"")</f>
        <v/>
      </c>
      <c r="G659" s="82"/>
      <c r="H659" s="83" t="str">
        <f aca="false">_xlfn.IFNA(VLOOKUP(G659,Table14543[],2,FALSE()),"")</f>
        <v/>
      </c>
      <c r="I659" s="84" t="str">
        <f aca="false">_xlfn.IFNA(VLOOKUP(G659,Table14543[],3,FALSE()),"")</f>
        <v/>
      </c>
      <c r="J659" s="83" t="str">
        <f aca="false">CONCATENATE("",G659,""," ",H659," ",I659)</f>
        <v>  </v>
      </c>
      <c r="K659" s="85"/>
      <c r="L659" s="86"/>
      <c r="M659" s="86"/>
      <c r="N659" s="86" t="n">
        <f aca="false">L659*M659</f>
        <v>0</v>
      </c>
      <c r="O659" s="86"/>
      <c r="P659" s="87" t="n">
        <f aca="false">(M659*L659)+O659</f>
        <v>0</v>
      </c>
      <c r="Q659" s="91"/>
    </row>
    <row r="660" customFormat="false" ht="14.25" hidden="false" customHeight="false" outlineLevel="0" collapsed="false">
      <c r="A660" s="77"/>
      <c r="B660" s="78"/>
      <c r="C660" s="79"/>
      <c r="D660" s="80" t="str">
        <f aca="false">_xlfn.IFNA(VLOOKUP(C660,'بيانات الآليات '!A:G,4,FALSE()),"")</f>
        <v/>
      </c>
      <c r="E660" s="81" t="str">
        <f aca="false">_xlfn.IFNA(VLOOKUP(C660,'بيانات الآليات '!A:G,2,FALSE()),"")</f>
        <v/>
      </c>
      <c r="F660" s="81" t="str">
        <f aca="false">_xlfn.IFNA(VLOOKUP(C660,'بيانات الآليات '!A:G,5,FALSE()),"")</f>
        <v/>
      </c>
      <c r="G660" s="82"/>
      <c r="H660" s="83" t="str">
        <f aca="false">_xlfn.IFNA(VLOOKUP(G660,Table14543[],2,FALSE()),"")</f>
        <v/>
      </c>
      <c r="I660" s="84" t="str">
        <f aca="false">_xlfn.IFNA(VLOOKUP(G660,Table14543[],3,FALSE()),"")</f>
        <v/>
      </c>
      <c r="J660" s="83" t="str">
        <f aca="false">CONCATENATE("",G660,""," ",H660," ",I660)</f>
        <v>  </v>
      </c>
      <c r="K660" s="85"/>
      <c r="L660" s="86"/>
      <c r="M660" s="86"/>
      <c r="N660" s="86" t="n">
        <f aca="false">L660*M660</f>
        <v>0</v>
      </c>
      <c r="O660" s="86"/>
      <c r="P660" s="87" t="n">
        <f aca="false">(M660*L660)+O660</f>
        <v>0</v>
      </c>
      <c r="Q660" s="91"/>
    </row>
    <row r="661" customFormat="false" ht="14.25" hidden="false" customHeight="false" outlineLevel="0" collapsed="false">
      <c r="A661" s="77"/>
      <c r="B661" s="78"/>
      <c r="C661" s="79"/>
      <c r="D661" s="80" t="str">
        <f aca="false">_xlfn.IFNA(VLOOKUP(C661,'بيانات الآليات '!A:G,4,FALSE()),"")</f>
        <v/>
      </c>
      <c r="E661" s="81" t="str">
        <f aca="false">_xlfn.IFNA(VLOOKUP(C661,'بيانات الآليات '!A:G,2,FALSE()),"")</f>
        <v/>
      </c>
      <c r="F661" s="81" t="str">
        <f aca="false">_xlfn.IFNA(VLOOKUP(C661,'بيانات الآليات '!A:G,5,FALSE()),"")</f>
        <v/>
      </c>
      <c r="G661" s="82"/>
      <c r="H661" s="83" t="str">
        <f aca="false">_xlfn.IFNA(VLOOKUP(G661,Table14543[],2,FALSE()),"")</f>
        <v/>
      </c>
      <c r="I661" s="84" t="str">
        <f aca="false">_xlfn.IFNA(VLOOKUP(G661,Table14543[],3,FALSE()),"")</f>
        <v/>
      </c>
      <c r="J661" s="83" t="str">
        <f aca="false">CONCATENATE("",G661,""," ",H661," ",I661)</f>
        <v>  </v>
      </c>
      <c r="K661" s="85"/>
      <c r="L661" s="86"/>
      <c r="M661" s="86"/>
      <c r="N661" s="86" t="n">
        <f aca="false">L661*M661</f>
        <v>0</v>
      </c>
      <c r="O661" s="86"/>
      <c r="P661" s="87" t="n">
        <f aca="false">(M661*L661)+O661</f>
        <v>0</v>
      </c>
      <c r="Q661" s="91"/>
    </row>
    <row r="662" customFormat="false" ht="14.25" hidden="false" customHeight="false" outlineLevel="0" collapsed="false">
      <c r="A662" s="77"/>
      <c r="B662" s="78"/>
      <c r="C662" s="79"/>
      <c r="D662" s="80" t="str">
        <f aca="false">_xlfn.IFNA(VLOOKUP(C662,'بيانات الآليات '!A:G,4,FALSE()),"")</f>
        <v/>
      </c>
      <c r="E662" s="81" t="str">
        <f aca="false">_xlfn.IFNA(VLOOKUP(C662,'بيانات الآليات '!A:G,2,FALSE()),"")</f>
        <v/>
      </c>
      <c r="F662" s="81" t="str">
        <f aca="false">_xlfn.IFNA(VLOOKUP(C662,'بيانات الآليات '!A:G,5,FALSE()),"")</f>
        <v/>
      </c>
      <c r="G662" s="82"/>
      <c r="H662" s="83" t="str">
        <f aca="false">_xlfn.IFNA(VLOOKUP(G662,Table14543[],2,FALSE()),"")</f>
        <v/>
      </c>
      <c r="I662" s="84" t="str">
        <f aca="false">_xlfn.IFNA(VLOOKUP(G662,Table14543[],3,FALSE()),"")</f>
        <v/>
      </c>
      <c r="J662" s="83" t="str">
        <f aca="false">CONCATENATE("",G662,""," ",H662," ",I662)</f>
        <v>  </v>
      </c>
      <c r="K662" s="85"/>
      <c r="L662" s="86"/>
      <c r="M662" s="86"/>
      <c r="N662" s="86" t="n">
        <f aca="false">L662*M662</f>
        <v>0</v>
      </c>
      <c r="O662" s="86"/>
      <c r="P662" s="87" t="n">
        <f aca="false">(M662*L662)+O662</f>
        <v>0</v>
      </c>
      <c r="Q662" s="91"/>
    </row>
    <row r="663" customFormat="false" ht="14.25" hidden="false" customHeight="false" outlineLevel="0" collapsed="false">
      <c r="A663" s="77"/>
      <c r="B663" s="78"/>
      <c r="C663" s="79"/>
      <c r="D663" s="80" t="str">
        <f aca="false">_xlfn.IFNA(VLOOKUP(C663,'بيانات الآليات '!A:G,4,FALSE()),"")</f>
        <v/>
      </c>
      <c r="E663" s="81" t="str">
        <f aca="false">_xlfn.IFNA(VLOOKUP(C663,'بيانات الآليات '!A:G,2,FALSE()),"")</f>
        <v/>
      </c>
      <c r="F663" s="81" t="str">
        <f aca="false">_xlfn.IFNA(VLOOKUP(C663,'بيانات الآليات '!A:G,5,FALSE()),"")</f>
        <v/>
      </c>
      <c r="G663" s="82"/>
      <c r="H663" s="83" t="str">
        <f aca="false">_xlfn.IFNA(VLOOKUP(G663,Table14543[],2,FALSE()),"")</f>
        <v/>
      </c>
      <c r="I663" s="84" t="str">
        <f aca="false">_xlfn.IFNA(VLOOKUP(G663,Table14543[],3,FALSE()),"")</f>
        <v/>
      </c>
      <c r="J663" s="83" t="str">
        <f aca="false">CONCATENATE("",G663,""," ",H663," ",I663)</f>
        <v>  </v>
      </c>
      <c r="K663" s="85"/>
      <c r="L663" s="86"/>
      <c r="M663" s="86"/>
      <c r="N663" s="86" t="n">
        <f aca="false">L663*M663</f>
        <v>0</v>
      </c>
      <c r="O663" s="86"/>
      <c r="P663" s="87" t="n">
        <f aca="false">(M663*L663)+O663</f>
        <v>0</v>
      </c>
      <c r="Q663" s="91"/>
    </row>
    <row r="664" customFormat="false" ht="14.25" hidden="false" customHeight="false" outlineLevel="0" collapsed="false">
      <c r="A664" s="77"/>
      <c r="B664" s="78"/>
      <c r="C664" s="79"/>
      <c r="D664" s="80" t="str">
        <f aca="false">_xlfn.IFNA(VLOOKUP(C664,'بيانات الآليات '!A:G,4,FALSE()),"")</f>
        <v/>
      </c>
      <c r="E664" s="81" t="str">
        <f aca="false">_xlfn.IFNA(VLOOKUP(C664,'بيانات الآليات '!A:G,2,FALSE()),"")</f>
        <v/>
      </c>
      <c r="F664" s="81" t="str">
        <f aca="false">_xlfn.IFNA(VLOOKUP(C664,'بيانات الآليات '!A:G,5,FALSE()),"")</f>
        <v/>
      </c>
      <c r="G664" s="82"/>
      <c r="H664" s="83" t="str">
        <f aca="false">_xlfn.IFNA(VLOOKUP(G664,Table14543[],2,FALSE()),"")</f>
        <v/>
      </c>
      <c r="I664" s="84" t="str">
        <f aca="false">_xlfn.IFNA(VLOOKUP(G664,Table14543[],3,FALSE()),"")</f>
        <v/>
      </c>
      <c r="J664" s="83" t="str">
        <f aca="false">CONCATENATE("",G664,""," ",H664," ",I664)</f>
        <v>  </v>
      </c>
      <c r="K664" s="85"/>
      <c r="L664" s="86"/>
      <c r="M664" s="86"/>
      <c r="N664" s="86" t="n">
        <f aca="false">L664*M664</f>
        <v>0</v>
      </c>
      <c r="O664" s="86"/>
      <c r="P664" s="87" t="n">
        <f aca="false">(M664*L664)+O664</f>
        <v>0</v>
      </c>
      <c r="Q664" s="91"/>
    </row>
    <row r="665" customFormat="false" ht="14.25" hidden="false" customHeight="false" outlineLevel="0" collapsed="false">
      <c r="A665" s="77"/>
      <c r="B665" s="78"/>
      <c r="C665" s="79"/>
      <c r="D665" s="80" t="str">
        <f aca="false">_xlfn.IFNA(VLOOKUP(C665,'بيانات الآليات '!A:G,4,FALSE()),"")</f>
        <v/>
      </c>
      <c r="E665" s="81" t="str">
        <f aca="false">_xlfn.IFNA(VLOOKUP(C665,'بيانات الآليات '!A:G,2,FALSE()),"")</f>
        <v/>
      </c>
      <c r="F665" s="81" t="str">
        <f aca="false">_xlfn.IFNA(VLOOKUP(C665,'بيانات الآليات '!A:G,5,FALSE()),"")</f>
        <v/>
      </c>
      <c r="G665" s="82"/>
      <c r="H665" s="83" t="str">
        <f aca="false">_xlfn.IFNA(VLOOKUP(G665,Table14543[],2,FALSE()),"")</f>
        <v/>
      </c>
      <c r="I665" s="84" t="str">
        <f aca="false">_xlfn.IFNA(VLOOKUP(G665,Table14543[],3,FALSE()),"")</f>
        <v/>
      </c>
      <c r="J665" s="83" t="str">
        <f aca="false">CONCATENATE("",G665,""," ",H665," ",I665)</f>
        <v>  </v>
      </c>
      <c r="K665" s="85"/>
      <c r="L665" s="86"/>
      <c r="M665" s="86"/>
      <c r="N665" s="86" t="n">
        <f aca="false">L665*M665</f>
        <v>0</v>
      </c>
      <c r="O665" s="86"/>
      <c r="P665" s="87" t="n">
        <f aca="false">(M665*L665)+O665</f>
        <v>0</v>
      </c>
      <c r="Q665" s="91"/>
    </row>
    <row r="666" customFormat="false" ht="14.25" hidden="false" customHeight="false" outlineLevel="0" collapsed="false">
      <c r="A666" s="77"/>
      <c r="B666" s="78"/>
      <c r="C666" s="79"/>
      <c r="D666" s="80" t="str">
        <f aca="false">_xlfn.IFNA(VLOOKUP(C666,'بيانات الآليات '!A:G,4,FALSE()),"")</f>
        <v/>
      </c>
      <c r="E666" s="81" t="str">
        <f aca="false">_xlfn.IFNA(VLOOKUP(C666,'بيانات الآليات '!A:G,2,FALSE()),"")</f>
        <v/>
      </c>
      <c r="F666" s="81" t="str">
        <f aca="false">_xlfn.IFNA(VLOOKUP(C666,'بيانات الآليات '!A:G,5,FALSE()),"")</f>
        <v/>
      </c>
      <c r="G666" s="82"/>
      <c r="H666" s="83" t="str">
        <f aca="false">_xlfn.IFNA(VLOOKUP(G666,Table14543[],2,FALSE()),"")</f>
        <v/>
      </c>
      <c r="I666" s="84" t="str">
        <f aca="false">_xlfn.IFNA(VLOOKUP(G666,Table14543[],3,FALSE()),"")</f>
        <v/>
      </c>
      <c r="J666" s="83" t="str">
        <f aca="false">CONCATENATE("",G666,""," ",H666," ",I666)</f>
        <v>  </v>
      </c>
      <c r="K666" s="85"/>
      <c r="L666" s="86"/>
      <c r="M666" s="86"/>
      <c r="N666" s="86" t="n">
        <f aca="false">L666*M666</f>
        <v>0</v>
      </c>
      <c r="O666" s="86"/>
      <c r="P666" s="87" t="n">
        <f aca="false">(M666*L666)+O666</f>
        <v>0</v>
      </c>
      <c r="Q666" s="91"/>
    </row>
    <row r="667" customFormat="false" ht="14.25" hidden="false" customHeight="false" outlineLevel="0" collapsed="false">
      <c r="A667" s="77"/>
      <c r="B667" s="78"/>
      <c r="C667" s="79"/>
      <c r="D667" s="80" t="str">
        <f aca="false">_xlfn.IFNA(VLOOKUP(C667,'بيانات الآليات '!A:G,4,FALSE()),"")</f>
        <v/>
      </c>
      <c r="E667" s="81" t="str">
        <f aca="false">_xlfn.IFNA(VLOOKUP(C667,'بيانات الآليات '!A:G,2,FALSE()),"")</f>
        <v/>
      </c>
      <c r="F667" s="81" t="str">
        <f aca="false">_xlfn.IFNA(VLOOKUP(C667,'بيانات الآليات '!A:G,5,FALSE()),"")</f>
        <v/>
      </c>
      <c r="G667" s="82"/>
      <c r="H667" s="83" t="str">
        <f aca="false">_xlfn.IFNA(VLOOKUP(G667,Table14543[],2,FALSE()),"")</f>
        <v/>
      </c>
      <c r="I667" s="84" t="str">
        <f aca="false">_xlfn.IFNA(VLOOKUP(G667,Table14543[],3,FALSE()),"")</f>
        <v/>
      </c>
      <c r="J667" s="83" t="str">
        <f aca="false">CONCATENATE("",G667,""," ",H667," ",I667)</f>
        <v>  </v>
      </c>
      <c r="K667" s="85"/>
      <c r="L667" s="86"/>
      <c r="M667" s="86"/>
      <c r="N667" s="86" t="n">
        <f aca="false">L667*M667</f>
        <v>0</v>
      </c>
      <c r="O667" s="86"/>
      <c r="P667" s="87" t="n">
        <f aca="false">(M667*L667)+O667</f>
        <v>0</v>
      </c>
      <c r="Q667" s="91"/>
    </row>
    <row r="668" customFormat="false" ht="14.25" hidden="false" customHeight="false" outlineLevel="0" collapsed="false">
      <c r="A668" s="77"/>
      <c r="B668" s="78"/>
      <c r="C668" s="79"/>
      <c r="D668" s="80" t="str">
        <f aca="false">_xlfn.IFNA(VLOOKUP(C668,'بيانات الآليات '!A:G,4,FALSE()),"")</f>
        <v/>
      </c>
      <c r="E668" s="81" t="str">
        <f aca="false">_xlfn.IFNA(VLOOKUP(C668,'بيانات الآليات '!A:G,2,FALSE()),"")</f>
        <v/>
      </c>
      <c r="F668" s="81" t="str">
        <f aca="false">_xlfn.IFNA(VLOOKUP(C668,'بيانات الآليات '!A:G,5,FALSE()),"")</f>
        <v/>
      </c>
      <c r="G668" s="82"/>
      <c r="H668" s="83" t="str">
        <f aca="false">_xlfn.IFNA(VLOOKUP(G668,Table14543[],2,FALSE()),"")</f>
        <v/>
      </c>
      <c r="I668" s="84" t="str">
        <f aca="false">_xlfn.IFNA(VLOOKUP(G668,Table14543[],3,FALSE()),"")</f>
        <v/>
      </c>
      <c r="J668" s="83" t="str">
        <f aca="false">CONCATENATE("",G668,""," ",H668," ",I668)</f>
        <v>  </v>
      </c>
      <c r="K668" s="85"/>
      <c r="L668" s="86"/>
      <c r="M668" s="86"/>
      <c r="N668" s="86" t="n">
        <f aca="false">L668*M668</f>
        <v>0</v>
      </c>
      <c r="O668" s="86"/>
      <c r="P668" s="87" t="n">
        <f aca="false">(M668*L668)+O668</f>
        <v>0</v>
      </c>
      <c r="Q668" s="91"/>
    </row>
    <row r="669" customFormat="false" ht="14.25" hidden="false" customHeight="false" outlineLevel="0" collapsed="false">
      <c r="A669" s="77"/>
      <c r="B669" s="78"/>
      <c r="C669" s="79"/>
      <c r="D669" s="80" t="str">
        <f aca="false">_xlfn.IFNA(VLOOKUP(C669,'بيانات الآليات '!A:G,4,FALSE()),"")</f>
        <v/>
      </c>
      <c r="E669" s="81" t="str">
        <f aca="false">_xlfn.IFNA(VLOOKUP(C669,'بيانات الآليات '!A:G,2,FALSE()),"")</f>
        <v/>
      </c>
      <c r="F669" s="81" t="str">
        <f aca="false">_xlfn.IFNA(VLOOKUP(C669,'بيانات الآليات '!A:G,5,FALSE()),"")</f>
        <v/>
      </c>
      <c r="G669" s="82"/>
      <c r="H669" s="83" t="str">
        <f aca="false">_xlfn.IFNA(VLOOKUP(G669,Table14543[],2,FALSE()),"")</f>
        <v/>
      </c>
      <c r="I669" s="84" t="str">
        <f aca="false">_xlfn.IFNA(VLOOKUP(G669,Table14543[],3,FALSE()),"")</f>
        <v/>
      </c>
      <c r="J669" s="83" t="str">
        <f aca="false">CONCATENATE("",G669,""," ",H669," ",I669)</f>
        <v>  </v>
      </c>
      <c r="K669" s="85"/>
      <c r="L669" s="86"/>
      <c r="M669" s="86"/>
      <c r="N669" s="86" t="n">
        <f aca="false">L669*M669</f>
        <v>0</v>
      </c>
      <c r="O669" s="86"/>
      <c r="P669" s="87" t="n">
        <f aca="false">(M669*L669)+O669</f>
        <v>0</v>
      </c>
      <c r="Q669" s="91"/>
    </row>
    <row r="670" customFormat="false" ht="14.25" hidden="false" customHeight="false" outlineLevel="0" collapsed="false">
      <c r="A670" s="77"/>
      <c r="B670" s="78"/>
      <c r="C670" s="79"/>
      <c r="D670" s="80" t="str">
        <f aca="false">_xlfn.IFNA(VLOOKUP(C670,'بيانات الآليات '!A:G,4,FALSE()),"")</f>
        <v/>
      </c>
      <c r="E670" s="81" t="str">
        <f aca="false">_xlfn.IFNA(VLOOKUP(C670,'بيانات الآليات '!A:G,2,FALSE()),"")</f>
        <v/>
      </c>
      <c r="F670" s="81" t="str">
        <f aca="false">_xlfn.IFNA(VLOOKUP(C670,'بيانات الآليات '!A:G,5,FALSE()),"")</f>
        <v/>
      </c>
      <c r="G670" s="82"/>
      <c r="H670" s="83" t="str">
        <f aca="false">_xlfn.IFNA(VLOOKUP(G670,Table14543[],2,FALSE()),"")</f>
        <v/>
      </c>
      <c r="I670" s="84" t="str">
        <f aca="false">_xlfn.IFNA(VLOOKUP(G670,Table14543[],3,FALSE()),"")</f>
        <v/>
      </c>
      <c r="J670" s="83" t="str">
        <f aca="false">CONCATENATE("",G670,""," ",H670," ",I670)</f>
        <v>  </v>
      </c>
      <c r="K670" s="85"/>
      <c r="L670" s="86"/>
      <c r="M670" s="86"/>
      <c r="N670" s="86" t="n">
        <f aca="false">L670*M670</f>
        <v>0</v>
      </c>
      <c r="O670" s="86"/>
      <c r="P670" s="87" t="n">
        <f aca="false">(M670*L670)+O670</f>
        <v>0</v>
      </c>
      <c r="Q670" s="91"/>
    </row>
    <row r="671" customFormat="false" ht="14.25" hidden="false" customHeight="false" outlineLevel="0" collapsed="false">
      <c r="A671" s="77"/>
      <c r="B671" s="78"/>
      <c r="C671" s="79"/>
      <c r="D671" s="80" t="str">
        <f aca="false">_xlfn.IFNA(VLOOKUP(C671,'بيانات الآليات '!A:G,4,FALSE()),"")</f>
        <v/>
      </c>
      <c r="E671" s="81" t="str">
        <f aca="false">_xlfn.IFNA(VLOOKUP(C671,'بيانات الآليات '!A:G,2,FALSE()),"")</f>
        <v/>
      </c>
      <c r="F671" s="81" t="str">
        <f aca="false">_xlfn.IFNA(VLOOKUP(C671,'بيانات الآليات '!A:G,5,FALSE()),"")</f>
        <v/>
      </c>
      <c r="G671" s="82"/>
      <c r="H671" s="83" t="str">
        <f aca="false">_xlfn.IFNA(VLOOKUP(G671,Table14543[],2,FALSE()),"")</f>
        <v/>
      </c>
      <c r="I671" s="84" t="str">
        <f aca="false">_xlfn.IFNA(VLOOKUP(G671,Table14543[],3,FALSE()),"")</f>
        <v/>
      </c>
      <c r="J671" s="83" t="str">
        <f aca="false">CONCATENATE("",G671,""," ",H671," ",I671)</f>
        <v>  </v>
      </c>
      <c r="K671" s="85"/>
      <c r="L671" s="86"/>
      <c r="M671" s="86"/>
      <c r="N671" s="86" t="n">
        <f aca="false">L671*M671</f>
        <v>0</v>
      </c>
      <c r="O671" s="86"/>
      <c r="P671" s="87" t="n">
        <f aca="false">(M671*L671)+O671</f>
        <v>0</v>
      </c>
      <c r="Q671" s="91"/>
    </row>
    <row r="672" customFormat="false" ht="14.25" hidden="false" customHeight="false" outlineLevel="0" collapsed="false">
      <c r="A672" s="77"/>
      <c r="B672" s="78"/>
      <c r="C672" s="79"/>
      <c r="D672" s="80" t="str">
        <f aca="false">_xlfn.IFNA(VLOOKUP(C672,'بيانات الآليات '!A:G,4,FALSE()),"")</f>
        <v/>
      </c>
      <c r="E672" s="81" t="str">
        <f aca="false">_xlfn.IFNA(VLOOKUP(C672,'بيانات الآليات '!A:G,2,FALSE()),"")</f>
        <v/>
      </c>
      <c r="F672" s="81" t="str">
        <f aca="false">_xlfn.IFNA(VLOOKUP(C672,'بيانات الآليات '!A:G,5,FALSE()),"")</f>
        <v/>
      </c>
      <c r="G672" s="82"/>
      <c r="H672" s="83" t="str">
        <f aca="false">_xlfn.IFNA(VLOOKUP(G672,Table14543[],2,FALSE()),"")</f>
        <v/>
      </c>
      <c r="I672" s="84" t="str">
        <f aca="false">_xlfn.IFNA(VLOOKUP(G672,Table14543[],3,FALSE()),"")</f>
        <v/>
      </c>
      <c r="J672" s="83" t="str">
        <f aca="false">CONCATENATE("",G672,""," ",H672," ",I672)</f>
        <v>  </v>
      </c>
      <c r="K672" s="85"/>
      <c r="L672" s="86"/>
      <c r="M672" s="86"/>
      <c r="N672" s="86" t="n">
        <f aca="false">L672*M672</f>
        <v>0</v>
      </c>
      <c r="O672" s="86"/>
      <c r="P672" s="87" t="n">
        <f aca="false">(M672*L672)+O672</f>
        <v>0</v>
      </c>
      <c r="Q672" s="91"/>
    </row>
    <row r="673" customFormat="false" ht="14.25" hidden="false" customHeight="false" outlineLevel="0" collapsed="false">
      <c r="A673" s="77"/>
      <c r="B673" s="78"/>
      <c r="C673" s="79"/>
      <c r="D673" s="80" t="str">
        <f aca="false">_xlfn.IFNA(VLOOKUP(C673,'بيانات الآليات '!A:G,4,FALSE()),"")</f>
        <v/>
      </c>
      <c r="E673" s="81" t="str">
        <f aca="false">_xlfn.IFNA(VLOOKUP(C673,'بيانات الآليات '!A:G,2,FALSE()),"")</f>
        <v/>
      </c>
      <c r="F673" s="81" t="str">
        <f aca="false">_xlfn.IFNA(VLOOKUP(C673,'بيانات الآليات '!A:G,5,FALSE()),"")</f>
        <v/>
      </c>
      <c r="G673" s="82"/>
      <c r="H673" s="83" t="str">
        <f aca="false">_xlfn.IFNA(VLOOKUP(G673,Table14543[],2,FALSE()),"")</f>
        <v/>
      </c>
      <c r="I673" s="84" t="str">
        <f aca="false">_xlfn.IFNA(VLOOKUP(G673,Table14543[],3,FALSE()),"")</f>
        <v/>
      </c>
      <c r="J673" s="83" t="str">
        <f aca="false">CONCATENATE("",G673,""," ",H673," ",I673)</f>
        <v>  </v>
      </c>
      <c r="K673" s="85"/>
      <c r="L673" s="86"/>
      <c r="M673" s="86"/>
      <c r="N673" s="86" t="n">
        <f aca="false">L673*M673</f>
        <v>0</v>
      </c>
      <c r="O673" s="86"/>
      <c r="P673" s="87" t="n">
        <f aca="false">(M673*L673)+O673</f>
        <v>0</v>
      </c>
      <c r="Q673" s="91"/>
    </row>
    <row r="674" customFormat="false" ht="14.25" hidden="false" customHeight="false" outlineLevel="0" collapsed="false">
      <c r="A674" s="77"/>
      <c r="B674" s="78"/>
      <c r="C674" s="79"/>
      <c r="D674" s="80" t="str">
        <f aca="false">_xlfn.IFNA(VLOOKUP(C674,'بيانات الآليات '!A:G,4,FALSE()),"")</f>
        <v/>
      </c>
      <c r="E674" s="81" t="str">
        <f aca="false">_xlfn.IFNA(VLOOKUP(C674,'بيانات الآليات '!A:G,2,FALSE()),"")</f>
        <v/>
      </c>
      <c r="F674" s="81" t="str">
        <f aca="false">_xlfn.IFNA(VLOOKUP(C674,'بيانات الآليات '!A:G,5,FALSE()),"")</f>
        <v/>
      </c>
      <c r="G674" s="82"/>
      <c r="H674" s="83" t="str">
        <f aca="false">_xlfn.IFNA(VLOOKUP(G674,Table14543[],2,FALSE()),"")</f>
        <v/>
      </c>
      <c r="I674" s="84" t="str">
        <f aca="false">_xlfn.IFNA(VLOOKUP(G674,Table14543[],3,FALSE()),"")</f>
        <v/>
      </c>
      <c r="J674" s="83" t="str">
        <f aca="false">CONCATENATE("",G674,""," ",H674," ",I674)</f>
        <v>  </v>
      </c>
      <c r="K674" s="85"/>
      <c r="L674" s="86"/>
      <c r="M674" s="86"/>
      <c r="N674" s="86" t="n">
        <f aca="false">L674*M674</f>
        <v>0</v>
      </c>
      <c r="O674" s="86"/>
      <c r="P674" s="87" t="n">
        <f aca="false">(M674*L674)+O674</f>
        <v>0</v>
      </c>
      <c r="Q674" s="91"/>
    </row>
    <row r="675" customFormat="false" ht="14.25" hidden="false" customHeight="false" outlineLevel="0" collapsed="false">
      <c r="A675" s="77"/>
      <c r="B675" s="78"/>
      <c r="C675" s="79"/>
      <c r="D675" s="80" t="str">
        <f aca="false">_xlfn.IFNA(VLOOKUP(C675,'بيانات الآليات '!A:G,4,FALSE()),"")</f>
        <v/>
      </c>
      <c r="E675" s="81" t="str">
        <f aca="false">_xlfn.IFNA(VLOOKUP(C675,'بيانات الآليات '!A:G,2,FALSE()),"")</f>
        <v/>
      </c>
      <c r="F675" s="81" t="str">
        <f aca="false">_xlfn.IFNA(VLOOKUP(C675,'بيانات الآليات '!A:G,5,FALSE()),"")</f>
        <v/>
      </c>
      <c r="G675" s="82"/>
      <c r="H675" s="83" t="str">
        <f aca="false">_xlfn.IFNA(VLOOKUP(G675,Table14543[],2,FALSE()),"")</f>
        <v/>
      </c>
      <c r="I675" s="84" t="str">
        <f aca="false">_xlfn.IFNA(VLOOKUP(G675,Table14543[],3,FALSE()),"")</f>
        <v/>
      </c>
      <c r="J675" s="83" t="str">
        <f aca="false">CONCATENATE("",G675,""," ",H675," ",I675)</f>
        <v>  </v>
      </c>
      <c r="K675" s="85"/>
      <c r="L675" s="86"/>
      <c r="M675" s="86"/>
      <c r="N675" s="86" t="n">
        <f aca="false">L675*M675</f>
        <v>0</v>
      </c>
      <c r="O675" s="86"/>
      <c r="P675" s="87" t="n">
        <f aca="false">(M675*L675)+O675</f>
        <v>0</v>
      </c>
      <c r="Q675" s="91"/>
    </row>
    <row r="676" customFormat="false" ht="14.25" hidden="false" customHeight="false" outlineLevel="0" collapsed="false">
      <c r="A676" s="77"/>
      <c r="B676" s="78"/>
      <c r="C676" s="79"/>
      <c r="D676" s="80" t="str">
        <f aca="false">_xlfn.IFNA(VLOOKUP(C676,'بيانات الآليات '!A:G,4,FALSE()),"")</f>
        <v/>
      </c>
      <c r="E676" s="81" t="str">
        <f aca="false">_xlfn.IFNA(VLOOKUP(C676,'بيانات الآليات '!A:G,2,FALSE()),"")</f>
        <v/>
      </c>
      <c r="F676" s="81" t="str">
        <f aca="false">_xlfn.IFNA(VLOOKUP(C676,'بيانات الآليات '!A:G,5,FALSE()),"")</f>
        <v/>
      </c>
      <c r="G676" s="82"/>
      <c r="H676" s="83" t="str">
        <f aca="false">_xlfn.IFNA(VLOOKUP(G676,Table14543[],2,FALSE()),"")</f>
        <v/>
      </c>
      <c r="I676" s="84" t="str">
        <f aca="false">_xlfn.IFNA(VLOOKUP(G676,Table14543[],3,FALSE()),"")</f>
        <v/>
      </c>
      <c r="J676" s="83" t="str">
        <f aca="false">CONCATENATE("",G676,""," ",H676," ",I676)</f>
        <v>  </v>
      </c>
      <c r="K676" s="85"/>
      <c r="L676" s="86"/>
      <c r="M676" s="86"/>
      <c r="N676" s="86" t="n">
        <f aca="false">L676*M676</f>
        <v>0</v>
      </c>
      <c r="O676" s="86"/>
      <c r="P676" s="87" t="n">
        <f aca="false">(M676*L676)+O676</f>
        <v>0</v>
      </c>
      <c r="Q676" s="91"/>
    </row>
    <row r="677" customFormat="false" ht="14.25" hidden="false" customHeight="false" outlineLevel="0" collapsed="false">
      <c r="A677" s="77"/>
      <c r="B677" s="78"/>
      <c r="C677" s="79"/>
      <c r="D677" s="80" t="str">
        <f aca="false">_xlfn.IFNA(VLOOKUP(C677,'بيانات الآليات '!A:G,4,FALSE()),"")</f>
        <v/>
      </c>
      <c r="E677" s="81" t="str">
        <f aca="false">_xlfn.IFNA(VLOOKUP(C677,'بيانات الآليات '!A:G,2,FALSE()),"")</f>
        <v/>
      </c>
      <c r="F677" s="81" t="str">
        <f aca="false">_xlfn.IFNA(VLOOKUP(C677,'بيانات الآليات '!A:G,5,FALSE()),"")</f>
        <v/>
      </c>
      <c r="G677" s="82"/>
      <c r="H677" s="83" t="str">
        <f aca="false">_xlfn.IFNA(VLOOKUP(G677,Table14543[],2,FALSE()),"")</f>
        <v/>
      </c>
      <c r="I677" s="84" t="str">
        <f aca="false">_xlfn.IFNA(VLOOKUP(G677,Table14543[],3,FALSE()),"")</f>
        <v/>
      </c>
      <c r="J677" s="83" t="str">
        <f aca="false">CONCATENATE("",G677,""," ",H677," ",I677)</f>
        <v>  </v>
      </c>
      <c r="K677" s="85"/>
      <c r="L677" s="86"/>
      <c r="M677" s="86"/>
      <c r="N677" s="86" t="n">
        <f aca="false">L677*M677</f>
        <v>0</v>
      </c>
      <c r="O677" s="86"/>
      <c r="P677" s="87" t="n">
        <f aca="false">(M677*L677)+O677</f>
        <v>0</v>
      </c>
      <c r="Q677" s="91"/>
    </row>
    <row r="678" customFormat="false" ht="14.25" hidden="false" customHeight="false" outlineLevel="0" collapsed="false">
      <c r="A678" s="77"/>
      <c r="B678" s="78"/>
      <c r="C678" s="79"/>
      <c r="D678" s="80" t="str">
        <f aca="false">_xlfn.IFNA(VLOOKUP(C678,'بيانات الآليات '!A:G,4,FALSE()),"")</f>
        <v/>
      </c>
      <c r="E678" s="81" t="str">
        <f aca="false">_xlfn.IFNA(VLOOKUP(C678,'بيانات الآليات '!A:G,2,FALSE()),"")</f>
        <v/>
      </c>
      <c r="F678" s="81" t="str">
        <f aca="false">_xlfn.IFNA(VLOOKUP(C678,'بيانات الآليات '!A:G,5,FALSE()),"")</f>
        <v/>
      </c>
      <c r="G678" s="82"/>
      <c r="H678" s="83" t="str">
        <f aca="false">_xlfn.IFNA(VLOOKUP(G678,Table14543[],2,FALSE()),"")</f>
        <v/>
      </c>
      <c r="I678" s="84" t="str">
        <f aca="false">_xlfn.IFNA(VLOOKUP(G678,Table14543[],3,FALSE()),"")</f>
        <v/>
      </c>
      <c r="J678" s="83" t="str">
        <f aca="false">CONCATENATE("",G678,""," ",H678," ",I678)</f>
        <v>  </v>
      </c>
      <c r="K678" s="85"/>
      <c r="L678" s="86"/>
      <c r="M678" s="86"/>
      <c r="N678" s="86" t="n">
        <f aca="false">L678*M678</f>
        <v>0</v>
      </c>
      <c r="O678" s="86"/>
      <c r="P678" s="87" t="n">
        <f aca="false">(M678*L678)+O678</f>
        <v>0</v>
      </c>
      <c r="Q678" s="91"/>
    </row>
    <row r="679" customFormat="false" ht="14.25" hidden="false" customHeight="false" outlineLevel="0" collapsed="false">
      <c r="A679" s="77"/>
      <c r="B679" s="78"/>
      <c r="C679" s="79"/>
      <c r="D679" s="80" t="str">
        <f aca="false">_xlfn.IFNA(VLOOKUP(C679,'بيانات الآليات '!A:G,4,FALSE()),"")</f>
        <v/>
      </c>
      <c r="E679" s="81" t="str">
        <f aca="false">_xlfn.IFNA(VLOOKUP(C679,'بيانات الآليات '!A:G,2,FALSE()),"")</f>
        <v/>
      </c>
      <c r="F679" s="81" t="str">
        <f aca="false">_xlfn.IFNA(VLOOKUP(C679,'بيانات الآليات '!A:G,5,FALSE()),"")</f>
        <v/>
      </c>
      <c r="G679" s="82"/>
      <c r="H679" s="83" t="str">
        <f aca="false">_xlfn.IFNA(VLOOKUP(G679,Table14543[],2,FALSE()),"")</f>
        <v/>
      </c>
      <c r="I679" s="84" t="str">
        <f aca="false">_xlfn.IFNA(VLOOKUP(G679,Table14543[],3,FALSE()),"")</f>
        <v/>
      </c>
      <c r="J679" s="83" t="str">
        <f aca="false">CONCATENATE("",G679,""," ",H679," ",I679)</f>
        <v>  </v>
      </c>
      <c r="K679" s="85"/>
      <c r="L679" s="86"/>
      <c r="M679" s="86"/>
      <c r="N679" s="86" t="n">
        <f aca="false">L679*M679</f>
        <v>0</v>
      </c>
      <c r="O679" s="86"/>
      <c r="P679" s="87" t="n">
        <f aca="false">(M679*L679)+O679</f>
        <v>0</v>
      </c>
      <c r="Q679" s="91"/>
    </row>
    <row r="680" customFormat="false" ht="14.25" hidden="false" customHeight="false" outlineLevel="0" collapsed="false">
      <c r="A680" s="77"/>
      <c r="B680" s="78"/>
      <c r="C680" s="79"/>
      <c r="D680" s="80" t="str">
        <f aca="false">_xlfn.IFNA(VLOOKUP(C680,'بيانات الآليات '!A:G,4,FALSE()),"")</f>
        <v/>
      </c>
      <c r="E680" s="81" t="str">
        <f aca="false">_xlfn.IFNA(VLOOKUP(C680,'بيانات الآليات '!A:G,2,FALSE()),"")</f>
        <v/>
      </c>
      <c r="F680" s="81" t="str">
        <f aca="false">_xlfn.IFNA(VLOOKUP(C680,'بيانات الآليات '!A:G,5,FALSE()),"")</f>
        <v/>
      </c>
      <c r="G680" s="82"/>
      <c r="H680" s="83" t="str">
        <f aca="false">_xlfn.IFNA(VLOOKUP(G680,Table14543[],2,FALSE()),"")</f>
        <v/>
      </c>
      <c r="I680" s="84" t="str">
        <f aca="false">_xlfn.IFNA(VLOOKUP(G680,Table14543[],3,FALSE()),"")</f>
        <v/>
      </c>
      <c r="J680" s="83" t="str">
        <f aca="false">CONCATENATE("",G680,""," ",H680," ",I680)</f>
        <v>  </v>
      </c>
      <c r="K680" s="85"/>
      <c r="L680" s="86"/>
      <c r="M680" s="86"/>
      <c r="N680" s="86" t="n">
        <f aca="false">L680*M680</f>
        <v>0</v>
      </c>
      <c r="O680" s="86"/>
      <c r="P680" s="87" t="n">
        <f aca="false">(M680*L680)+O680</f>
        <v>0</v>
      </c>
      <c r="Q680" s="91"/>
    </row>
    <row r="681" customFormat="false" ht="14.25" hidden="false" customHeight="false" outlineLevel="0" collapsed="false">
      <c r="A681" s="77"/>
      <c r="B681" s="78"/>
      <c r="C681" s="79"/>
      <c r="D681" s="80" t="str">
        <f aca="false">_xlfn.IFNA(VLOOKUP(C681,'بيانات الآليات '!A:G,4,FALSE()),"")</f>
        <v/>
      </c>
      <c r="E681" s="81" t="str">
        <f aca="false">_xlfn.IFNA(VLOOKUP(C681,'بيانات الآليات '!A:G,2,FALSE()),"")</f>
        <v/>
      </c>
      <c r="F681" s="81" t="str">
        <f aca="false">_xlfn.IFNA(VLOOKUP(C681,'بيانات الآليات '!A:G,5,FALSE()),"")</f>
        <v/>
      </c>
      <c r="G681" s="82"/>
      <c r="H681" s="83" t="str">
        <f aca="false">_xlfn.IFNA(VLOOKUP(G681,Table14543[],2,FALSE()),"")</f>
        <v/>
      </c>
      <c r="I681" s="84" t="str">
        <f aca="false">_xlfn.IFNA(VLOOKUP(G681,Table14543[],3,FALSE()),"")</f>
        <v/>
      </c>
      <c r="J681" s="83" t="str">
        <f aca="false">CONCATENATE("",G681,""," ",H681," ",I681)</f>
        <v>  </v>
      </c>
      <c r="K681" s="85"/>
      <c r="L681" s="86"/>
      <c r="M681" s="86"/>
      <c r="N681" s="86" t="n">
        <f aca="false">L681*M681</f>
        <v>0</v>
      </c>
      <c r="O681" s="86"/>
      <c r="P681" s="87" t="n">
        <f aca="false">(M681*L681)+O681</f>
        <v>0</v>
      </c>
      <c r="Q681" s="91"/>
    </row>
    <row r="682" customFormat="false" ht="14.25" hidden="false" customHeight="false" outlineLevel="0" collapsed="false">
      <c r="A682" s="77"/>
      <c r="B682" s="78"/>
      <c r="C682" s="79"/>
      <c r="D682" s="80" t="str">
        <f aca="false">_xlfn.IFNA(VLOOKUP(C682,'بيانات الآليات '!A:G,4,FALSE()),"")</f>
        <v/>
      </c>
      <c r="E682" s="81" t="str">
        <f aca="false">_xlfn.IFNA(VLOOKUP(C682,'بيانات الآليات '!A:G,2,FALSE()),"")</f>
        <v/>
      </c>
      <c r="F682" s="81" t="str">
        <f aca="false">_xlfn.IFNA(VLOOKUP(C682,'بيانات الآليات '!A:G,5,FALSE()),"")</f>
        <v/>
      </c>
      <c r="G682" s="82"/>
      <c r="H682" s="83" t="str">
        <f aca="false">_xlfn.IFNA(VLOOKUP(G682,Table14543[],2,FALSE()),"")</f>
        <v/>
      </c>
      <c r="I682" s="84" t="str">
        <f aca="false">_xlfn.IFNA(VLOOKUP(G682,Table14543[],3,FALSE()),"")</f>
        <v/>
      </c>
      <c r="J682" s="83" t="str">
        <f aca="false">CONCATENATE("",G682,""," ",H682," ",I682)</f>
        <v>  </v>
      </c>
      <c r="K682" s="85"/>
      <c r="L682" s="86"/>
      <c r="M682" s="86"/>
      <c r="N682" s="86" t="n">
        <f aca="false">L682*M682</f>
        <v>0</v>
      </c>
      <c r="O682" s="86"/>
      <c r="P682" s="87" t="n">
        <f aca="false">(M682*L682)+O682</f>
        <v>0</v>
      </c>
      <c r="Q682" s="91"/>
    </row>
    <row r="683" customFormat="false" ht="14.25" hidden="false" customHeight="false" outlineLevel="0" collapsed="false">
      <c r="A683" s="77"/>
      <c r="B683" s="78"/>
      <c r="C683" s="79"/>
      <c r="D683" s="80" t="str">
        <f aca="false">_xlfn.IFNA(VLOOKUP(C683,'بيانات الآليات '!A:G,4,FALSE()),"")</f>
        <v/>
      </c>
      <c r="E683" s="81" t="str">
        <f aca="false">_xlfn.IFNA(VLOOKUP(C683,'بيانات الآليات '!A:G,2,FALSE()),"")</f>
        <v/>
      </c>
      <c r="F683" s="81" t="str">
        <f aca="false">_xlfn.IFNA(VLOOKUP(C683,'بيانات الآليات '!A:G,5,FALSE()),"")</f>
        <v/>
      </c>
      <c r="G683" s="82"/>
      <c r="H683" s="83" t="str">
        <f aca="false">_xlfn.IFNA(VLOOKUP(G683,Table14543[],2,FALSE()),"")</f>
        <v/>
      </c>
      <c r="I683" s="84" t="str">
        <f aca="false">_xlfn.IFNA(VLOOKUP(G683,Table14543[],3,FALSE()),"")</f>
        <v/>
      </c>
      <c r="J683" s="83" t="str">
        <f aca="false">CONCATENATE("",G683,""," ",H683," ",I683)</f>
        <v>  </v>
      </c>
      <c r="K683" s="85"/>
      <c r="L683" s="86"/>
      <c r="M683" s="86"/>
      <c r="N683" s="86" t="n">
        <f aca="false">L683*M683</f>
        <v>0</v>
      </c>
      <c r="O683" s="86"/>
      <c r="P683" s="87" t="n">
        <f aca="false">(M683*L683)+O683</f>
        <v>0</v>
      </c>
      <c r="Q683" s="91"/>
    </row>
    <row r="684" customFormat="false" ht="14.25" hidden="false" customHeight="false" outlineLevel="0" collapsed="false">
      <c r="A684" s="77"/>
      <c r="B684" s="78"/>
      <c r="C684" s="79"/>
      <c r="D684" s="80" t="str">
        <f aca="false">_xlfn.IFNA(VLOOKUP(C684,'بيانات الآليات '!A:G,4,FALSE()),"")</f>
        <v/>
      </c>
      <c r="E684" s="81" t="str">
        <f aca="false">_xlfn.IFNA(VLOOKUP(C684,'بيانات الآليات '!A:G,2,FALSE()),"")</f>
        <v/>
      </c>
      <c r="F684" s="81" t="str">
        <f aca="false">_xlfn.IFNA(VLOOKUP(C684,'بيانات الآليات '!A:G,5,FALSE()),"")</f>
        <v/>
      </c>
      <c r="G684" s="82"/>
      <c r="H684" s="83" t="str">
        <f aca="false">_xlfn.IFNA(VLOOKUP(G684,Table14543[],2,FALSE()),"")</f>
        <v/>
      </c>
      <c r="I684" s="84" t="str">
        <f aca="false">_xlfn.IFNA(VLOOKUP(G684,Table14543[],3,FALSE()),"")</f>
        <v/>
      </c>
      <c r="J684" s="83" t="str">
        <f aca="false">CONCATENATE("",G684,""," ",H684," ",I684)</f>
        <v>  </v>
      </c>
      <c r="K684" s="85"/>
      <c r="L684" s="86"/>
      <c r="M684" s="86"/>
      <c r="N684" s="86" t="n">
        <f aca="false">L684*M684</f>
        <v>0</v>
      </c>
      <c r="O684" s="86"/>
      <c r="P684" s="87" t="n">
        <f aca="false">(M684*L684)+O684</f>
        <v>0</v>
      </c>
      <c r="Q684" s="91"/>
    </row>
    <row r="685" customFormat="false" ht="14.25" hidden="false" customHeight="false" outlineLevel="0" collapsed="false">
      <c r="A685" s="77"/>
      <c r="B685" s="78"/>
      <c r="C685" s="79"/>
      <c r="D685" s="80" t="str">
        <f aca="false">_xlfn.IFNA(VLOOKUP(C685,'بيانات الآليات '!A:G,4,FALSE()),"")</f>
        <v/>
      </c>
      <c r="E685" s="81" t="str">
        <f aca="false">_xlfn.IFNA(VLOOKUP(C685,'بيانات الآليات '!A:G,2,FALSE()),"")</f>
        <v/>
      </c>
      <c r="F685" s="81" t="str">
        <f aca="false">_xlfn.IFNA(VLOOKUP(C685,'بيانات الآليات '!A:G,5,FALSE()),"")</f>
        <v/>
      </c>
      <c r="G685" s="82"/>
      <c r="H685" s="83" t="str">
        <f aca="false">_xlfn.IFNA(VLOOKUP(G685,Table14543[],2,FALSE()),"")</f>
        <v/>
      </c>
      <c r="I685" s="84" t="str">
        <f aca="false">_xlfn.IFNA(VLOOKUP(G685,Table14543[],3,FALSE()),"")</f>
        <v/>
      </c>
      <c r="J685" s="83" t="str">
        <f aca="false">CONCATENATE("",G685,""," ",H685," ",I685)</f>
        <v>  </v>
      </c>
      <c r="K685" s="85"/>
      <c r="L685" s="86"/>
      <c r="M685" s="86"/>
      <c r="N685" s="86" t="n">
        <f aca="false">L685*M685</f>
        <v>0</v>
      </c>
      <c r="O685" s="86"/>
      <c r="P685" s="87" t="n">
        <f aca="false">(M685*L685)+O685</f>
        <v>0</v>
      </c>
      <c r="Q685" s="91"/>
    </row>
    <row r="686" customFormat="false" ht="14.25" hidden="false" customHeight="false" outlineLevel="0" collapsed="false">
      <c r="A686" s="77"/>
      <c r="B686" s="78"/>
      <c r="C686" s="79"/>
      <c r="D686" s="80" t="str">
        <f aca="false">_xlfn.IFNA(VLOOKUP(C686,'بيانات الآليات '!A:G,4,FALSE()),"")</f>
        <v/>
      </c>
      <c r="E686" s="81" t="str">
        <f aca="false">_xlfn.IFNA(VLOOKUP(C686,'بيانات الآليات '!A:G,2,FALSE()),"")</f>
        <v/>
      </c>
      <c r="F686" s="81" t="str">
        <f aca="false">_xlfn.IFNA(VLOOKUP(C686,'بيانات الآليات '!A:G,5,FALSE()),"")</f>
        <v/>
      </c>
      <c r="G686" s="82"/>
      <c r="H686" s="83" t="str">
        <f aca="false">_xlfn.IFNA(VLOOKUP(G686,Table14543[],2,FALSE()),"")</f>
        <v/>
      </c>
      <c r="I686" s="84" t="str">
        <f aca="false">_xlfn.IFNA(VLOOKUP(G686,Table14543[],3,FALSE()),"")</f>
        <v/>
      </c>
      <c r="J686" s="83" t="str">
        <f aca="false">CONCATENATE("",G686,""," ",H686," ",I686)</f>
        <v>  </v>
      </c>
      <c r="K686" s="85"/>
      <c r="L686" s="86"/>
      <c r="M686" s="86"/>
      <c r="N686" s="86" t="n">
        <f aca="false">L686*M686</f>
        <v>0</v>
      </c>
      <c r="O686" s="86"/>
      <c r="P686" s="87" t="n">
        <f aca="false">(M686*L686)+O686</f>
        <v>0</v>
      </c>
      <c r="Q686" s="91"/>
    </row>
    <row r="687" customFormat="false" ht="14.25" hidden="false" customHeight="false" outlineLevel="0" collapsed="false">
      <c r="A687" s="77"/>
      <c r="B687" s="78"/>
      <c r="C687" s="79"/>
      <c r="D687" s="80" t="str">
        <f aca="false">_xlfn.IFNA(VLOOKUP(C687,'بيانات الآليات '!A:G,4,FALSE()),"")</f>
        <v/>
      </c>
      <c r="E687" s="81" t="str">
        <f aca="false">_xlfn.IFNA(VLOOKUP(C687,'بيانات الآليات '!A:G,2,FALSE()),"")</f>
        <v/>
      </c>
      <c r="F687" s="81" t="str">
        <f aca="false">_xlfn.IFNA(VLOOKUP(C687,'بيانات الآليات '!A:G,5,FALSE()),"")</f>
        <v/>
      </c>
      <c r="G687" s="82"/>
      <c r="H687" s="83" t="str">
        <f aca="false">_xlfn.IFNA(VLOOKUP(G687,Table14543[],2,FALSE()),"")</f>
        <v/>
      </c>
      <c r="I687" s="84" t="str">
        <f aca="false">_xlfn.IFNA(VLOOKUP(G687,Table14543[],3,FALSE()),"")</f>
        <v/>
      </c>
      <c r="J687" s="83" t="str">
        <f aca="false">CONCATENATE("",G687,""," ",H687," ",I687)</f>
        <v>  </v>
      </c>
      <c r="K687" s="85"/>
      <c r="L687" s="86"/>
      <c r="M687" s="86"/>
      <c r="N687" s="86" t="n">
        <f aca="false">L687*M687</f>
        <v>0</v>
      </c>
      <c r="O687" s="86"/>
      <c r="P687" s="87" t="n">
        <f aca="false">(M687*L687)+O687</f>
        <v>0</v>
      </c>
      <c r="Q687" s="91"/>
    </row>
    <row r="688" customFormat="false" ht="14.25" hidden="false" customHeight="false" outlineLevel="0" collapsed="false">
      <c r="A688" s="77"/>
      <c r="B688" s="78"/>
      <c r="C688" s="79"/>
      <c r="D688" s="80" t="str">
        <f aca="false">_xlfn.IFNA(VLOOKUP(C688,'بيانات الآليات '!A:G,4,FALSE()),"")</f>
        <v/>
      </c>
      <c r="E688" s="81" t="str">
        <f aca="false">_xlfn.IFNA(VLOOKUP(C688,'بيانات الآليات '!A:G,2,FALSE()),"")</f>
        <v/>
      </c>
      <c r="F688" s="81" t="str">
        <f aca="false">_xlfn.IFNA(VLOOKUP(C688,'بيانات الآليات '!A:G,5,FALSE()),"")</f>
        <v/>
      </c>
      <c r="G688" s="82"/>
      <c r="H688" s="83" t="str">
        <f aca="false">_xlfn.IFNA(VLOOKUP(G688,Table14543[],2,FALSE()),"")</f>
        <v/>
      </c>
      <c r="I688" s="84" t="str">
        <f aca="false">_xlfn.IFNA(VLOOKUP(G688,Table14543[],3,FALSE()),"")</f>
        <v/>
      </c>
      <c r="J688" s="83" t="str">
        <f aca="false">CONCATENATE("",G688,""," ",H688," ",I688)</f>
        <v>  </v>
      </c>
      <c r="K688" s="85"/>
      <c r="L688" s="86"/>
      <c r="M688" s="86"/>
      <c r="N688" s="86" t="n">
        <f aca="false">L688*M688</f>
        <v>0</v>
      </c>
      <c r="O688" s="86"/>
      <c r="P688" s="87" t="n">
        <f aca="false">(M688*L688)+O688</f>
        <v>0</v>
      </c>
      <c r="Q688" s="91"/>
    </row>
    <row r="689" customFormat="false" ht="14.25" hidden="false" customHeight="false" outlineLevel="0" collapsed="false">
      <c r="A689" s="77"/>
      <c r="B689" s="78"/>
      <c r="C689" s="79"/>
      <c r="D689" s="80" t="str">
        <f aca="false">_xlfn.IFNA(VLOOKUP(C689,'بيانات الآليات '!A:G,4,FALSE()),"")</f>
        <v/>
      </c>
      <c r="E689" s="81" t="str">
        <f aca="false">_xlfn.IFNA(VLOOKUP(C689,'بيانات الآليات '!A:G,2,FALSE()),"")</f>
        <v/>
      </c>
      <c r="F689" s="81" t="str">
        <f aca="false">_xlfn.IFNA(VLOOKUP(C689,'بيانات الآليات '!A:G,5,FALSE()),"")</f>
        <v/>
      </c>
      <c r="G689" s="82"/>
      <c r="H689" s="83" t="str">
        <f aca="false">_xlfn.IFNA(VLOOKUP(G689,Table14543[],2,FALSE()),"")</f>
        <v/>
      </c>
      <c r="I689" s="84" t="str">
        <f aca="false">_xlfn.IFNA(VLOOKUP(G689,Table14543[],3,FALSE()),"")</f>
        <v/>
      </c>
      <c r="J689" s="83" t="str">
        <f aca="false">CONCATENATE("",G689,""," ",H689," ",I689)</f>
        <v>  </v>
      </c>
      <c r="K689" s="85"/>
      <c r="L689" s="86"/>
      <c r="M689" s="86"/>
      <c r="N689" s="86" t="n">
        <f aca="false">L689*M689</f>
        <v>0</v>
      </c>
      <c r="O689" s="86"/>
      <c r="P689" s="87" t="n">
        <f aca="false">(M689*L689)+O689</f>
        <v>0</v>
      </c>
      <c r="Q689" s="91"/>
    </row>
    <row r="690" customFormat="false" ht="14.25" hidden="false" customHeight="false" outlineLevel="0" collapsed="false">
      <c r="A690" s="77"/>
      <c r="B690" s="78"/>
      <c r="C690" s="79"/>
      <c r="D690" s="80" t="str">
        <f aca="false">_xlfn.IFNA(VLOOKUP(C690,'بيانات الآليات '!A:G,4,FALSE()),"")</f>
        <v/>
      </c>
      <c r="E690" s="81" t="str">
        <f aca="false">_xlfn.IFNA(VLOOKUP(C690,'بيانات الآليات '!A:G,2,FALSE()),"")</f>
        <v/>
      </c>
      <c r="F690" s="81" t="str">
        <f aca="false">_xlfn.IFNA(VLOOKUP(C690,'بيانات الآليات '!A:G,5,FALSE()),"")</f>
        <v/>
      </c>
      <c r="G690" s="82"/>
      <c r="H690" s="83" t="str">
        <f aca="false">_xlfn.IFNA(VLOOKUP(G690,Table14543[],2,FALSE()),"")</f>
        <v/>
      </c>
      <c r="I690" s="84" t="str">
        <f aca="false">_xlfn.IFNA(VLOOKUP(G690,Table14543[],3,FALSE()),"")</f>
        <v/>
      </c>
      <c r="J690" s="83" t="str">
        <f aca="false">CONCATENATE("",G690,""," ",H690," ",I690)</f>
        <v>  </v>
      </c>
      <c r="K690" s="85"/>
      <c r="L690" s="86"/>
      <c r="M690" s="86"/>
      <c r="N690" s="86" t="n">
        <f aca="false">L690*M690</f>
        <v>0</v>
      </c>
      <c r="O690" s="86"/>
      <c r="P690" s="87" t="n">
        <f aca="false">(M690*L690)+O690</f>
        <v>0</v>
      </c>
      <c r="Q690" s="91"/>
    </row>
    <row r="691" customFormat="false" ht="14.25" hidden="false" customHeight="false" outlineLevel="0" collapsed="false">
      <c r="A691" s="77"/>
      <c r="B691" s="78"/>
      <c r="C691" s="79"/>
      <c r="D691" s="80" t="str">
        <f aca="false">_xlfn.IFNA(VLOOKUP(C691,'بيانات الآليات '!A:G,4,FALSE()),"")</f>
        <v/>
      </c>
      <c r="E691" s="81" t="str">
        <f aca="false">_xlfn.IFNA(VLOOKUP(C691,'بيانات الآليات '!A:G,2,FALSE()),"")</f>
        <v/>
      </c>
      <c r="F691" s="81" t="str">
        <f aca="false">_xlfn.IFNA(VLOOKUP(C691,'بيانات الآليات '!A:G,5,FALSE()),"")</f>
        <v/>
      </c>
      <c r="G691" s="82"/>
      <c r="H691" s="83" t="str">
        <f aca="false">_xlfn.IFNA(VLOOKUP(G691,Table14543[],2,FALSE()),"")</f>
        <v/>
      </c>
      <c r="I691" s="84" t="str">
        <f aca="false">_xlfn.IFNA(VLOOKUP(G691,Table14543[],3,FALSE()),"")</f>
        <v/>
      </c>
      <c r="J691" s="83" t="str">
        <f aca="false">CONCATENATE("",G691,""," ",H691," ",I691)</f>
        <v>  </v>
      </c>
      <c r="K691" s="85"/>
      <c r="L691" s="86"/>
      <c r="M691" s="86"/>
      <c r="N691" s="86" t="n">
        <f aca="false">L691*M691</f>
        <v>0</v>
      </c>
      <c r="O691" s="86"/>
      <c r="P691" s="87" t="n">
        <f aca="false">(M691*L691)+O691</f>
        <v>0</v>
      </c>
      <c r="Q691" s="91"/>
    </row>
    <row r="692" customFormat="false" ht="14.25" hidden="false" customHeight="false" outlineLevel="0" collapsed="false">
      <c r="A692" s="77"/>
      <c r="B692" s="78"/>
      <c r="C692" s="79"/>
      <c r="D692" s="80" t="str">
        <f aca="false">_xlfn.IFNA(VLOOKUP(C692,'بيانات الآليات '!A:G,4,FALSE()),"")</f>
        <v/>
      </c>
      <c r="E692" s="81" t="str">
        <f aca="false">_xlfn.IFNA(VLOOKUP(C692,'بيانات الآليات '!A:G,2,FALSE()),"")</f>
        <v/>
      </c>
      <c r="F692" s="81" t="str">
        <f aca="false">_xlfn.IFNA(VLOOKUP(C692,'بيانات الآليات '!A:G,5,FALSE()),"")</f>
        <v/>
      </c>
      <c r="G692" s="82"/>
      <c r="H692" s="83" t="str">
        <f aca="false">_xlfn.IFNA(VLOOKUP(G692,Table14543[],2,FALSE()),"")</f>
        <v/>
      </c>
      <c r="I692" s="84" t="str">
        <f aca="false">_xlfn.IFNA(VLOOKUP(G692,Table14543[],3,FALSE()),"")</f>
        <v/>
      </c>
      <c r="J692" s="83" t="str">
        <f aca="false">CONCATENATE("",G692,""," ",H692," ",I692)</f>
        <v>  </v>
      </c>
      <c r="K692" s="85"/>
      <c r="L692" s="86"/>
      <c r="M692" s="86"/>
      <c r="N692" s="86" t="n">
        <f aca="false">L692*M692</f>
        <v>0</v>
      </c>
      <c r="O692" s="86"/>
      <c r="P692" s="87" t="n">
        <f aca="false">(M692*L692)+O692</f>
        <v>0</v>
      </c>
      <c r="Q692" s="91"/>
    </row>
    <row r="693" customFormat="false" ht="14.25" hidden="false" customHeight="false" outlineLevel="0" collapsed="false">
      <c r="A693" s="77"/>
      <c r="B693" s="78"/>
      <c r="C693" s="79"/>
      <c r="D693" s="80" t="str">
        <f aca="false">_xlfn.IFNA(VLOOKUP(C693,'بيانات الآليات '!A:G,4,FALSE()),"")</f>
        <v/>
      </c>
      <c r="E693" s="81" t="str">
        <f aca="false">_xlfn.IFNA(VLOOKUP(C693,'بيانات الآليات '!A:G,2,FALSE()),"")</f>
        <v/>
      </c>
      <c r="F693" s="81" t="str">
        <f aca="false">_xlfn.IFNA(VLOOKUP(C693,'بيانات الآليات '!A:G,5,FALSE()),"")</f>
        <v/>
      </c>
      <c r="G693" s="82"/>
      <c r="H693" s="83" t="str">
        <f aca="false">_xlfn.IFNA(VLOOKUP(G693,Table14543[],2,FALSE()),"")</f>
        <v/>
      </c>
      <c r="I693" s="84" t="str">
        <f aca="false">_xlfn.IFNA(VLOOKUP(G693,Table14543[],3,FALSE()),"")</f>
        <v/>
      </c>
      <c r="J693" s="83" t="str">
        <f aca="false">CONCATENATE("",G693,""," ",H693," ",I693)</f>
        <v>  </v>
      </c>
      <c r="K693" s="85"/>
      <c r="L693" s="86"/>
      <c r="M693" s="86"/>
      <c r="N693" s="86" t="n">
        <f aca="false">L693*M693</f>
        <v>0</v>
      </c>
      <c r="O693" s="86"/>
      <c r="P693" s="87" t="n">
        <f aca="false">(M693*L693)+O693</f>
        <v>0</v>
      </c>
      <c r="Q693" s="91"/>
    </row>
    <row r="694" customFormat="false" ht="14.25" hidden="false" customHeight="false" outlineLevel="0" collapsed="false">
      <c r="A694" s="77"/>
      <c r="B694" s="78"/>
      <c r="C694" s="79"/>
      <c r="D694" s="80" t="str">
        <f aca="false">_xlfn.IFNA(VLOOKUP(C694,'بيانات الآليات '!A:G,4,FALSE()),"")</f>
        <v/>
      </c>
      <c r="E694" s="81" t="str">
        <f aca="false">_xlfn.IFNA(VLOOKUP(C694,'بيانات الآليات '!A:G,2,FALSE()),"")</f>
        <v/>
      </c>
      <c r="F694" s="81" t="str">
        <f aca="false">_xlfn.IFNA(VLOOKUP(C694,'بيانات الآليات '!A:G,5,FALSE()),"")</f>
        <v/>
      </c>
      <c r="G694" s="82"/>
      <c r="H694" s="83" t="str">
        <f aca="false">_xlfn.IFNA(VLOOKUP(G694,Table14543[],2,FALSE()),"")</f>
        <v/>
      </c>
      <c r="I694" s="84" t="str">
        <f aca="false">_xlfn.IFNA(VLOOKUP(G694,Table14543[],3,FALSE()),"")</f>
        <v/>
      </c>
      <c r="J694" s="83" t="str">
        <f aca="false">CONCATENATE("",G694,""," ",H694," ",I694)</f>
        <v>  </v>
      </c>
      <c r="K694" s="85"/>
      <c r="L694" s="86"/>
      <c r="M694" s="86"/>
      <c r="N694" s="86" t="n">
        <f aca="false">L694*M694</f>
        <v>0</v>
      </c>
      <c r="O694" s="86"/>
      <c r="P694" s="87" t="n">
        <f aca="false">(M694*L694)+O694</f>
        <v>0</v>
      </c>
      <c r="Q694" s="91"/>
    </row>
    <row r="695" customFormat="false" ht="14.25" hidden="false" customHeight="false" outlineLevel="0" collapsed="false">
      <c r="A695" s="77"/>
      <c r="B695" s="78"/>
      <c r="C695" s="79"/>
      <c r="D695" s="80" t="str">
        <f aca="false">_xlfn.IFNA(VLOOKUP(C695,'بيانات الآليات '!A:G,4,FALSE()),"")</f>
        <v/>
      </c>
      <c r="E695" s="81" t="str">
        <f aca="false">_xlfn.IFNA(VLOOKUP(C695,'بيانات الآليات '!A:G,2,FALSE()),"")</f>
        <v/>
      </c>
      <c r="F695" s="81" t="str">
        <f aca="false">_xlfn.IFNA(VLOOKUP(C695,'بيانات الآليات '!A:G,5,FALSE()),"")</f>
        <v/>
      </c>
      <c r="G695" s="82"/>
      <c r="H695" s="83" t="str">
        <f aca="false">_xlfn.IFNA(VLOOKUP(G695,Table14543[],2,FALSE()),"")</f>
        <v/>
      </c>
      <c r="I695" s="84" t="str">
        <f aca="false">_xlfn.IFNA(VLOOKUP(G695,Table14543[],3,FALSE()),"")</f>
        <v/>
      </c>
      <c r="J695" s="83" t="str">
        <f aca="false">CONCATENATE("",G695,""," ",H695," ",I695)</f>
        <v>  </v>
      </c>
      <c r="K695" s="85"/>
      <c r="L695" s="86"/>
      <c r="M695" s="86"/>
      <c r="N695" s="86" t="n">
        <f aca="false">L695*M695</f>
        <v>0</v>
      </c>
      <c r="O695" s="86"/>
      <c r="P695" s="87" t="n">
        <f aca="false">(M695*L695)+O695</f>
        <v>0</v>
      </c>
      <c r="Q695" s="91"/>
    </row>
    <row r="696" customFormat="false" ht="14.25" hidden="false" customHeight="false" outlineLevel="0" collapsed="false">
      <c r="A696" s="77"/>
      <c r="B696" s="78"/>
      <c r="C696" s="79"/>
      <c r="D696" s="80" t="str">
        <f aca="false">_xlfn.IFNA(VLOOKUP(C696,'بيانات الآليات '!A:G,4,FALSE()),"")</f>
        <v/>
      </c>
      <c r="E696" s="81" t="str">
        <f aca="false">_xlfn.IFNA(VLOOKUP(C696,'بيانات الآليات '!A:G,2,FALSE()),"")</f>
        <v/>
      </c>
      <c r="F696" s="81" t="str">
        <f aca="false">_xlfn.IFNA(VLOOKUP(C696,'بيانات الآليات '!A:G,5,FALSE()),"")</f>
        <v/>
      </c>
      <c r="G696" s="82"/>
      <c r="H696" s="83" t="str">
        <f aca="false">_xlfn.IFNA(VLOOKUP(G696,Table14543[],2,FALSE()),"")</f>
        <v/>
      </c>
      <c r="I696" s="84" t="str">
        <f aca="false">_xlfn.IFNA(VLOOKUP(G696,Table14543[],3,FALSE()),"")</f>
        <v/>
      </c>
      <c r="J696" s="83" t="str">
        <f aca="false">CONCATENATE("",G696,""," ",H696," ",I696)</f>
        <v>  </v>
      </c>
      <c r="K696" s="85"/>
      <c r="L696" s="86"/>
      <c r="M696" s="86"/>
      <c r="N696" s="86" t="n">
        <f aca="false">L696*M696</f>
        <v>0</v>
      </c>
      <c r="O696" s="86"/>
      <c r="P696" s="87" t="n">
        <f aca="false">(M696*L696)+O696</f>
        <v>0</v>
      </c>
      <c r="Q696" s="91"/>
    </row>
    <row r="697" customFormat="false" ht="14.25" hidden="false" customHeight="false" outlineLevel="0" collapsed="false">
      <c r="A697" s="77"/>
      <c r="B697" s="78"/>
      <c r="C697" s="79"/>
      <c r="D697" s="80" t="str">
        <f aca="false">_xlfn.IFNA(VLOOKUP(C697,'بيانات الآليات '!A:G,4,FALSE()),"")</f>
        <v/>
      </c>
      <c r="E697" s="81" t="str">
        <f aca="false">_xlfn.IFNA(VLOOKUP(C697,'بيانات الآليات '!A:G,2,FALSE()),"")</f>
        <v/>
      </c>
      <c r="F697" s="81" t="str">
        <f aca="false">_xlfn.IFNA(VLOOKUP(C697,'بيانات الآليات '!A:G,5,FALSE()),"")</f>
        <v/>
      </c>
      <c r="G697" s="82"/>
      <c r="H697" s="83" t="str">
        <f aca="false">_xlfn.IFNA(VLOOKUP(G697,Table14543[],2,FALSE()),"")</f>
        <v/>
      </c>
      <c r="I697" s="84" t="str">
        <f aca="false">_xlfn.IFNA(VLOOKUP(G697,Table14543[],3,FALSE()),"")</f>
        <v/>
      </c>
      <c r="J697" s="83" t="str">
        <f aca="false">CONCATENATE("",G697,""," ",H697," ",I697)</f>
        <v>  </v>
      </c>
      <c r="K697" s="85"/>
      <c r="L697" s="86"/>
      <c r="M697" s="86"/>
      <c r="N697" s="86" t="n">
        <f aca="false">L697*M697</f>
        <v>0</v>
      </c>
      <c r="O697" s="86"/>
      <c r="P697" s="87" t="n">
        <f aca="false">(M697*L697)+O697</f>
        <v>0</v>
      </c>
      <c r="Q697" s="91"/>
    </row>
    <row r="698" customFormat="false" ht="14.25" hidden="false" customHeight="false" outlineLevel="0" collapsed="false">
      <c r="A698" s="77"/>
      <c r="B698" s="78"/>
      <c r="C698" s="79"/>
      <c r="D698" s="80" t="str">
        <f aca="false">_xlfn.IFNA(VLOOKUP(C698,'بيانات الآليات '!A:G,4,FALSE()),"")</f>
        <v/>
      </c>
      <c r="E698" s="81" t="str">
        <f aca="false">_xlfn.IFNA(VLOOKUP(C698,'بيانات الآليات '!A:G,2,FALSE()),"")</f>
        <v/>
      </c>
      <c r="F698" s="81" t="str">
        <f aca="false">_xlfn.IFNA(VLOOKUP(C698,'بيانات الآليات '!A:G,5,FALSE()),"")</f>
        <v/>
      </c>
      <c r="G698" s="82"/>
      <c r="H698" s="83" t="str">
        <f aca="false">_xlfn.IFNA(VLOOKUP(G698,Table14543[],2,FALSE()),"")</f>
        <v/>
      </c>
      <c r="I698" s="84" t="str">
        <f aca="false">_xlfn.IFNA(VLOOKUP(G698,Table14543[],3,FALSE()),"")</f>
        <v/>
      </c>
      <c r="J698" s="83" t="str">
        <f aca="false">CONCATENATE("",G698,""," ",H698," ",I698)</f>
        <v>  </v>
      </c>
      <c r="K698" s="85"/>
      <c r="L698" s="86"/>
      <c r="M698" s="86"/>
      <c r="N698" s="86" t="n">
        <f aca="false">L698*M698</f>
        <v>0</v>
      </c>
      <c r="O698" s="86"/>
      <c r="P698" s="87" t="n">
        <f aca="false">(M698*L698)+O698</f>
        <v>0</v>
      </c>
      <c r="Q698" s="91"/>
    </row>
    <row r="699" customFormat="false" ht="14.25" hidden="false" customHeight="false" outlineLevel="0" collapsed="false">
      <c r="A699" s="77"/>
      <c r="B699" s="78"/>
      <c r="C699" s="79"/>
      <c r="D699" s="80" t="str">
        <f aca="false">_xlfn.IFNA(VLOOKUP(C699,'بيانات الآليات '!A:G,4,FALSE()),"")</f>
        <v/>
      </c>
      <c r="E699" s="81" t="str">
        <f aca="false">_xlfn.IFNA(VLOOKUP(C699,'بيانات الآليات '!A:G,2,FALSE()),"")</f>
        <v/>
      </c>
      <c r="F699" s="81" t="str">
        <f aca="false">_xlfn.IFNA(VLOOKUP(C699,'بيانات الآليات '!A:G,5,FALSE()),"")</f>
        <v/>
      </c>
      <c r="G699" s="82"/>
      <c r="H699" s="83" t="str">
        <f aca="false">_xlfn.IFNA(VLOOKUP(G699,Table14543[],2,FALSE()),"")</f>
        <v/>
      </c>
      <c r="I699" s="84" t="str">
        <f aca="false">_xlfn.IFNA(VLOOKUP(G699,Table14543[],3,FALSE()),"")</f>
        <v/>
      </c>
      <c r="J699" s="83" t="str">
        <f aca="false">CONCATENATE("",G699,""," ",H699," ",I699)</f>
        <v>  </v>
      </c>
      <c r="K699" s="85"/>
      <c r="L699" s="86"/>
      <c r="M699" s="86"/>
      <c r="N699" s="86" t="n">
        <f aca="false">L699*M699</f>
        <v>0</v>
      </c>
      <c r="O699" s="86"/>
      <c r="P699" s="87" t="n">
        <f aca="false">(M699*L699)+O699</f>
        <v>0</v>
      </c>
      <c r="Q699" s="91"/>
    </row>
    <row r="700" customFormat="false" ht="14.25" hidden="false" customHeight="false" outlineLevel="0" collapsed="false">
      <c r="A700" s="77"/>
      <c r="B700" s="78"/>
      <c r="C700" s="79"/>
      <c r="D700" s="80" t="str">
        <f aca="false">_xlfn.IFNA(VLOOKUP(C700,'بيانات الآليات '!A:G,4,FALSE()),"")</f>
        <v/>
      </c>
      <c r="E700" s="81" t="str">
        <f aca="false">_xlfn.IFNA(VLOOKUP(C700,'بيانات الآليات '!A:G,2,FALSE()),"")</f>
        <v/>
      </c>
      <c r="F700" s="81" t="str">
        <f aca="false">_xlfn.IFNA(VLOOKUP(C700,'بيانات الآليات '!A:G,5,FALSE()),"")</f>
        <v/>
      </c>
      <c r="G700" s="82"/>
      <c r="H700" s="83" t="str">
        <f aca="false">_xlfn.IFNA(VLOOKUP(G700,Table14543[],2,FALSE()),"")</f>
        <v/>
      </c>
      <c r="I700" s="84" t="str">
        <f aca="false">_xlfn.IFNA(VLOOKUP(G700,Table14543[],3,FALSE()),"")</f>
        <v/>
      </c>
      <c r="J700" s="83" t="str">
        <f aca="false">CONCATENATE("",G700,""," ",H700," ",I700)</f>
        <v>  </v>
      </c>
      <c r="K700" s="85"/>
      <c r="L700" s="86"/>
      <c r="M700" s="86"/>
      <c r="N700" s="86" t="n">
        <f aca="false">L700*M700</f>
        <v>0</v>
      </c>
      <c r="O700" s="86"/>
      <c r="P700" s="87" t="n">
        <f aca="false">(M700*L700)+O700</f>
        <v>0</v>
      </c>
      <c r="Q700" s="91"/>
    </row>
    <row r="701" customFormat="false" ht="14.25" hidden="false" customHeight="false" outlineLevel="0" collapsed="false">
      <c r="A701" s="77"/>
      <c r="B701" s="78"/>
      <c r="C701" s="79"/>
      <c r="D701" s="80" t="str">
        <f aca="false">_xlfn.IFNA(VLOOKUP(C701,'بيانات الآليات '!A:G,4,FALSE()),"")</f>
        <v/>
      </c>
      <c r="E701" s="81" t="str">
        <f aca="false">_xlfn.IFNA(VLOOKUP(C701,'بيانات الآليات '!A:G,2,FALSE()),"")</f>
        <v/>
      </c>
      <c r="F701" s="81" t="str">
        <f aca="false">_xlfn.IFNA(VLOOKUP(C701,'بيانات الآليات '!A:G,5,FALSE()),"")</f>
        <v/>
      </c>
      <c r="G701" s="82"/>
      <c r="H701" s="83" t="str">
        <f aca="false">_xlfn.IFNA(VLOOKUP(G701,Table14543[],2,FALSE()),"")</f>
        <v/>
      </c>
      <c r="I701" s="84" t="str">
        <f aca="false">_xlfn.IFNA(VLOOKUP(G701,Table14543[],3,FALSE()),"")</f>
        <v/>
      </c>
      <c r="J701" s="83" t="str">
        <f aca="false">CONCATENATE("",G701,""," ",H701," ",I701)</f>
        <v>  </v>
      </c>
      <c r="K701" s="85"/>
      <c r="L701" s="86"/>
      <c r="M701" s="86"/>
      <c r="N701" s="86" t="n">
        <f aca="false">L701*M701</f>
        <v>0</v>
      </c>
      <c r="O701" s="86"/>
      <c r="P701" s="87" t="n">
        <f aca="false">(M701*L701)+O701</f>
        <v>0</v>
      </c>
      <c r="Q701" s="91"/>
    </row>
    <row r="702" customFormat="false" ht="14.25" hidden="false" customHeight="false" outlineLevel="0" collapsed="false">
      <c r="A702" s="77"/>
      <c r="B702" s="78"/>
      <c r="C702" s="79"/>
      <c r="D702" s="80" t="str">
        <f aca="false">_xlfn.IFNA(VLOOKUP(C702,'بيانات الآليات '!A:G,4,FALSE()),"")</f>
        <v/>
      </c>
      <c r="E702" s="81" t="str">
        <f aca="false">_xlfn.IFNA(VLOOKUP(C702,'بيانات الآليات '!A:G,2,FALSE()),"")</f>
        <v/>
      </c>
      <c r="F702" s="81" t="str">
        <f aca="false">_xlfn.IFNA(VLOOKUP(C702,'بيانات الآليات '!A:G,5,FALSE()),"")</f>
        <v/>
      </c>
      <c r="G702" s="82"/>
      <c r="H702" s="83" t="str">
        <f aca="false">_xlfn.IFNA(VLOOKUP(G702,Table14543[],2,FALSE()),"")</f>
        <v/>
      </c>
      <c r="I702" s="84" t="str">
        <f aca="false">_xlfn.IFNA(VLOOKUP(G702,Table14543[],3,FALSE()),"")</f>
        <v/>
      </c>
      <c r="J702" s="83" t="str">
        <f aca="false">CONCATENATE("",G702,""," ",H702," ",I702)</f>
        <v>  </v>
      </c>
      <c r="K702" s="85"/>
      <c r="L702" s="86"/>
      <c r="M702" s="86"/>
      <c r="N702" s="86" t="n">
        <f aca="false">L702*M702</f>
        <v>0</v>
      </c>
      <c r="O702" s="86"/>
      <c r="P702" s="87" t="n">
        <f aca="false">(M702*L702)+O702</f>
        <v>0</v>
      </c>
      <c r="Q702" s="91"/>
    </row>
    <row r="703" customFormat="false" ht="14.25" hidden="false" customHeight="false" outlineLevel="0" collapsed="false">
      <c r="A703" s="77"/>
      <c r="B703" s="78"/>
      <c r="C703" s="79"/>
      <c r="D703" s="80" t="str">
        <f aca="false">_xlfn.IFNA(VLOOKUP(C703,'بيانات الآليات '!A:G,4,FALSE()),"")</f>
        <v/>
      </c>
      <c r="E703" s="81" t="str">
        <f aca="false">_xlfn.IFNA(VLOOKUP(C703,'بيانات الآليات '!A:G,2,FALSE()),"")</f>
        <v/>
      </c>
      <c r="F703" s="81" t="str">
        <f aca="false">_xlfn.IFNA(VLOOKUP(C703,'بيانات الآليات '!A:G,5,FALSE()),"")</f>
        <v/>
      </c>
      <c r="G703" s="82"/>
      <c r="H703" s="83" t="str">
        <f aca="false">_xlfn.IFNA(VLOOKUP(G703,Table14543[],2,FALSE()),"")</f>
        <v/>
      </c>
      <c r="I703" s="84" t="str">
        <f aca="false">_xlfn.IFNA(VLOOKUP(G703,Table14543[],3,FALSE()),"")</f>
        <v/>
      </c>
      <c r="J703" s="83" t="str">
        <f aca="false">CONCATENATE("",G703,""," ",H703," ",I703)</f>
        <v>  </v>
      </c>
      <c r="K703" s="85"/>
      <c r="L703" s="86"/>
      <c r="M703" s="86"/>
      <c r="N703" s="86" t="n">
        <f aca="false">L703*M703</f>
        <v>0</v>
      </c>
      <c r="O703" s="86"/>
      <c r="P703" s="87" t="n">
        <f aca="false">(M703*L703)+O703</f>
        <v>0</v>
      </c>
      <c r="Q703" s="91"/>
    </row>
    <row r="704" customFormat="false" ht="14.25" hidden="false" customHeight="false" outlineLevel="0" collapsed="false">
      <c r="A704" s="77"/>
      <c r="B704" s="78"/>
      <c r="C704" s="79"/>
      <c r="D704" s="80" t="str">
        <f aca="false">_xlfn.IFNA(VLOOKUP(C704,'بيانات الآليات '!A:G,4,FALSE()),"")</f>
        <v/>
      </c>
      <c r="E704" s="81" t="str">
        <f aca="false">_xlfn.IFNA(VLOOKUP(C704,'بيانات الآليات '!A:G,2,FALSE()),"")</f>
        <v/>
      </c>
      <c r="F704" s="81" t="str">
        <f aca="false">_xlfn.IFNA(VLOOKUP(C704,'بيانات الآليات '!A:G,5,FALSE()),"")</f>
        <v/>
      </c>
      <c r="G704" s="82"/>
      <c r="H704" s="83" t="str">
        <f aca="false">_xlfn.IFNA(VLOOKUP(G704,Table14543[],2,FALSE()),"")</f>
        <v/>
      </c>
      <c r="I704" s="84" t="str">
        <f aca="false">_xlfn.IFNA(VLOOKUP(G704,Table14543[],3,FALSE()),"")</f>
        <v/>
      </c>
      <c r="J704" s="83" t="str">
        <f aca="false">CONCATENATE("",G704,""," ",H704," ",I704)</f>
        <v>  </v>
      </c>
      <c r="K704" s="85"/>
      <c r="L704" s="86"/>
      <c r="M704" s="86"/>
      <c r="N704" s="86" t="n">
        <f aca="false">L704*M704</f>
        <v>0</v>
      </c>
      <c r="O704" s="86"/>
      <c r="P704" s="87" t="n">
        <f aca="false">(M704*L704)+O704</f>
        <v>0</v>
      </c>
      <c r="Q704" s="91"/>
    </row>
    <row r="705" customFormat="false" ht="14.25" hidden="false" customHeight="false" outlineLevel="0" collapsed="false">
      <c r="A705" s="77"/>
      <c r="B705" s="78"/>
      <c r="C705" s="79"/>
      <c r="D705" s="80" t="str">
        <f aca="false">_xlfn.IFNA(VLOOKUP(C705,'بيانات الآليات '!A:G,4,FALSE()),"")</f>
        <v/>
      </c>
      <c r="E705" s="81" t="str">
        <f aca="false">_xlfn.IFNA(VLOOKUP(C705,'بيانات الآليات '!A:G,2,FALSE()),"")</f>
        <v/>
      </c>
      <c r="F705" s="81" t="str">
        <f aca="false">_xlfn.IFNA(VLOOKUP(C705,'بيانات الآليات '!A:G,5,FALSE()),"")</f>
        <v/>
      </c>
      <c r="G705" s="82"/>
      <c r="H705" s="83" t="str">
        <f aca="false">_xlfn.IFNA(VLOOKUP(G705,Table14543[],2,FALSE()),"")</f>
        <v/>
      </c>
      <c r="I705" s="84" t="str">
        <f aca="false">_xlfn.IFNA(VLOOKUP(G705,Table14543[],3,FALSE()),"")</f>
        <v/>
      </c>
      <c r="J705" s="83" t="str">
        <f aca="false">CONCATENATE("",G705,""," ",H705," ",I705)</f>
        <v>  </v>
      </c>
      <c r="K705" s="85"/>
      <c r="L705" s="86"/>
      <c r="M705" s="86"/>
      <c r="N705" s="86" t="n">
        <f aca="false">L705*M705</f>
        <v>0</v>
      </c>
      <c r="O705" s="86"/>
      <c r="P705" s="87" t="n">
        <f aca="false">(M705*L705)+O705</f>
        <v>0</v>
      </c>
      <c r="Q705" s="91"/>
    </row>
    <row r="706" customFormat="false" ht="14.25" hidden="false" customHeight="false" outlineLevel="0" collapsed="false">
      <c r="A706" s="77"/>
      <c r="B706" s="78"/>
      <c r="C706" s="79"/>
      <c r="D706" s="80" t="str">
        <f aca="false">_xlfn.IFNA(VLOOKUP(C706,'بيانات الآليات '!A:G,4,FALSE()),"")</f>
        <v/>
      </c>
      <c r="E706" s="81" t="str">
        <f aca="false">_xlfn.IFNA(VLOOKUP(C706,'بيانات الآليات '!A:G,2,FALSE()),"")</f>
        <v/>
      </c>
      <c r="F706" s="81" t="str">
        <f aca="false">_xlfn.IFNA(VLOOKUP(C706,'بيانات الآليات '!A:G,5,FALSE()),"")</f>
        <v/>
      </c>
      <c r="G706" s="82"/>
      <c r="H706" s="83" t="str">
        <f aca="false">_xlfn.IFNA(VLOOKUP(G706,Table14543[],2,FALSE()),"")</f>
        <v/>
      </c>
      <c r="I706" s="84" t="str">
        <f aca="false">_xlfn.IFNA(VLOOKUP(G706,Table14543[],3,FALSE()),"")</f>
        <v/>
      </c>
      <c r="J706" s="83" t="str">
        <f aca="false">CONCATENATE("",G706,""," ",H706," ",I706)</f>
        <v>  </v>
      </c>
      <c r="K706" s="85"/>
      <c r="L706" s="86"/>
      <c r="M706" s="86"/>
      <c r="N706" s="86" t="n">
        <f aca="false">L706*M706</f>
        <v>0</v>
      </c>
      <c r="O706" s="86"/>
      <c r="P706" s="87" t="n">
        <f aca="false">(M706*L706)+O706</f>
        <v>0</v>
      </c>
      <c r="Q706" s="91"/>
    </row>
    <row r="707" customFormat="false" ht="14.25" hidden="false" customHeight="false" outlineLevel="0" collapsed="false">
      <c r="A707" s="77"/>
      <c r="B707" s="78"/>
      <c r="C707" s="79"/>
      <c r="D707" s="80" t="str">
        <f aca="false">_xlfn.IFNA(VLOOKUP(C707,'بيانات الآليات '!A:G,4,FALSE()),"")</f>
        <v/>
      </c>
      <c r="E707" s="81" t="str">
        <f aca="false">_xlfn.IFNA(VLOOKUP(C707,'بيانات الآليات '!A:G,2,FALSE()),"")</f>
        <v/>
      </c>
      <c r="F707" s="81" t="str">
        <f aca="false">_xlfn.IFNA(VLOOKUP(C707,'بيانات الآليات '!A:G,5,FALSE()),"")</f>
        <v/>
      </c>
      <c r="G707" s="82"/>
      <c r="H707" s="83" t="str">
        <f aca="false">_xlfn.IFNA(VLOOKUP(G707,Table14543[],2,FALSE()),"")</f>
        <v/>
      </c>
      <c r="I707" s="84" t="str">
        <f aca="false">_xlfn.IFNA(VLOOKUP(G707,Table14543[],3,FALSE()),"")</f>
        <v/>
      </c>
      <c r="J707" s="83" t="str">
        <f aca="false">CONCATENATE("",G707,""," ",H707," ",I707)</f>
        <v>  </v>
      </c>
      <c r="K707" s="85"/>
      <c r="L707" s="86"/>
      <c r="M707" s="86"/>
      <c r="N707" s="86" t="n">
        <f aca="false">L707*M707</f>
        <v>0</v>
      </c>
      <c r="O707" s="86"/>
      <c r="P707" s="87" t="n">
        <f aca="false">(M707*L707)+O707</f>
        <v>0</v>
      </c>
      <c r="Q707" s="91"/>
    </row>
    <row r="708" customFormat="false" ht="14.25" hidden="false" customHeight="false" outlineLevel="0" collapsed="false">
      <c r="A708" s="77"/>
      <c r="B708" s="78"/>
      <c r="C708" s="79"/>
      <c r="D708" s="80" t="str">
        <f aca="false">_xlfn.IFNA(VLOOKUP(C708,'بيانات الآليات '!A:G,4,FALSE()),"")</f>
        <v/>
      </c>
      <c r="E708" s="81" t="str">
        <f aca="false">_xlfn.IFNA(VLOOKUP(C708,'بيانات الآليات '!A:G,2,FALSE()),"")</f>
        <v/>
      </c>
      <c r="F708" s="81" t="str">
        <f aca="false">_xlfn.IFNA(VLOOKUP(C708,'بيانات الآليات '!A:G,5,FALSE()),"")</f>
        <v/>
      </c>
      <c r="G708" s="82"/>
      <c r="H708" s="83" t="str">
        <f aca="false">_xlfn.IFNA(VLOOKUP(G708,Table14543[],2,FALSE()),"")</f>
        <v/>
      </c>
      <c r="I708" s="84" t="str">
        <f aca="false">_xlfn.IFNA(VLOOKUP(G708,Table14543[],3,FALSE()),"")</f>
        <v/>
      </c>
      <c r="J708" s="83" t="str">
        <f aca="false">CONCATENATE("",G708,""," ",H708," ",I708)</f>
        <v>  </v>
      </c>
      <c r="K708" s="85"/>
      <c r="L708" s="86"/>
      <c r="M708" s="86"/>
      <c r="N708" s="86" t="n">
        <f aca="false">L708*M708</f>
        <v>0</v>
      </c>
      <c r="O708" s="86"/>
      <c r="P708" s="87" t="n">
        <f aca="false">(M708*L708)+O708</f>
        <v>0</v>
      </c>
      <c r="Q708" s="91"/>
    </row>
    <row r="709" customFormat="false" ht="14.25" hidden="false" customHeight="false" outlineLevel="0" collapsed="false">
      <c r="A709" s="77"/>
      <c r="B709" s="78"/>
      <c r="C709" s="79"/>
      <c r="D709" s="80" t="str">
        <f aca="false">_xlfn.IFNA(VLOOKUP(C709,'بيانات الآليات '!A:G,4,FALSE()),"")</f>
        <v/>
      </c>
      <c r="E709" s="81" t="str">
        <f aca="false">_xlfn.IFNA(VLOOKUP(C709,'بيانات الآليات '!A:G,2,FALSE()),"")</f>
        <v/>
      </c>
      <c r="F709" s="81" t="str">
        <f aca="false">_xlfn.IFNA(VLOOKUP(C709,'بيانات الآليات '!A:G,5,FALSE()),"")</f>
        <v/>
      </c>
      <c r="G709" s="82"/>
      <c r="H709" s="83" t="str">
        <f aca="false">_xlfn.IFNA(VLOOKUP(G709,Table14543[],2,FALSE()),"")</f>
        <v/>
      </c>
      <c r="I709" s="84" t="str">
        <f aca="false">_xlfn.IFNA(VLOOKUP(G709,Table14543[],3,FALSE()),"")</f>
        <v/>
      </c>
      <c r="J709" s="83" t="str">
        <f aca="false">CONCATENATE("",G709,""," ",H709," ",I709)</f>
        <v>  </v>
      </c>
      <c r="K709" s="85"/>
      <c r="L709" s="86"/>
      <c r="M709" s="86"/>
      <c r="N709" s="86" t="n">
        <f aca="false">L709*M709</f>
        <v>0</v>
      </c>
      <c r="O709" s="86"/>
      <c r="P709" s="87" t="n">
        <f aca="false">(M709*L709)+O709</f>
        <v>0</v>
      </c>
      <c r="Q709" s="91"/>
    </row>
    <row r="710" customFormat="false" ht="14.25" hidden="false" customHeight="false" outlineLevel="0" collapsed="false">
      <c r="A710" s="77"/>
      <c r="B710" s="78"/>
      <c r="C710" s="79"/>
      <c r="D710" s="80" t="str">
        <f aca="false">_xlfn.IFNA(VLOOKUP(C710,'بيانات الآليات '!A:G,4,FALSE()),"")</f>
        <v/>
      </c>
      <c r="E710" s="81" t="str">
        <f aca="false">_xlfn.IFNA(VLOOKUP(C710,'بيانات الآليات '!A:G,2,FALSE()),"")</f>
        <v/>
      </c>
      <c r="F710" s="81" t="str">
        <f aca="false">_xlfn.IFNA(VLOOKUP(C710,'بيانات الآليات '!A:G,5,FALSE()),"")</f>
        <v/>
      </c>
      <c r="G710" s="82"/>
      <c r="H710" s="83" t="str">
        <f aca="false">_xlfn.IFNA(VLOOKUP(G710,Table14543[],2,FALSE()),"")</f>
        <v/>
      </c>
      <c r="I710" s="84" t="str">
        <f aca="false">_xlfn.IFNA(VLOOKUP(G710,Table14543[],3,FALSE()),"")</f>
        <v/>
      </c>
      <c r="J710" s="83" t="str">
        <f aca="false">CONCATENATE("",G710,""," ",H710," ",I710)</f>
        <v>  </v>
      </c>
      <c r="K710" s="85"/>
      <c r="L710" s="86"/>
      <c r="M710" s="86"/>
      <c r="N710" s="86" t="n">
        <f aca="false">L710*M710</f>
        <v>0</v>
      </c>
      <c r="O710" s="86"/>
      <c r="P710" s="87" t="n">
        <f aca="false">(M710*L710)+O710</f>
        <v>0</v>
      </c>
      <c r="Q710" s="91"/>
    </row>
    <row r="711" customFormat="false" ht="14.25" hidden="false" customHeight="false" outlineLevel="0" collapsed="false">
      <c r="A711" s="77"/>
      <c r="B711" s="78"/>
      <c r="C711" s="79"/>
      <c r="D711" s="80" t="str">
        <f aca="false">_xlfn.IFNA(VLOOKUP(C711,'بيانات الآليات '!A:G,4,FALSE()),"")</f>
        <v/>
      </c>
      <c r="E711" s="81" t="str">
        <f aca="false">_xlfn.IFNA(VLOOKUP(C711,'بيانات الآليات '!A:G,2,FALSE()),"")</f>
        <v/>
      </c>
      <c r="F711" s="81" t="str">
        <f aca="false">_xlfn.IFNA(VLOOKUP(C711,'بيانات الآليات '!A:G,5,FALSE()),"")</f>
        <v/>
      </c>
      <c r="G711" s="82"/>
      <c r="H711" s="83" t="str">
        <f aca="false">_xlfn.IFNA(VLOOKUP(G711,Table14543[],2,FALSE()),"")</f>
        <v/>
      </c>
      <c r="I711" s="84" t="str">
        <f aca="false">_xlfn.IFNA(VLOOKUP(G711,Table14543[],3,FALSE()),"")</f>
        <v/>
      </c>
      <c r="J711" s="83" t="str">
        <f aca="false">CONCATENATE("",G711,""," ",H711," ",I711)</f>
        <v>  </v>
      </c>
      <c r="K711" s="85"/>
      <c r="L711" s="86"/>
      <c r="M711" s="86"/>
      <c r="N711" s="86" t="n">
        <f aca="false">L711*M711</f>
        <v>0</v>
      </c>
      <c r="O711" s="86"/>
      <c r="P711" s="87" t="n">
        <f aca="false">(M711*L711)+O711</f>
        <v>0</v>
      </c>
      <c r="Q711" s="91"/>
    </row>
    <row r="712" customFormat="false" ht="14.25" hidden="false" customHeight="false" outlineLevel="0" collapsed="false">
      <c r="A712" s="77"/>
      <c r="B712" s="78"/>
      <c r="C712" s="79"/>
      <c r="D712" s="80" t="str">
        <f aca="false">_xlfn.IFNA(VLOOKUP(C712,'بيانات الآليات '!A:G,4,FALSE()),"")</f>
        <v/>
      </c>
      <c r="E712" s="81" t="str">
        <f aca="false">_xlfn.IFNA(VLOOKUP(C712,'بيانات الآليات '!A:G,2,FALSE()),"")</f>
        <v/>
      </c>
      <c r="F712" s="81" t="str">
        <f aca="false">_xlfn.IFNA(VLOOKUP(C712,'بيانات الآليات '!A:G,5,FALSE()),"")</f>
        <v/>
      </c>
      <c r="G712" s="82"/>
      <c r="H712" s="83" t="str">
        <f aca="false">_xlfn.IFNA(VLOOKUP(G712,Table14543[],2,FALSE()),"")</f>
        <v/>
      </c>
      <c r="I712" s="84" t="str">
        <f aca="false">_xlfn.IFNA(VLOOKUP(G712,Table14543[],3,FALSE()),"")</f>
        <v/>
      </c>
      <c r="J712" s="83" t="str">
        <f aca="false">CONCATENATE("",G712,""," ",H712," ",I712)</f>
        <v>  </v>
      </c>
      <c r="K712" s="85"/>
      <c r="L712" s="86"/>
      <c r="M712" s="86"/>
      <c r="N712" s="86" t="n">
        <f aca="false">L712*M712</f>
        <v>0</v>
      </c>
      <c r="O712" s="86"/>
      <c r="P712" s="87" t="n">
        <f aca="false">(M712*L712)+O712</f>
        <v>0</v>
      </c>
      <c r="Q712" s="91"/>
    </row>
    <row r="713" customFormat="false" ht="14.25" hidden="false" customHeight="false" outlineLevel="0" collapsed="false">
      <c r="A713" s="77"/>
      <c r="B713" s="78"/>
      <c r="C713" s="79"/>
      <c r="D713" s="80"/>
      <c r="E713" s="86"/>
      <c r="F713" s="86"/>
      <c r="G713" s="82"/>
      <c r="H713" s="83"/>
      <c r="I713" s="84"/>
      <c r="J713" s="83"/>
      <c r="K713" s="85"/>
      <c r="L713" s="86"/>
      <c r="M713" s="86"/>
      <c r="N713" s="86"/>
      <c r="O713" s="86"/>
      <c r="P713" s="87"/>
      <c r="Q713" s="91"/>
    </row>
    <row r="714" customFormat="false" ht="14.25" hidden="false" customHeight="false" outlineLevel="0" collapsed="false">
      <c r="A714" s="77"/>
      <c r="B714" s="78"/>
      <c r="C714" s="79"/>
      <c r="D714" s="80"/>
      <c r="E714" s="86"/>
      <c r="F714" s="86"/>
      <c r="G714" s="82"/>
      <c r="H714" s="83"/>
      <c r="I714" s="84"/>
      <c r="J714" s="83"/>
      <c r="K714" s="85"/>
      <c r="L714" s="86"/>
      <c r="M714" s="86"/>
      <c r="N714" s="86"/>
      <c r="O714" s="86"/>
      <c r="P714" s="87"/>
      <c r="Q714" s="91"/>
    </row>
    <row r="715" customFormat="false" ht="14.25" hidden="false" customHeight="false" outlineLevel="0" collapsed="false">
      <c r="A715" s="77"/>
      <c r="B715" s="78"/>
      <c r="C715" s="79"/>
      <c r="D715" s="80"/>
      <c r="E715" s="86"/>
      <c r="F715" s="86"/>
      <c r="G715" s="82"/>
      <c r="H715" s="83"/>
      <c r="I715" s="84"/>
      <c r="J715" s="83"/>
      <c r="K715" s="85"/>
      <c r="L715" s="86"/>
      <c r="M715" s="86"/>
      <c r="N715" s="86"/>
      <c r="O715" s="86"/>
      <c r="P715" s="87"/>
      <c r="Q715" s="91"/>
    </row>
    <row r="716" customFormat="false" ht="14.25" hidden="false" customHeight="false" outlineLevel="0" collapsed="false">
      <c r="A716" s="93"/>
      <c r="B716" s="94"/>
      <c r="C716" s="95"/>
      <c r="D716" s="95"/>
      <c r="E716" s="93"/>
      <c r="F716" s="93"/>
      <c r="G716" s="96"/>
      <c r="H716" s="97"/>
      <c r="I716" s="98"/>
      <c r="J716" s="97"/>
      <c r="K716" s="93"/>
      <c r="L716" s="93"/>
      <c r="M716" s="93"/>
      <c r="N716" s="93"/>
      <c r="O716" s="93"/>
      <c r="P716" s="99" t="n">
        <f aca="false">SUM(P2:P715)</f>
        <v>9750</v>
      </c>
      <c r="Q716" s="100"/>
    </row>
  </sheetData>
  <autoFilter ref="A1:Q712"/>
  <dataValidations count="3">
    <dataValidation allowBlank="true" errorStyle="stop" operator="between" showDropDown="false" showErrorMessage="true" showInputMessage="true" sqref="K2:K715" type="list">
      <formula1>"لتر,عدد,كجم,أخرى"</formula1>
      <formula2>0</formula2>
    </dataValidation>
    <dataValidation allowBlank="true" errorStyle="stop" operator="between" showDropDown="false" showErrorMessage="true" showInputMessage="true" sqref="G2:G32" type="list">
      <formula1>'بنود أعمال الصيانة'!$A$2:$A$128</formula1>
      <formula2>0</formula2>
    </dataValidation>
    <dataValidation allowBlank="true" errorStyle="stop" operator="between" showDropDown="false" showErrorMessage="true" showInputMessage="true" sqref="C2:C715" type="list">
      <formula1>'بيانات الآليات '!$A$2:$A$41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en-IL</dc:language>
  <cp:lastModifiedBy/>
  <dcterms:modified xsi:type="dcterms:W3CDTF">2025-12-18T12:04:01Z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