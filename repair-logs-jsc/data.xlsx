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بيانات الآليات " sheetId="1" state="visible" r:id="rId3"/>
    <sheet name="بنود أعمال الصيانة" sheetId="2" state="visible" r:id="rId4"/>
    <sheet name="بنود أعمال الصيانة (معدل)" sheetId="3" state="visible" r:id="rId5"/>
    <sheet name="سجل الصيانة" sheetId="4" state="visible" r:id="rId6"/>
  </sheets>
  <definedNames>
    <definedName function="false" hidden="true" localSheetId="0" name="_xlnm._FilterDatabase" vbProcedure="false">'بيانات الآليات '!$A$1:$I$41</definedName>
    <definedName function="false" hidden="true" localSheetId="3" name="_xlnm._FilterDatabase" vbProcedure="false">'سجل الصيانة'!$A$1:$S$712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<sst xmlns="http://schemas.openxmlformats.org/spreadsheetml/2006/main" count="1525" uniqueCount="495">
  <si>
    <t xml:space="preserve">vehicle_code</t>
  </si>
  <si>
    <t xml:space="preserve">licence_number</t>
  </si>
  <si>
    <t xml:space="preserve">vehicle_type_en</t>
  </si>
  <si>
    <t xml:space="preserve">vehicle_type_ar</t>
  </si>
  <si>
    <t xml:space="preserve">vehicle_model_en</t>
  </si>
  <si>
    <t xml:space="preserve">vehicle_model_ar</t>
  </si>
  <si>
    <t xml:space="preserve">vehicle_dept</t>
  </si>
  <si>
    <t xml:space="preserve">vehicle_state</t>
  </si>
  <si>
    <t xml:space="preserve">Notes</t>
  </si>
  <si>
    <t xml:space="preserve">Backhoe Loader</t>
  </si>
  <si>
    <t xml:space="preserve">حفار</t>
  </si>
  <si>
    <r>
      <rPr>
        <sz val="11"/>
        <color rgb="FF000000"/>
        <rFont val="Calibri"/>
        <family val="2"/>
        <charset val="1"/>
      </rPr>
      <t xml:space="preserve">Caterpillar 428F, </t>
    </r>
    <r>
      <rPr>
        <b val="true"/>
        <u val="single"/>
        <sz val="11"/>
        <color rgb="FF000000"/>
        <rFont val="Calibri"/>
        <family val="2"/>
        <charset val="1"/>
      </rPr>
      <t xml:space="preserve">2018</t>
    </r>
  </si>
  <si>
    <r>
      <rPr>
        <sz val="11"/>
        <color rgb="FF000000"/>
        <rFont val="Noto Sans Devanagari"/>
        <family val="2"/>
        <charset val="1"/>
      </rPr>
      <t xml:space="preserve">كاتربيلر </t>
    </r>
    <r>
      <rPr>
        <sz val="11"/>
        <color rgb="FF000000"/>
        <rFont val="Calibri"/>
        <family val="2"/>
        <charset val="1"/>
      </rPr>
      <t xml:space="preserve">428F</t>
    </r>
    <r>
      <rPr>
        <sz val="11"/>
        <color rgb="FF000000"/>
        <rFont val="Noto Sans Devanagari"/>
        <family val="2"/>
        <charset val="1"/>
      </rPr>
      <t xml:space="preserve">، موديل </t>
    </r>
    <r>
      <rPr>
        <sz val="11"/>
        <color rgb="FF000000"/>
        <rFont val="Calibri"/>
        <family val="2"/>
        <charset val="1"/>
      </rPr>
      <t xml:space="preserve">2018</t>
    </r>
  </si>
  <si>
    <t xml:space="preserve">قسم محافظة الوسطى</t>
  </si>
  <si>
    <t xml:space="preserve">تعمل</t>
  </si>
  <si>
    <t xml:space="preserve">قسم محافظة خانيونس</t>
  </si>
  <si>
    <t xml:space="preserve">مدمرة</t>
  </si>
  <si>
    <t xml:space="preserve">Administration Dept.</t>
  </si>
  <si>
    <t xml:space="preserve">آلية حركة</t>
  </si>
  <si>
    <r>
      <rPr>
        <sz val="11"/>
        <color rgb="FF000000"/>
        <rFont val="Calibri"/>
        <family val="2"/>
        <charset val="1"/>
      </rPr>
      <t xml:space="preserve">Hyundai H1, </t>
    </r>
    <r>
      <rPr>
        <b val="true"/>
        <u val="single"/>
        <sz val="11"/>
        <color rgb="FF000000"/>
        <rFont val="Calibri"/>
        <family val="2"/>
        <charset val="1"/>
      </rPr>
      <t xml:space="preserve">2016</t>
    </r>
  </si>
  <si>
    <r>
      <rPr>
        <sz val="11"/>
        <color rgb="FF000000"/>
        <rFont val="Noto Sans Devanagari"/>
        <family val="2"/>
        <charset val="1"/>
      </rPr>
      <t xml:space="preserve">هيونداي </t>
    </r>
    <r>
      <rPr>
        <sz val="11"/>
        <color rgb="FF000000"/>
        <rFont val="Calibri"/>
        <family val="2"/>
        <charset val="1"/>
      </rPr>
      <t xml:space="preserve">H1</t>
    </r>
    <r>
      <rPr>
        <sz val="11"/>
        <color rgb="FF000000"/>
        <rFont val="Noto Sans Devanagari"/>
        <family val="2"/>
        <charset val="1"/>
      </rPr>
      <t xml:space="preserve">، موديل </t>
    </r>
    <r>
      <rPr>
        <sz val="11"/>
        <color rgb="FF000000"/>
        <rFont val="Calibri"/>
        <family val="2"/>
        <charset val="1"/>
      </rPr>
      <t xml:space="preserve">2016</t>
    </r>
  </si>
  <si>
    <t xml:space="preserve">Compactor</t>
  </si>
  <si>
    <t xml:space="preserve">ضاغطة نفايات</t>
  </si>
  <si>
    <r>
      <rPr>
        <sz val="11"/>
        <color rgb="FF000000"/>
        <rFont val="Calibri"/>
        <family val="2"/>
        <charset val="1"/>
      </rPr>
      <t xml:space="preserve">Iveco ML180E28, </t>
    </r>
    <r>
      <rPr>
        <b val="true"/>
        <u val="single"/>
        <sz val="11"/>
        <color rgb="FF000000"/>
        <rFont val="Calibri"/>
        <family val="2"/>
        <charset val="1"/>
      </rPr>
      <t xml:space="preserve">2022</t>
    </r>
  </si>
  <si>
    <r>
      <rPr>
        <sz val="11"/>
        <color rgb="FF000000"/>
        <rFont val="Noto Sans Devanagari"/>
        <family val="2"/>
        <charset val="1"/>
      </rPr>
      <t xml:space="preserve">إيفيكو </t>
    </r>
    <r>
      <rPr>
        <sz val="11"/>
        <color rgb="FF000000"/>
        <rFont val="Calibri"/>
        <family val="2"/>
        <charset val="1"/>
      </rPr>
      <t xml:space="preserve">ML180E28</t>
    </r>
    <r>
      <rPr>
        <sz val="11"/>
        <color rgb="FF000000"/>
        <rFont val="Noto Sans Devanagari"/>
        <family val="2"/>
        <charset val="1"/>
      </rPr>
      <t xml:space="preserve">، موديل </t>
    </r>
    <r>
      <rPr>
        <sz val="11"/>
        <color rgb="FF000000"/>
        <rFont val="Calibri"/>
        <family val="2"/>
        <charset val="1"/>
      </rPr>
      <t xml:space="preserve">2022</t>
    </r>
  </si>
  <si>
    <t xml:space="preserve">لا تعمل</t>
  </si>
  <si>
    <r>
      <rPr>
        <sz val="11"/>
        <color rgb="FF000000"/>
        <rFont val="Calibri"/>
        <family val="2"/>
        <charset val="1"/>
      </rPr>
      <t xml:space="preserve">KIA Sportage, </t>
    </r>
    <r>
      <rPr>
        <b val="true"/>
        <u val="single"/>
        <sz val="11"/>
        <color rgb="FF000000"/>
        <rFont val="Calibri"/>
        <family val="2"/>
        <charset val="1"/>
      </rPr>
      <t xml:space="preserve">2016</t>
    </r>
  </si>
  <si>
    <r>
      <rPr>
        <sz val="11"/>
        <color rgb="FF000000"/>
        <rFont val="Noto Sans Devanagari"/>
        <family val="2"/>
        <charset val="1"/>
      </rPr>
      <t xml:space="preserve">كيا سبورتاج، موديل </t>
    </r>
    <r>
      <rPr>
        <sz val="11"/>
        <color rgb="FF000000"/>
        <rFont val="Calibri"/>
        <family val="2"/>
        <charset val="1"/>
      </rPr>
      <t xml:space="preserve">2016</t>
    </r>
  </si>
  <si>
    <t xml:space="preserve">Medical Waste Collection </t>
  </si>
  <si>
    <t xml:space="preserve">آلية جمع نفايات طبية</t>
  </si>
  <si>
    <r>
      <rPr>
        <sz val="11"/>
        <color rgb="FF000000"/>
        <rFont val="Calibri"/>
        <family val="2"/>
        <charset val="1"/>
      </rPr>
      <t xml:space="preserve">Mercedes-Benz Sprinter, </t>
    </r>
    <r>
      <rPr>
        <b val="true"/>
        <u val="single"/>
        <sz val="11"/>
        <color rgb="FF000000"/>
        <rFont val="Calibri"/>
        <family val="2"/>
        <charset val="1"/>
      </rPr>
      <t xml:space="preserve">2011</t>
    </r>
  </si>
  <si>
    <r>
      <rPr>
        <sz val="11"/>
        <color rgb="FF000000"/>
        <rFont val="Noto Sans Devanagari"/>
        <family val="2"/>
        <charset val="1"/>
      </rPr>
      <t xml:space="preserve">مرسيدس بنز سبرينتر، موديل </t>
    </r>
    <r>
      <rPr>
        <sz val="11"/>
        <color rgb="FF000000"/>
        <rFont val="Calibri"/>
        <family val="2"/>
        <charset val="1"/>
      </rPr>
      <t xml:space="preserve">2011</t>
    </r>
  </si>
  <si>
    <t xml:space="preserve">قسم الطبية</t>
  </si>
  <si>
    <r>
      <rPr>
        <sz val="11"/>
        <color rgb="FF000000"/>
        <rFont val="Calibri"/>
        <family val="2"/>
        <charset val="1"/>
      </rPr>
      <t xml:space="preserve">Mitsubishi L200, </t>
    </r>
    <r>
      <rPr>
        <b val="true"/>
        <u val="single"/>
        <sz val="11"/>
        <color rgb="FF000000"/>
        <rFont val="Calibri"/>
        <family val="2"/>
        <charset val="1"/>
      </rPr>
      <t xml:space="preserve">2018</t>
    </r>
  </si>
  <si>
    <r>
      <rPr>
        <sz val="11"/>
        <color rgb="FF000000"/>
        <rFont val="Noto Sans Devanagari"/>
        <family val="2"/>
        <charset val="1"/>
      </rPr>
      <t xml:space="preserve">ميتسوبيشي </t>
    </r>
    <r>
      <rPr>
        <sz val="11"/>
        <color rgb="FF000000"/>
        <rFont val="Calibri"/>
        <family val="2"/>
        <charset val="1"/>
      </rPr>
      <t xml:space="preserve">L200</t>
    </r>
    <r>
      <rPr>
        <sz val="11"/>
        <color rgb="FF000000"/>
        <rFont val="Noto Sans Devanagari"/>
        <family val="2"/>
        <charset val="1"/>
      </rPr>
      <t xml:space="preserve">، موديل </t>
    </r>
    <r>
      <rPr>
        <sz val="11"/>
        <color rgb="FF000000"/>
        <rFont val="Calibri"/>
        <family val="2"/>
        <charset val="1"/>
      </rPr>
      <t xml:space="preserve">2018</t>
    </r>
  </si>
  <si>
    <t xml:space="preserve">Tipper Crane</t>
  </si>
  <si>
    <t xml:space="preserve">رافعة قلاب</t>
  </si>
  <si>
    <r>
      <rPr>
        <sz val="11"/>
        <color rgb="FF000000"/>
        <rFont val="Calibri"/>
        <family val="2"/>
        <charset val="1"/>
      </rPr>
      <t xml:space="preserve">Renault DXI280, </t>
    </r>
    <r>
      <rPr>
        <b val="true"/>
        <u val="single"/>
        <sz val="11"/>
        <color rgb="FF000000"/>
        <rFont val="Calibri"/>
        <family val="2"/>
        <charset val="1"/>
      </rPr>
      <t xml:space="preserve">2008</t>
    </r>
  </si>
  <si>
    <r>
      <rPr>
        <sz val="11"/>
        <color rgb="FF000000"/>
        <rFont val="Noto Sans Devanagari"/>
        <family val="2"/>
        <charset val="1"/>
      </rPr>
      <t xml:space="preserve">رينو </t>
    </r>
    <r>
      <rPr>
        <sz val="11"/>
        <color rgb="FF000000"/>
        <rFont val="Calibri"/>
        <family val="2"/>
        <charset val="1"/>
      </rPr>
      <t xml:space="preserve">DXI280</t>
    </r>
    <r>
      <rPr>
        <sz val="11"/>
        <color rgb="FF000000"/>
        <rFont val="Noto Sans Devanagari"/>
        <family val="2"/>
        <charset val="1"/>
      </rPr>
      <t xml:space="preserve">، موديل </t>
    </r>
    <r>
      <rPr>
        <sz val="11"/>
        <color rgb="FF000000"/>
        <rFont val="Calibri"/>
        <family val="2"/>
        <charset val="1"/>
      </rPr>
      <t xml:space="preserve">2008</t>
    </r>
  </si>
  <si>
    <r>
      <rPr>
        <sz val="11"/>
        <color rgb="FF000000"/>
        <rFont val="Noto Sans Devanagari"/>
        <family val="2"/>
        <charset val="1"/>
      </rPr>
      <t xml:space="preserve">رينو </t>
    </r>
    <r>
      <rPr>
        <sz val="11"/>
        <color rgb="FF000000"/>
        <rFont val="Calibri"/>
        <family val="2"/>
        <charset val="1"/>
      </rPr>
      <t xml:space="preserve">DXI280 </t>
    </r>
    <r>
      <rPr>
        <sz val="11"/>
        <color rgb="FF000000"/>
        <rFont val="Noto Sans Devanagari"/>
        <family val="2"/>
        <charset val="1"/>
      </rPr>
      <t xml:space="preserve">موديل </t>
    </r>
    <r>
      <rPr>
        <sz val="11"/>
        <color rgb="FF000000"/>
        <rFont val="Calibri"/>
        <family val="2"/>
        <charset val="1"/>
      </rPr>
      <t xml:space="preserve">2008</t>
    </r>
  </si>
  <si>
    <t xml:space="preserve">قسم المكب</t>
  </si>
  <si>
    <t xml:space="preserve">0021</t>
  </si>
  <si>
    <r>
      <rPr>
        <sz val="11"/>
        <color rgb="FF000000"/>
        <rFont val="Calibri"/>
        <family val="2"/>
        <charset val="1"/>
      </rPr>
      <t xml:space="preserve">Toyota Hilux, </t>
    </r>
    <r>
      <rPr>
        <b val="true"/>
        <u val="single"/>
        <sz val="11"/>
        <color rgb="FF000000"/>
        <rFont val="Calibri"/>
        <family val="2"/>
        <charset val="1"/>
      </rPr>
      <t xml:space="preserve">2010</t>
    </r>
  </si>
  <si>
    <r>
      <rPr>
        <sz val="11"/>
        <color rgb="FF000000"/>
        <rFont val="Noto Sans Devanagari"/>
        <family val="2"/>
        <charset val="1"/>
      </rPr>
      <t xml:space="preserve">تويوتا هايلكس موديل </t>
    </r>
    <r>
      <rPr>
        <sz val="11"/>
        <color rgb="FF000000"/>
        <rFont val="Calibri"/>
        <family val="2"/>
        <charset val="1"/>
      </rPr>
      <t xml:space="preserve">2010</t>
    </r>
  </si>
  <si>
    <r>
      <rPr>
        <sz val="11"/>
        <color rgb="FF000000"/>
        <rFont val="Calibri"/>
        <family val="2"/>
        <charset val="1"/>
      </rPr>
      <t xml:space="preserve">Volkswagens T4, </t>
    </r>
    <r>
      <rPr>
        <b val="true"/>
        <u val="single"/>
        <sz val="11"/>
        <color rgb="FF000000"/>
        <rFont val="Calibri"/>
        <family val="2"/>
        <charset val="1"/>
      </rPr>
      <t xml:space="preserve">1995</t>
    </r>
  </si>
  <si>
    <r>
      <rPr>
        <sz val="11"/>
        <color rgb="FF000000"/>
        <rFont val="Noto Sans Devanagari"/>
        <family val="2"/>
        <charset val="1"/>
      </rPr>
      <t xml:space="preserve">فولكس فاجن </t>
    </r>
    <r>
      <rPr>
        <sz val="11"/>
        <color rgb="FF000000"/>
        <rFont val="Calibri"/>
        <family val="2"/>
        <charset val="1"/>
      </rPr>
      <t xml:space="preserve">T4 </t>
    </r>
    <r>
      <rPr>
        <sz val="11"/>
        <color rgb="FF000000"/>
        <rFont val="Noto Sans Devanagari"/>
        <family val="2"/>
        <charset val="1"/>
      </rPr>
      <t xml:space="preserve">موديل </t>
    </r>
    <r>
      <rPr>
        <sz val="11"/>
        <color rgb="FF000000"/>
        <rFont val="Calibri"/>
        <family val="2"/>
        <charset val="1"/>
      </rPr>
      <t xml:space="preserve">1995</t>
    </r>
  </si>
  <si>
    <r>
      <rPr>
        <sz val="11"/>
        <color rgb="FF000000"/>
        <rFont val="Calibri"/>
        <family val="2"/>
        <charset val="1"/>
      </rPr>
      <t xml:space="preserve">Volvo FL 619, </t>
    </r>
    <r>
      <rPr>
        <b val="true"/>
        <u val="single"/>
        <sz val="11"/>
        <color rgb="FF000000"/>
        <rFont val="Calibri"/>
        <family val="2"/>
        <charset val="1"/>
      </rPr>
      <t xml:space="preserve">1995</t>
    </r>
  </si>
  <si>
    <r>
      <rPr>
        <sz val="11"/>
        <color rgb="FF000000"/>
        <rFont val="Noto Sans Devanagari"/>
        <family val="2"/>
        <charset val="1"/>
      </rPr>
      <t xml:space="preserve">فولفو </t>
    </r>
    <r>
      <rPr>
        <sz val="11"/>
        <color rgb="FF000000"/>
        <rFont val="Calibri"/>
        <family val="2"/>
        <charset val="1"/>
      </rPr>
      <t xml:space="preserve">FL 619 </t>
    </r>
    <r>
      <rPr>
        <sz val="11"/>
        <color rgb="FF000000"/>
        <rFont val="Noto Sans Devanagari"/>
        <family val="2"/>
        <charset val="1"/>
      </rPr>
      <t xml:space="preserve">موديل </t>
    </r>
    <r>
      <rPr>
        <sz val="11"/>
        <color rgb="FF000000"/>
        <rFont val="Calibri"/>
        <family val="2"/>
        <charset val="1"/>
      </rPr>
      <t xml:space="preserve">1995</t>
    </r>
  </si>
  <si>
    <t xml:space="preserve">Tipper Truck</t>
  </si>
  <si>
    <t xml:space="preserve">شاحنة قلاب</t>
  </si>
  <si>
    <r>
      <rPr>
        <sz val="11"/>
        <color rgb="FF000000"/>
        <rFont val="Calibri"/>
        <family val="2"/>
        <charset val="1"/>
      </rPr>
      <t xml:space="preserve">Volvo FM 64R, </t>
    </r>
    <r>
      <rPr>
        <b val="true"/>
        <u val="single"/>
        <sz val="11"/>
        <color rgb="FF000000"/>
        <rFont val="Calibri"/>
        <family val="2"/>
        <charset val="1"/>
      </rPr>
      <t xml:space="preserve">2018</t>
    </r>
  </si>
  <si>
    <r>
      <rPr>
        <sz val="11"/>
        <color rgb="FF000000"/>
        <rFont val="Noto Sans Devanagari"/>
        <family val="2"/>
        <charset val="1"/>
      </rPr>
      <t xml:space="preserve">فولفو </t>
    </r>
    <r>
      <rPr>
        <sz val="11"/>
        <color rgb="FF000000"/>
        <rFont val="Calibri"/>
        <family val="2"/>
        <charset val="1"/>
      </rPr>
      <t xml:space="preserve">FM 64R </t>
    </r>
    <r>
      <rPr>
        <sz val="11"/>
        <color rgb="FF000000"/>
        <rFont val="Noto Sans Devanagari"/>
        <family val="2"/>
        <charset val="1"/>
      </rPr>
      <t xml:space="preserve">موديل </t>
    </r>
    <r>
      <rPr>
        <sz val="11"/>
        <color rgb="FF000000"/>
        <rFont val="Calibri"/>
        <family val="2"/>
        <charset val="1"/>
      </rPr>
      <t xml:space="preserve">2018</t>
    </r>
  </si>
  <si>
    <t xml:space="preserve">Vacuum Jetter</t>
  </si>
  <si>
    <t xml:space="preserve">كاسحة مجاري</t>
  </si>
  <si>
    <r>
      <rPr>
        <sz val="11"/>
        <color rgb="FF000000"/>
        <rFont val="Calibri"/>
        <family val="2"/>
        <charset val="1"/>
      </rPr>
      <t xml:space="preserve">Volvo-FM64R, </t>
    </r>
    <r>
      <rPr>
        <b val="true"/>
        <u val="single"/>
        <sz val="11"/>
        <color rgb="FF000000"/>
        <rFont val="Calibri"/>
        <family val="2"/>
        <charset val="1"/>
      </rPr>
      <t xml:space="preserve">2016</t>
    </r>
  </si>
  <si>
    <r>
      <rPr>
        <sz val="11"/>
        <color rgb="FF000000"/>
        <rFont val="Noto Sans Devanagari"/>
        <family val="2"/>
        <charset val="1"/>
      </rPr>
      <t xml:space="preserve">فولفو</t>
    </r>
    <r>
      <rPr>
        <sz val="11"/>
        <color rgb="FF000000"/>
        <rFont val="Calibri"/>
        <family val="2"/>
        <charset val="1"/>
      </rPr>
      <t xml:space="preserve">-FM64R </t>
    </r>
    <r>
      <rPr>
        <sz val="11"/>
        <color rgb="FF000000"/>
        <rFont val="Noto Sans Devanagari"/>
        <family val="2"/>
        <charset val="1"/>
      </rPr>
      <t xml:space="preserve">موديل </t>
    </r>
    <r>
      <rPr>
        <sz val="11"/>
        <color rgb="FF000000"/>
        <rFont val="Calibri"/>
        <family val="2"/>
        <charset val="1"/>
      </rPr>
      <t xml:space="preserve">2016</t>
    </r>
  </si>
  <si>
    <r>
      <rPr>
        <sz val="11"/>
        <color rgb="FF000000"/>
        <rFont val="Noto Sans Devanagari"/>
        <family val="2"/>
        <charset val="1"/>
      </rPr>
      <t xml:space="preserve">فولفو</t>
    </r>
    <r>
      <rPr>
        <sz val="11"/>
        <color rgb="FF000000"/>
        <rFont val="Calibri"/>
        <family val="2"/>
        <charset val="1"/>
      </rPr>
      <t xml:space="preserve">-FM64R</t>
    </r>
    <r>
      <rPr>
        <sz val="11"/>
        <color rgb="FF000000"/>
        <rFont val="Noto Sans Devanagari"/>
        <family val="2"/>
        <charset val="1"/>
      </rPr>
      <t xml:space="preserve">، الموديل ٢٠١٦</t>
    </r>
  </si>
  <si>
    <r>
      <rPr>
        <sz val="11"/>
        <color rgb="FF000000"/>
        <rFont val="Noto Sans Devanagari"/>
        <family val="2"/>
        <charset val="1"/>
      </rPr>
      <t xml:space="preserve">فولفو </t>
    </r>
    <r>
      <rPr>
        <sz val="11"/>
        <color rgb="FF000000"/>
        <rFont val="Calibri"/>
        <family val="2"/>
        <charset val="1"/>
      </rPr>
      <t xml:space="preserve">FM64R</t>
    </r>
    <r>
      <rPr>
        <sz val="11"/>
        <color rgb="FF000000"/>
        <rFont val="Noto Sans Devanagari"/>
        <family val="2"/>
        <charset val="1"/>
      </rPr>
      <t xml:space="preserve">، موديل ٢٠١٦</t>
    </r>
  </si>
  <si>
    <t xml:space="preserve">Roll on/off</t>
  </si>
  <si>
    <r>
      <rPr>
        <sz val="11"/>
        <color rgb="FF000000"/>
        <rFont val="Noto Sans Devanagari"/>
        <family val="2"/>
        <charset val="1"/>
      </rPr>
      <t xml:space="preserve">رمثة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Devanagari"/>
        <family val="2"/>
        <charset val="1"/>
      </rPr>
      <t xml:space="preserve">شاحنة كبيرة</t>
    </r>
  </si>
  <si>
    <r>
      <rPr>
        <sz val="11"/>
        <color rgb="FF000000"/>
        <rFont val="Calibri"/>
        <family val="2"/>
        <charset val="1"/>
      </rPr>
      <t xml:space="preserve">Volvo-FM84FR, </t>
    </r>
    <r>
      <rPr>
        <b val="true"/>
        <u val="single"/>
        <sz val="11"/>
        <color rgb="FF000000"/>
        <rFont val="Calibri"/>
        <family val="2"/>
        <charset val="1"/>
      </rPr>
      <t xml:space="preserve">2016</t>
    </r>
  </si>
  <si>
    <r>
      <rPr>
        <sz val="11"/>
        <color rgb="FF000000"/>
        <rFont val="Noto Sans Devanagari"/>
        <family val="2"/>
        <charset val="1"/>
      </rPr>
      <t xml:space="preserve">فولفو </t>
    </r>
    <r>
      <rPr>
        <sz val="11"/>
        <color rgb="FF000000"/>
        <rFont val="Calibri"/>
        <family val="2"/>
        <charset val="1"/>
      </rPr>
      <t xml:space="preserve">FM84FR</t>
    </r>
    <r>
      <rPr>
        <sz val="11"/>
        <color rgb="FF000000"/>
        <rFont val="Noto Sans Devanagari"/>
        <family val="2"/>
        <charset val="1"/>
      </rPr>
      <t xml:space="preserve">، موديل ٢٠١٦</t>
    </r>
  </si>
  <si>
    <t xml:space="preserve">Bulldozer</t>
  </si>
  <si>
    <t xml:space="preserve">بلدوزر</t>
  </si>
  <si>
    <t xml:space="preserve">Bulldozer Caterillar DBR</t>
  </si>
  <si>
    <r>
      <rPr>
        <sz val="11"/>
        <color rgb="FF000000"/>
        <rFont val="Noto Sans Devanagari"/>
        <family val="2"/>
        <charset val="1"/>
      </rPr>
      <t xml:space="preserve">كاتربيلر </t>
    </r>
    <r>
      <rPr>
        <sz val="11"/>
        <color rgb="FF000000"/>
        <rFont val="Calibri"/>
        <family val="2"/>
        <charset val="1"/>
      </rPr>
      <t xml:space="preserve">DBR</t>
    </r>
    <r>
      <rPr>
        <sz val="11"/>
        <color rgb="FF000000"/>
        <rFont val="Noto Sans Devanagari"/>
        <family val="2"/>
        <charset val="1"/>
      </rPr>
      <t xml:space="preserve">، موديل ٢٠١٨</t>
    </r>
  </si>
  <si>
    <t xml:space="preserve">Weel Loader </t>
  </si>
  <si>
    <t xml:space="preserve">كباش</t>
  </si>
  <si>
    <t xml:space="preserve">Weel Loader Caterpillar 950L</t>
  </si>
  <si>
    <r>
      <rPr>
        <sz val="11"/>
        <color rgb="FF000000"/>
        <rFont val="Noto Sans Devanagari"/>
        <family val="2"/>
        <charset val="1"/>
      </rPr>
      <t xml:space="preserve">لودر كاتربيلر </t>
    </r>
    <r>
      <rPr>
        <sz val="11"/>
        <color rgb="FF000000"/>
        <rFont val="Calibri"/>
        <family val="2"/>
        <charset val="1"/>
      </rPr>
      <t xml:space="preserve">950L</t>
    </r>
    <r>
      <rPr>
        <sz val="11"/>
        <color rgb="FF000000"/>
        <rFont val="Noto Sans Devanagari"/>
        <family val="2"/>
        <charset val="1"/>
      </rPr>
      <t xml:space="preserve">، موديل ٢٠١٨</t>
    </r>
  </si>
  <si>
    <t xml:space="preserve">Landfill Compactors</t>
  </si>
  <si>
    <r>
      <rPr>
        <sz val="11"/>
        <color rgb="FF000000"/>
        <rFont val="Noto Sans Devanagari"/>
        <family val="2"/>
        <charset val="1"/>
      </rPr>
      <t xml:space="preserve">مكب نفايات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Noto Sans Devanagari"/>
        <family val="2"/>
        <charset val="1"/>
      </rPr>
      <t xml:space="preserve">ضاغطة</t>
    </r>
  </si>
  <si>
    <t xml:space="preserve">Landfill Compactors Caterpillar 826k</t>
  </si>
  <si>
    <r>
      <rPr>
        <sz val="11"/>
        <color rgb="FF000000"/>
        <rFont val="Noto Sans Devanagari"/>
        <family val="2"/>
        <charset val="1"/>
      </rPr>
      <t xml:space="preserve">كاتربيلر </t>
    </r>
    <r>
      <rPr>
        <sz val="11"/>
        <color rgb="FF000000"/>
        <rFont val="Calibri"/>
        <family val="2"/>
        <charset val="1"/>
      </rPr>
      <t xml:space="preserve">826k</t>
    </r>
    <r>
      <rPr>
        <sz val="11"/>
        <color rgb="FF000000"/>
        <rFont val="Noto Sans Devanagari"/>
        <family val="2"/>
        <charset val="1"/>
      </rPr>
      <t xml:space="preserve">، موديل ٢٠١٨</t>
    </r>
  </si>
  <si>
    <t xml:space="preserve">SkidSteer Loader</t>
  </si>
  <si>
    <t xml:space="preserve">بوبكات</t>
  </si>
  <si>
    <t xml:space="preserve">SkidSteer Loader CAT 232D</t>
  </si>
  <si>
    <r>
      <rPr>
        <sz val="11"/>
        <color rgb="FF000000"/>
        <rFont val="Noto Sans Devanagari"/>
        <family val="2"/>
        <charset val="1"/>
      </rPr>
      <t xml:space="preserve">كاتربيلر </t>
    </r>
    <r>
      <rPr>
        <sz val="11"/>
        <color rgb="FF000000"/>
        <rFont val="Calibri"/>
        <family val="2"/>
        <charset val="1"/>
      </rPr>
      <t xml:space="preserve">232D</t>
    </r>
    <r>
      <rPr>
        <sz val="11"/>
        <color rgb="FF000000"/>
        <rFont val="Noto Sans Devanagari"/>
        <family val="2"/>
        <charset val="1"/>
      </rPr>
      <t xml:space="preserve">، موديل ٢٠١٨</t>
    </r>
  </si>
  <si>
    <t xml:space="preserve">#</t>
  </si>
  <si>
    <t xml:space="preserve">اسم البند</t>
  </si>
  <si>
    <t xml:space="preserve"> Description</t>
  </si>
  <si>
    <t xml:space="preserve">UOM</t>
  </si>
  <si>
    <t xml:space="preserve">Qty</t>
  </si>
  <si>
    <r>
      <rPr>
        <b val="true"/>
        <sz val="11"/>
        <color theme="1"/>
        <rFont val="Calibri"/>
        <family val="2"/>
        <charset val="1"/>
      </rPr>
      <t xml:space="preserve">Service Cost </t>
    </r>
    <r>
      <rPr>
        <b val="true"/>
        <sz val="11"/>
        <color rgb="FFFFFF00"/>
        <rFont val="Calibri"/>
        <family val="2"/>
        <charset val="1"/>
      </rPr>
      <t xml:space="preserve">(US$)</t>
    </r>
  </si>
  <si>
    <t xml:space="preserve">1</t>
  </si>
  <si>
    <t xml:space="preserve">إصلاحات محرك</t>
  </si>
  <si>
    <t xml:space="preserve">Engine Repairs</t>
  </si>
  <si>
    <t xml:space="preserve">1.1</t>
  </si>
  <si>
    <t xml:space="preserve">منظم ضغط العادم</t>
  </si>
  <si>
    <t xml:space="preserve">EPG</t>
  </si>
  <si>
    <t xml:space="preserve">NO</t>
  </si>
  <si>
    <t xml:space="preserve">1.2</t>
  </si>
  <si>
    <t xml:space="preserve">مصحة سولار</t>
  </si>
  <si>
    <t xml:space="preserve">FUEL PUMP</t>
  </si>
  <si>
    <t xml:space="preserve">1.3</t>
  </si>
  <si>
    <t xml:space="preserve">تيوم تشارجر</t>
  </si>
  <si>
    <t xml:space="preserve">Turbocharger</t>
  </si>
  <si>
    <t xml:space="preserve">1.4</t>
  </si>
  <si>
    <t xml:space="preserve">استبدال بخاخ</t>
  </si>
  <si>
    <t xml:space="preserve">injector replacements</t>
  </si>
  <si>
    <t xml:space="preserve">set</t>
  </si>
  <si>
    <t xml:space="preserve">1.5</t>
  </si>
  <si>
    <t xml:space="preserve">تنظيف أو تبديل فلتر العادم</t>
  </si>
  <si>
    <t xml:space="preserve">DPF cleaning/replacement</t>
  </si>
  <si>
    <t xml:space="preserve">1.6</t>
  </si>
  <si>
    <t xml:space="preserve">فلتر سولار</t>
  </si>
  <si>
    <t xml:space="preserve">Fuel Filter</t>
  </si>
  <si>
    <t xml:space="preserve">1.7</t>
  </si>
  <si>
    <t xml:space="preserve">فلتر ميابيش</t>
  </si>
  <si>
    <t xml:space="preserve">Air Dryer Filter</t>
  </si>
  <si>
    <t xml:space="preserve">1.8</t>
  </si>
  <si>
    <t xml:space="preserve">فلتر هواء</t>
  </si>
  <si>
    <t xml:space="preserve">AIR Filter</t>
  </si>
  <si>
    <t xml:space="preserve">1.9</t>
  </si>
  <si>
    <t xml:space="preserve">فلتر زيت أولي</t>
  </si>
  <si>
    <t xml:space="preserve">Primary Oil Filter</t>
  </si>
  <si>
    <t xml:space="preserve">1.10</t>
  </si>
  <si>
    <t xml:space="preserve">فلتر زيت ثانوي</t>
  </si>
  <si>
    <t xml:space="preserve">Secondary Oil Filter</t>
  </si>
  <si>
    <t xml:space="preserve">1.11</t>
  </si>
  <si>
    <t xml:space="preserve">فلتر مكيف</t>
  </si>
  <si>
    <t xml:space="preserve">A/C Filter</t>
  </si>
  <si>
    <t xml:space="preserve">1.12</t>
  </si>
  <si>
    <t xml:space="preserve">فلتر هيدروليك</t>
  </si>
  <si>
    <t xml:space="preserve">Hydraulic Filter</t>
  </si>
  <si>
    <t xml:space="preserve">1.13</t>
  </si>
  <si>
    <t xml:space="preserve">بكرة شداد التقسيمة</t>
  </si>
  <si>
    <t xml:space="preserve">Timing Belt Tensioner Pulley</t>
  </si>
  <si>
    <t xml:space="preserve">1.14</t>
  </si>
  <si>
    <t xml:space="preserve">بكرة تقسيمة</t>
  </si>
  <si>
    <t xml:space="preserve">Timing Belt Pulley / Camshaft Pulley</t>
  </si>
  <si>
    <t xml:space="preserve">1.15</t>
  </si>
  <si>
    <t xml:space="preserve">جلده دينامو</t>
  </si>
  <si>
    <t xml:space="preserve">Alternator Belt/V-Belt/Serpentine Belt</t>
  </si>
  <si>
    <t xml:space="preserve">1.16</t>
  </si>
  <si>
    <t xml:space="preserve">بكرة دينامو</t>
  </si>
  <si>
    <t xml:space="preserve">Alternator Pulley</t>
  </si>
  <si>
    <t xml:space="preserve">1.17</t>
  </si>
  <si>
    <t xml:space="preserve">قاعد فلتر ميابيش كاملة</t>
  </si>
  <si>
    <t xml:space="preserve">Complete Air Dryer Filter Base Assembly</t>
  </si>
  <si>
    <t xml:space="preserve">1.18</t>
  </si>
  <si>
    <t xml:space="preserve">منظم  </t>
  </si>
  <si>
    <t xml:space="preserve">Volvo Engine Brake Controller</t>
  </si>
  <si>
    <t xml:space="preserve">1.19</t>
  </si>
  <si>
    <t xml:space="preserve">انابيب توصيل داخلية</t>
  </si>
  <si>
    <t xml:space="preserve">Internal Connecting Pipes</t>
  </si>
  <si>
    <t xml:space="preserve">2</t>
  </si>
  <si>
    <t xml:space="preserve">نظام التبريد</t>
  </si>
  <si>
    <t xml:space="preserve">Cooling System</t>
  </si>
  <si>
    <t xml:space="preserve">2.1</t>
  </si>
  <si>
    <t xml:space="preserve">اصلاح راديتر</t>
  </si>
  <si>
    <t xml:space="preserve">Radiater repair</t>
  </si>
  <si>
    <t xml:space="preserve">2.2</t>
  </si>
  <si>
    <t xml:space="preserve">استبدال راديتر</t>
  </si>
  <si>
    <t xml:space="preserve">Radiater replacement</t>
  </si>
  <si>
    <t xml:space="preserve">2.3</t>
  </si>
  <si>
    <t xml:space="preserve">تيرموستات</t>
  </si>
  <si>
    <t xml:space="preserve">thermostat replacement</t>
  </si>
  <si>
    <t xml:space="preserve">2.4</t>
  </si>
  <si>
    <t xml:space="preserve">صيانة كلتش مروحة التبريد</t>
  </si>
  <si>
    <t xml:space="preserve">Cooling fan clutch service</t>
  </si>
  <si>
    <t xml:space="preserve">2.5</t>
  </si>
  <si>
    <t xml:space="preserve">مضحة مبرد</t>
  </si>
  <si>
    <t xml:space="preserve">Coolant Pump/Radiator Water Pump</t>
  </si>
  <si>
    <t xml:space="preserve">2.6</t>
  </si>
  <si>
    <t xml:space="preserve">استبدال خراطيم سائل التبريد</t>
  </si>
  <si>
    <t xml:space="preserve">Coolant hoses replacement</t>
  </si>
  <si>
    <t xml:space="preserve">3</t>
  </si>
  <si>
    <t xml:space="preserve">ناقل الحركة ونظام الدفع</t>
  </si>
  <si>
    <t xml:space="preserve">Transmission &amp; Drivetrain</t>
  </si>
  <si>
    <t xml:space="preserve">3.1</t>
  </si>
  <si>
    <t xml:space="preserve">اصلاح جير بكس</t>
  </si>
  <si>
    <t xml:space="preserve">Gearbox repairs</t>
  </si>
  <si>
    <t xml:space="preserve">3.2</t>
  </si>
  <si>
    <t xml:space="preserve">استبدال كلتش</t>
  </si>
  <si>
    <t xml:space="preserve">clutch replacement</t>
  </si>
  <si>
    <t xml:space="preserve">3.3</t>
  </si>
  <si>
    <t xml:space="preserve">التجديد دسك وكلتش</t>
  </si>
  <si>
    <t xml:space="preserve">clutch repaire</t>
  </si>
  <si>
    <t xml:space="preserve">3.4</t>
  </si>
  <si>
    <t xml:space="preserve">طرمبة كلتش علوية</t>
  </si>
  <si>
    <t xml:space="preserve">Clutch Master Cylinder-uper clutch pump</t>
  </si>
  <si>
    <t xml:space="preserve">3.5</t>
  </si>
  <si>
    <t xml:space="preserve">طرمبة كلتش سفلية</t>
  </si>
  <si>
    <t xml:space="preserve">Clutch Slave Cylinder-lower clutch pump</t>
  </si>
  <si>
    <t xml:space="preserve">صيانة عمود الكردان ووصلاته</t>
  </si>
  <si>
    <t xml:space="preserve">propeller shaft and U-joints service</t>
  </si>
  <si>
    <t xml:space="preserve">اصلاح الدفرنس أو علبة</t>
  </si>
  <si>
    <t xml:space="preserve">differential repairs</t>
  </si>
  <si>
    <t xml:space="preserve">3.6</t>
  </si>
  <si>
    <t xml:space="preserve">صيانة علبة التروس المساعدة</t>
  </si>
  <si>
    <t xml:space="preserve">PTO repairs</t>
  </si>
  <si>
    <t xml:space="preserve">3.7</t>
  </si>
  <si>
    <r>
      <rPr>
        <sz val="11"/>
        <color rgb="FF1F1F1F"/>
        <rFont val="Noto Sans Devanagari"/>
        <family val="2"/>
        <charset val="1"/>
      </rPr>
      <t xml:space="preserve">تلف الخبيزيكي </t>
    </r>
    <r>
      <rPr>
        <sz val="11"/>
        <color rgb="FF1F1F1F"/>
        <rFont val="Calibri"/>
        <family val="2"/>
        <charset val="1"/>
      </rPr>
      <t xml:space="preserve">(</t>
    </r>
    <r>
      <rPr>
        <sz val="11"/>
        <color rgb="FF1F1F1F"/>
        <rFont val="Noto Sans Devanagari"/>
        <family val="2"/>
        <charset val="1"/>
      </rPr>
      <t xml:space="preserve">صمام التغيير</t>
    </r>
    <r>
      <rPr>
        <sz val="11"/>
        <color rgb="FF1F1F1F"/>
        <rFont val="Calibri"/>
        <family val="2"/>
        <charset val="1"/>
      </rPr>
      <t xml:space="preserve">)</t>
    </r>
  </si>
  <si>
    <t xml:space="preserve">Transmission Control Valve</t>
  </si>
  <si>
    <t xml:space="preserve">3.8</t>
  </si>
  <si>
    <t xml:space="preserve">جمال درایف شافت</t>
  </si>
  <si>
    <t xml:space="preserve">Universal Joint (U-Joint) for Driveshaft</t>
  </si>
  <si>
    <t xml:space="preserve">3.9</t>
  </si>
  <si>
    <t xml:space="preserve">صليب عمود الشفط</t>
  </si>
  <si>
    <t xml:space="preserve">Propeller Shaft Carrier / Driveshaft Bearing Bracket</t>
  </si>
  <si>
    <t xml:space="preserve">4</t>
  </si>
  <si>
    <t xml:space="preserve">نظام التعليق والتوجيه</t>
  </si>
  <si>
    <t xml:space="preserve">Suspension &amp; Steering</t>
  </si>
  <si>
    <t xml:space="preserve">4.1</t>
  </si>
  <si>
    <t xml:space="preserve">استبدال يايات ورقية أو تغيير</t>
  </si>
  <si>
    <t xml:space="preserve">Leaf spring replacement</t>
  </si>
  <si>
    <t xml:space="preserve">4.2</t>
  </si>
  <si>
    <t xml:space="preserve">استبدال جوزة</t>
  </si>
  <si>
    <t xml:space="preserve">bushing replacement</t>
  </si>
  <si>
    <t xml:space="preserve">4.3</t>
  </si>
  <si>
    <t xml:space="preserve">تغيير رؤوس أذرع التوجيه</t>
  </si>
  <si>
    <t xml:space="preserve">tie rod ends</t>
  </si>
  <si>
    <t xml:space="preserve">4.4</t>
  </si>
  <si>
    <t xml:space="preserve">إصلاح مضخة الباور</t>
  </si>
  <si>
    <t xml:space="preserve">steering pump repairs</t>
  </si>
  <si>
    <t xml:space="preserve">4.5</t>
  </si>
  <si>
    <t xml:space="preserve">برغي عجل صمولة</t>
  </si>
  <si>
    <t xml:space="preserve">Wheel Bolt and Nut</t>
  </si>
  <si>
    <t xml:space="preserve">5</t>
  </si>
  <si>
    <t xml:space="preserve">نظام الفرامل</t>
  </si>
  <si>
    <t xml:space="preserve">Brake System</t>
  </si>
  <si>
    <t xml:space="preserve">5.1</t>
  </si>
  <si>
    <t xml:space="preserve">قرص فرامل</t>
  </si>
  <si>
    <t xml:space="preserve">Brake Disc/Rotor</t>
  </si>
  <si>
    <t xml:space="preserve">5.2</t>
  </si>
  <si>
    <t xml:space="preserve">سبيد باند</t>
  </si>
  <si>
    <t xml:space="preserve">Speed Band</t>
  </si>
  <si>
    <t xml:space="preserve">5.3</t>
  </si>
  <si>
    <t xml:space="preserve">حساس الفرامل</t>
  </si>
  <si>
    <t xml:space="preserve">ABS sensor replacement</t>
  </si>
  <si>
    <t xml:space="preserve">5.4</t>
  </si>
  <si>
    <r>
      <rPr>
        <sz val="11"/>
        <color rgb="FF1F1F1F"/>
        <rFont val="Noto Sans Devanagari"/>
        <family val="2"/>
        <charset val="1"/>
      </rPr>
      <t xml:space="preserve">طقم لقمد بريك </t>
    </r>
    <r>
      <rPr>
        <sz val="11"/>
        <color rgb="FF1F1F1F"/>
        <rFont val="Calibri"/>
        <family val="2"/>
        <charset val="1"/>
      </rPr>
      <t xml:space="preserve">4 </t>
    </r>
    <r>
      <rPr>
        <sz val="11"/>
        <color rgb="FF1F1F1F"/>
        <rFont val="Noto Sans Devanagari"/>
        <family val="2"/>
        <charset val="1"/>
      </rPr>
      <t xml:space="preserve">قطع خاص</t>
    </r>
  </si>
  <si>
    <t xml:space="preserve">Brake Pads/Brake Linings</t>
  </si>
  <si>
    <t xml:space="preserve">5.5</t>
  </si>
  <si>
    <t xml:space="preserve">صيانة كمبروسر الهواء</t>
  </si>
  <si>
    <t xml:space="preserve">Air compressor servicing</t>
  </si>
  <si>
    <t xml:space="preserve">5.7</t>
  </si>
  <si>
    <t xml:space="preserve">مجفف هواء</t>
  </si>
  <si>
    <t xml:space="preserve">Air Dryer</t>
  </si>
  <si>
    <t xml:space="preserve">5.8</t>
  </si>
  <si>
    <t xml:space="preserve">تلف فرامل خلفية</t>
  </si>
  <si>
    <t xml:space="preserve">Rear Brake Valve</t>
  </si>
  <si>
    <t xml:space="preserve">6</t>
  </si>
  <si>
    <t xml:space="preserve">الأعمال الكهربائية والبرمجة</t>
  </si>
  <si>
    <t xml:space="preserve">Electrical &amp; Programing</t>
  </si>
  <si>
    <t xml:space="preserve">6.1</t>
  </si>
  <si>
    <t xml:space="preserve">اصلاح ملف</t>
  </si>
  <si>
    <t xml:space="preserve">Starter motor repair</t>
  </si>
  <si>
    <t xml:space="preserve">6.2</t>
  </si>
  <si>
    <t xml:space="preserve">استبدال ملف</t>
  </si>
  <si>
    <t xml:space="preserve">Starter motor replacement</t>
  </si>
  <si>
    <t xml:space="preserve">6.3</t>
  </si>
  <si>
    <t xml:space="preserve">اصلاح دينمو</t>
  </si>
  <si>
    <t xml:space="preserve">alternator repair</t>
  </si>
  <si>
    <t xml:space="preserve">6.4</t>
  </si>
  <si>
    <t xml:space="preserve">استبدال دينمو</t>
  </si>
  <si>
    <t xml:space="preserve">alternator replacement</t>
  </si>
  <si>
    <t xml:space="preserve">6.5</t>
  </si>
  <si>
    <t xml:space="preserve">فحص مكتبات اعطال</t>
  </si>
  <si>
    <t xml:space="preserve">electrical circuit troubleshooting</t>
  </si>
  <si>
    <t xml:space="preserve">6.6</t>
  </si>
  <si>
    <t xml:space="preserve">التوصيل الداخلية</t>
  </si>
  <si>
    <t xml:space="preserve">Repair and replacement of damaged wiring harnesses</t>
  </si>
  <si>
    <t xml:space="preserve">6.7</t>
  </si>
  <si>
    <t xml:space="preserve">استبدال أنظمة الإضاءة</t>
  </si>
  <si>
    <t xml:space="preserve">replacement of lighting systems</t>
  </si>
  <si>
    <t xml:space="preserve">6.8</t>
  </si>
  <si>
    <t xml:space="preserve">اصلاح لوحة قيادة</t>
  </si>
  <si>
    <t xml:space="preserve">replacement dashboard instruments</t>
  </si>
  <si>
    <t xml:space="preserve">6.9</t>
  </si>
  <si>
    <t xml:space="preserve">اصلاح لوحة كهربائية</t>
  </si>
  <si>
    <t xml:space="preserve">control modules repair</t>
  </si>
  <si>
    <t xml:space="preserve">6.10</t>
  </si>
  <si>
    <t xml:space="preserve">استبدال لوحة كهربائية</t>
  </si>
  <si>
    <t xml:space="preserve">control modules replacement</t>
  </si>
  <si>
    <t xml:space="preserve">6.12</t>
  </si>
  <si>
    <t xml:space="preserve">فحص وبرمجة</t>
  </si>
  <si>
    <t xml:space="preserve">Diagnostic scanning and calibration for engine/electrical</t>
  </si>
  <si>
    <t xml:space="preserve">7</t>
  </si>
  <si>
    <t xml:space="preserve">الأعمال الهيدروليكية</t>
  </si>
  <si>
    <t xml:space="preserve">HYDRULIC</t>
  </si>
  <si>
    <t xml:space="preserve">7.1</t>
  </si>
  <si>
    <r>
      <rPr>
        <sz val="11"/>
        <color rgb="FF1F1F1F"/>
        <rFont val="Noto Sans Devanagari"/>
        <family val="2"/>
        <charset val="1"/>
      </rPr>
      <t xml:space="preserve">خرطوم هيدروليك </t>
    </r>
    <r>
      <rPr>
        <sz val="11"/>
        <color rgb="FF1F1F1F"/>
        <rFont val="Calibri"/>
        <family val="2"/>
        <charset val="1"/>
      </rPr>
      <t xml:space="preserve">3/4 </t>
    </r>
    <r>
      <rPr>
        <sz val="11"/>
        <color rgb="FF1F1F1F"/>
        <rFont val="Noto Sans Devanagari"/>
        <family val="2"/>
        <charset val="1"/>
      </rPr>
      <t xml:space="preserve">انش</t>
    </r>
  </si>
  <si>
    <t xml:space="preserve">HYDRAULIC HOSE 3/4 inch, MANOLE OR EQUIV 2SN/R2T 280</t>
  </si>
  <si>
    <t xml:space="preserve">Meter</t>
  </si>
  <si>
    <t xml:space="preserve">7.2</t>
  </si>
  <si>
    <r>
      <rPr>
        <sz val="11"/>
        <color rgb="FF1F1F1F"/>
        <rFont val="Noto Sans Devanagari"/>
        <family val="2"/>
        <charset val="1"/>
      </rPr>
      <t xml:space="preserve">خرطوم هيدروليك </t>
    </r>
    <r>
      <rPr>
        <sz val="11"/>
        <color rgb="FF1F1F1F"/>
        <rFont val="Calibri"/>
        <family val="2"/>
        <charset val="1"/>
      </rPr>
      <t xml:space="preserve">3/8 </t>
    </r>
    <r>
      <rPr>
        <sz val="11"/>
        <color rgb="FF1F1F1F"/>
        <rFont val="Noto Sans Devanagari"/>
        <family val="2"/>
        <charset val="1"/>
      </rPr>
      <t xml:space="preserve">انش</t>
    </r>
  </si>
  <si>
    <t xml:space="preserve">HYDRAULIC HOSE 3/8 inch, MANOLE OR EQUIV 2SN/R2T 330</t>
  </si>
  <si>
    <t xml:space="preserve">7.3</t>
  </si>
  <si>
    <r>
      <rPr>
        <sz val="11"/>
        <color rgb="FF1F1F1F"/>
        <rFont val="Noto Sans Devanagari"/>
        <family val="2"/>
        <charset val="1"/>
      </rPr>
      <t xml:space="preserve">خرطوم هيدروليك </t>
    </r>
    <r>
      <rPr>
        <sz val="11"/>
        <color rgb="FF1F1F1F"/>
        <rFont val="Calibri"/>
        <family val="2"/>
        <charset val="1"/>
      </rPr>
      <t xml:space="preserve">1/2 </t>
    </r>
    <r>
      <rPr>
        <sz val="11"/>
        <color rgb="FF1F1F1F"/>
        <rFont val="Noto Sans Devanagari"/>
        <family val="2"/>
        <charset val="1"/>
      </rPr>
      <t xml:space="preserve">انش</t>
    </r>
  </si>
  <si>
    <t xml:space="preserve">HYDRAULIC HOSE 1/2 Inch, MANOLE OR EQUIV 2SN/R2T</t>
  </si>
  <si>
    <t xml:space="preserve">7.4</t>
  </si>
  <si>
    <r>
      <rPr>
        <sz val="11"/>
        <color rgb="FF1F1F1F"/>
        <rFont val="Noto Sans Devanagari"/>
        <family val="2"/>
        <charset val="1"/>
      </rPr>
      <t xml:space="preserve">كبسة تلبيج هيدروليك </t>
    </r>
    <r>
      <rPr>
        <sz val="11"/>
        <color rgb="FF1F1F1F"/>
        <rFont val="Calibri"/>
        <family val="2"/>
        <charset val="1"/>
      </rPr>
      <t xml:space="preserve">3/8 </t>
    </r>
    <r>
      <rPr>
        <sz val="11"/>
        <color rgb="FF1F1F1F"/>
        <rFont val="Noto Sans Devanagari"/>
        <family val="2"/>
        <charset val="1"/>
      </rPr>
      <t xml:space="preserve">انش</t>
    </r>
  </si>
  <si>
    <t xml:space="preserve">Hydraulic Hose Fitting Cap 3/8 inch</t>
  </si>
  <si>
    <t xml:space="preserve">No</t>
  </si>
  <si>
    <t xml:space="preserve">7.5</t>
  </si>
  <si>
    <r>
      <rPr>
        <sz val="11"/>
        <color rgb="FF1F1F1F"/>
        <rFont val="Noto Sans Devanagari"/>
        <family val="2"/>
        <charset val="1"/>
      </rPr>
      <t xml:space="preserve">كبسة تلبيج هيدروليك </t>
    </r>
    <r>
      <rPr>
        <sz val="11"/>
        <color rgb="FF1F1F1F"/>
        <rFont val="Calibri"/>
        <family val="2"/>
        <charset val="1"/>
      </rPr>
      <t xml:space="preserve">3/4 </t>
    </r>
    <r>
      <rPr>
        <sz val="11"/>
        <color rgb="FF1F1F1F"/>
        <rFont val="Noto Sans Devanagari"/>
        <family val="2"/>
        <charset val="1"/>
      </rPr>
      <t xml:space="preserve">انش</t>
    </r>
  </si>
  <si>
    <t xml:space="preserve">Hydraulic Hose Fitting Cap 3/4 Inch</t>
  </si>
  <si>
    <t xml:space="preserve">7.6</t>
  </si>
  <si>
    <r>
      <rPr>
        <sz val="11"/>
        <color rgb="FF1F1F1F"/>
        <rFont val="Noto Sans Devanagari"/>
        <family val="2"/>
        <charset val="1"/>
      </rPr>
      <t xml:space="preserve">كبسة تلبيج هيدروليك </t>
    </r>
    <r>
      <rPr>
        <sz val="11"/>
        <color rgb="FF1F1F1F"/>
        <rFont val="Calibri"/>
        <family val="2"/>
        <charset val="1"/>
      </rPr>
      <t xml:space="preserve">1/2 </t>
    </r>
    <r>
      <rPr>
        <sz val="11"/>
        <color rgb="FF1F1F1F"/>
        <rFont val="Noto Sans Devanagari"/>
        <family val="2"/>
        <charset val="1"/>
      </rPr>
      <t xml:space="preserve">انش</t>
    </r>
  </si>
  <si>
    <t xml:space="preserve">Hose Fitting Cap 1/2 Inch</t>
  </si>
  <si>
    <t xml:space="preserve">7.7</t>
  </si>
  <si>
    <r>
      <rPr>
        <sz val="11"/>
        <color rgb="FF1F1F1F"/>
        <rFont val="Noto Sans Devanagari"/>
        <family val="2"/>
        <charset val="1"/>
      </rPr>
      <t xml:space="preserve">ذيل سن خارجي </t>
    </r>
    <r>
      <rPr>
        <sz val="11"/>
        <color rgb="FF1F1F1F"/>
        <rFont val="Calibri"/>
        <family val="2"/>
        <charset val="1"/>
      </rPr>
      <t xml:space="preserve">3/8</t>
    </r>
  </si>
  <si>
    <t xml:space="preserve">Tail Jic Male Hydraulic Hose 3/8 Inch</t>
  </si>
  <si>
    <t xml:space="preserve">7.8</t>
  </si>
  <si>
    <r>
      <rPr>
        <sz val="11"/>
        <color rgb="FF1F1F1F"/>
        <rFont val="Noto Sans Devanagari"/>
        <family val="2"/>
        <charset val="1"/>
      </rPr>
      <t xml:space="preserve">ذيل سن خارجي </t>
    </r>
    <r>
      <rPr>
        <sz val="11"/>
        <color rgb="FF1F1F1F"/>
        <rFont val="Calibri"/>
        <family val="2"/>
        <charset val="1"/>
      </rPr>
      <t xml:space="preserve">3/4</t>
    </r>
  </si>
  <si>
    <t xml:space="preserve">Tail Jic Male Hydraulic Hose 3/4 Inch</t>
  </si>
  <si>
    <t xml:space="preserve">7.9</t>
  </si>
  <si>
    <r>
      <rPr>
        <sz val="11"/>
        <color rgb="FF1F1F1F"/>
        <rFont val="Noto Sans Devanagari"/>
        <family val="2"/>
        <charset val="1"/>
      </rPr>
      <t xml:space="preserve">ذيل سن خارجي </t>
    </r>
    <r>
      <rPr>
        <sz val="11"/>
        <color rgb="FF1F1F1F"/>
        <rFont val="Calibri"/>
        <family val="2"/>
        <charset val="1"/>
      </rPr>
      <t xml:space="preserve">1/2</t>
    </r>
  </si>
  <si>
    <t xml:space="preserve">Tail Jic Male Hydraulic Hose 1/2 Inch</t>
  </si>
  <si>
    <t xml:space="preserve">7.10</t>
  </si>
  <si>
    <r>
      <rPr>
        <sz val="11"/>
        <color rgb="FF1F1F1F"/>
        <rFont val="Noto Sans Devanagari"/>
        <family val="2"/>
        <charset val="1"/>
      </rPr>
      <t xml:space="preserve">ذيل سن داخلي </t>
    </r>
    <r>
      <rPr>
        <sz val="11"/>
        <color rgb="FF1F1F1F"/>
        <rFont val="Calibri"/>
        <family val="2"/>
        <charset val="1"/>
      </rPr>
      <t xml:space="preserve">3/8</t>
    </r>
  </si>
  <si>
    <t xml:space="preserve">Female 900 Cone Seat Fitting 3/8 Inch</t>
  </si>
  <si>
    <t xml:space="preserve">7.11</t>
  </si>
  <si>
    <r>
      <rPr>
        <sz val="11"/>
        <color rgb="FF1F1F1F"/>
        <rFont val="Noto Sans Devanagari"/>
        <family val="2"/>
        <charset val="1"/>
      </rPr>
      <t xml:space="preserve">ذيل سن داخلي </t>
    </r>
    <r>
      <rPr>
        <sz val="11"/>
        <color rgb="FF1F1F1F"/>
        <rFont val="Calibri"/>
        <family val="2"/>
        <charset val="1"/>
      </rPr>
      <t xml:space="preserve">3/4</t>
    </r>
  </si>
  <si>
    <t xml:space="preserve">Female 900 Cone Seat Fitting 3/4 Inch</t>
  </si>
  <si>
    <t xml:space="preserve">7.12</t>
  </si>
  <si>
    <r>
      <rPr>
        <sz val="11"/>
        <color rgb="FF1F1F1F"/>
        <rFont val="Noto Sans Devanagari"/>
        <family val="2"/>
        <charset val="1"/>
      </rPr>
      <t xml:space="preserve">ذيل سن داخلي </t>
    </r>
    <r>
      <rPr>
        <sz val="11"/>
        <color rgb="FF1F1F1F"/>
        <rFont val="Calibri"/>
        <family val="2"/>
        <charset val="1"/>
      </rPr>
      <t xml:space="preserve">1/2</t>
    </r>
  </si>
  <si>
    <t xml:space="preserve">Female 900 Cone Seat Fitting 1/2 Inch</t>
  </si>
  <si>
    <t xml:space="preserve">7.13</t>
  </si>
  <si>
    <r>
      <rPr>
        <sz val="11"/>
        <color rgb="FF1F1F1F"/>
        <rFont val="Noto Sans Devanagari"/>
        <family val="2"/>
        <charset val="1"/>
      </rPr>
      <t xml:space="preserve">كوع ذيل سن داخلي </t>
    </r>
    <r>
      <rPr>
        <sz val="11"/>
        <color rgb="FF1F1F1F"/>
        <rFont val="Calibri"/>
        <family val="2"/>
        <charset val="1"/>
      </rPr>
      <t xml:space="preserve">3/8</t>
    </r>
  </si>
  <si>
    <t xml:space="preserve">90 Degree Elbow Hydraulic Hose Fitting SAE 3/8 inch</t>
  </si>
  <si>
    <t xml:space="preserve">7.14</t>
  </si>
  <si>
    <r>
      <rPr>
        <sz val="11"/>
        <color rgb="FF1F1F1F"/>
        <rFont val="Noto Sans Devanagari"/>
        <family val="2"/>
        <charset val="1"/>
      </rPr>
      <t xml:space="preserve">كوع ذيل سن داخلي </t>
    </r>
    <r>
      <rPr>
        <sz val="11"/>
        <color rgb="FF1F1F1F"/>
        <rFont val="Calibri"/>
        <family val="2"/>
        <charset val="1"/>
      </rPr>
      <t xml:space="preserve">3/4</t>
    </r>
  </si>
  <si>
    <t xml:space="preserve">90 Degree Elbow Hydraulic Hose Fitting SAE 3/4 Inch</t>
  </si>
  <si>
    <t xml:space="preserve">7.15</t>
  </si>
  <si>
    <r>
      <rPr>
        <sz val="11"/>
        <color rgb="FF1F1F1F"/>
        <rFont val="Noto Sans Devanagari"/>
        <family val="2"/>
        <charset val="1"/>
      </rPr>
      <t xml:space="preserve">كوع ذيل سن داخلي </t>
    </r>
    <r>
      <rPr>
        <sz val="11"/>
        <color rgb="FF1F1F1F"/>
        <rFont val="Calibri"/>
        <family val="2"/>
        <charset val="1"/>
      </rPr>
      <t xml:space="preserve">1/2</t>
    </r>
  </si>
  <si>
    <t xml:space="preserve">90 Degree Elbow Hydraulic Hose Fitting SAE 1/2 Inch</t>
  </si>
  <si>
    <t xml:space="preserve">7.16</t>
  </si>
  <si>
    <r>
      <rPr>
        <sz val="11"/>
        <color rgb="FF1F1F1F"/>
        <rFont val="Noto Sans Devanagari"/>
        <family val="2"/>
        <charset val="1"/>
      </rPr>
      <t xml:space="preserve">خرطوم هيدروليك </t>
    </r>
    <r>
      <rPr>
        <sz val="11"/>
        <color rgb="FF1F1F1F"/>
        <rFont val="Calibri"/>
        <family val="2"/>
        <charset val="1"/>
      </rPr>
      <t xml:space="preserve">5/8 </t>
    </r>
    <r>
      <rPr>
        <sz val="11"/>
        <color rgb="FF1F1F1F"/>
        <rFont val="Noto Sans Devanagari"/>
        <family val="2"/>
        <charset val="1"/>
      </rPr>
      <t xml:space="preserve">انش</t>
    </r>
  </si>
  <si>
    <t xml:space="preserve">HOSE 5/8 inch, MANOLE OR EQUIV 2SN/R2T 330</t>
  </si>
  <si>
    <t xml:space="preserve">7.17</t>
  </si>
  <si>
    <r>
      <rPr>
        <sz val="11"/>
        <color rgb="FF1F1F1F"/>
        <rFont val="Noto Sans Devanagari"/>
        <family val="2"/>
        <charset val="1"/>
      </rPr>
      <t xml:space="preserve">كوع ذيل سن داخلي </t>
    </r>
    <r>
      <rPr>
        <sz val="11"/>
        <color rgb="FF1F1F1F"/>
        <rFont val="Calibri"/>
        <family val="2"/>
        <charset val="1"/>
      </rPr>
      <t xml:space="preserve">5/8</t>
    </r>
  </si>
  <si>
    <t xml:space="preserve">90 Degree Elbow Hydraulic Hose Fitting 5/8 Inch</t>
  </si>
  <si>
    <t xml:space="preserve">7.18</t>
  </si>
  <si>
    <r>
      <rPr>
        <sz val="11"/>
        <color rgb="FF1F1F1F"/>
        <rFont val="Noto Sans Devanagari"/>
        <family val="2"/>
        <charset val="1"/>
      </rPr>
      <t xml:space="preserve">ذيل سن داخلي </t>
    </r>
    <r>
      <rPr>
        <sz val="11"/>
        <color rgb="FF1F1F1F"/>
        <rFont val="Calibri"/>
        <family val="2"/>
        <charset val="1"/>
      </rPr>
      <t xml:space="preserve">5/8</t>
    </r>
  </si>
  <si>
    <t xml:space="preserve">900 Cone Seat Fitting 5/8 inch</t>
  </si>
  <si>
    <t xml:space="preserve">7.19</t>
  </si>
  <si>
    <r>
      <rPr>
        <sz val="11"/>
        <color rgb="FF1F1F1F"/>
        <rFont val="Noto Sans Devanagari"/>
        <family val="2"/>
        <charset val="1"/>
      </rPr>
      <t xml:space="preserve">كبسة تلبيج هيدروليك </t>
    </r>
    <r>
      <rPr>
        <sz val="11"/>
        <color rgb="FF1F1F1F"/>
        <rFont val="Calibri"/>
        <family val="2"/>
        <charset val="1"/>
      </rPr>
      <t xml:space="preserve">5/8 </t>
    </r>
    <r>
      <rPr>
        <sz val="11"/>
        <color rgb="FF1F1F1F"/>
        <rFont val="Noto Sans Devanagari"/>
        <family val="2"/>
        <charset val="1"/>
      </rPr>
      <t xml:space="preserve">انش</t>
    </r>
  </si>
  <si>
    <t xml:space="preserve">Hose Fitting Cap 5/8 Inch, [19,22,24,27,30,32,36] MM</t>
  </si>
  <si>
    <t xml:space="preserve">7.20</t>
  </si>
  <si>
    <r>
      <rPr>
        <sz val="11"/>
        <color rgb="FF1F1F1F"/>
        <rFont val="Noto Sans Devanagari"/>
        <family val="2"/>
        <charset val="1"/>
      </rPr>
      <t xml:space="preserve">صيانة وتبديل ختم </t>
    </r>
    <r>
      <rPr>
        <sz val="11"/>
        <color rgb="FF1F1F1F"/>
        <rFont val="Calibri"/>
        <family val="2"/>
        <charset val="1"/>
      </rPr>
      <t xml:space="preserve">(</t>
    </r>
    <r>
      <rPr>
        <sz val="11"/>
        <color rgb="FF1F1F1F"/>
        <rFont val="Noto Sans Devanagari"/>
        <family val="2"/>
        <charset val="1"/>
      </rPr>
      <t xml:space="preserve">رام</t>
    </r>
    <r>
      <rPr>
        <sz val="11"/>
        <color rgb="FF1F1F1F"/>
        <rFont val="Calibri"/>
        <family val="2"/>
        <charset val="1"/>
      </rPr>
      <t xml:space="preserve">) </t>
    </r>
    <r>
      <rPr>
        <sz val="11"/>
        <color rgb="FF1F1F1F"/>
        <rFont val="Noto Sans Devanagari"/>
        <family val="2"/>
        <charset val="1"/>
      </rPr>
      <t xml:space="preserve">الاسطوانة</t>
    </r>
  </si>
  <si>
    <t xml:space="preserve">Hydraulic cylinder (ram) seal replacement and overhaul</t>
  </si>
  <si>
    <t xml:space="preserve">7.21</t>
  </si>
  <si>
    <r>
      <rPr>
        <sz val="11"/>
        <color rgb="FF1F1F1F"/>
        <rFont val="Noto Sans Devanagari"/>
        <family val="2"/>
        <charset val="1"/>
      </rPr>
      <t xml:space="preserve">صيانة أو تبديل مضخة الهيدروليك و </t>
    </r>
    <r>
      <rPr>
        <sz val="11"/>
        <color rgb="FF1F1F1F"/>
        <rFont val="Calibri"/>
        <family val="2"/>
        <charset val="1"/>
      </rPr>
      <t xml:space="preserve">PTO</t>
    </r>
  </si>
  <si>
    <t xml:space="preserve">Hydraulic pump and PTO servicing/replacement</t>
  </si>
  <si>
    <t xml:space="preserve">8</t>
  </si>
  <si>
    <t xml:space="preserve">أعمال صيانة الإطارات</t>
  </si>
  <si>
    <t xml:space="preserve">Tires Repair</t>
  </si>
  <si>
    <t xml:space="preserve">8.1</t>
  </si>
  <si>
    <t xml:space="preserve">بنشر سيارة أو جيب</t>
  </si>
  <si>
    <t xml:space="preserve">Car or Jeep Tire Repair</t>
  </si>
  <si>
    <t xml:space="preserve">8.2</t>
  </si>
  <si>
    <t xml:space="preserve">بنشر شاحنة</t>
  </si>
  <si>
    <t xml:space="preserve">Truck Tire Repair</t>
  </si>
  <si>
    <t xml:space="preserve">8.3</t>
  </si>
  <si>
    <r>
      <rPr>
        <sz val="11"/>
        <color rgb="FF1F1F1F"/>
        <rFont val="Noto Sans Devanagari"/>
        <family val="2"/>
        <charset val="1"/>
      </rPr>
      <t xml:space="preserve">بنشر صغير مع رقعة مقاس </t>
    </r>
    <r>
      <rPr>
        <sz val="11"/>
        <color rgb="FF1F1F1F"/>
        <rFont val="Calibri"/>
        <family val="2"/>
        <charset val="1"/>
      </rPr>
      <t xml:space="preserve">10</t>
    </r>
  </si>
  <si>
    <t xml:space="preserve">Small Tire Repair with Patch Size 10</t>
  </si>
  <si>
    <t xml:space="preserve">8.4</t>
  </si>
  <si>
    <r>
      <rPr>
        <sz val="11"/>
        <color rgb="FF1F1F1F"/>
        <rFont val="Noto Sans Devanagari"/>
        <family val="2"/>
        <charset val="1"/>
      </rPr>
      <t xml:space="preserve">بنشر صغير مع رقعة مقاس </t>
    </r>
    <r>
      <rPr>
        <sz val="11"/>
        <color rgb="FF1F1F1F"/>
        <rFont val="Calibri"/>
        <family val="2"/>
        <charset val="1"/>
      </rPr>
      <t xml:space="preserve">12</t>
    </r>
  </si>
  <si>
    <t xml:space="preserve">Small Tire Repair with Patch Size 12</t>
  </si>
  <si>
    <t xml:space="preserve">8.5</t>
  </si>
  <si>
    <r>
      <rPr>
        <sz val="11"/>
        <color rgb="FF1F1F1F"/>
        <rFont val="Noto Sans Devanagari"/>
        <family val="2"/>
        <charset val="1"/>
      </rPr>
      <t xml:space="preserve">بنشر صغير مع رقعة مقاس </t>
    </r>
    <r>
      <rPr>
        <sz val="11"/>
        <color rgb="FF1F1F1F"/>
        <rFont val="Calibri"/>
        <family val="2"/>
        <charset val="1"/>
      </rPr>
      <t xml:space="preserve">14</t>
    </r>
  </si>
  <si>
    <t xml:space="preserve">Small Tire Repair with Patch Size 14</t>
  </si>
  <si>
    <t xml:space="preserve">8.6</t>
  </si>
  <si>
    <r>
      <rPr>
        <sz val="11"/>
        <color rgb="FF1F1F1F"/>
        <rFont val="Noto Sans Devanagari"/>
        <family val="2"/>
        <charset val="1"/>
      </rPr>
      <t xml:space="preserve">بنشر كبير مع رقعة مقاس </t>
    </r>
    <r>
      <rPr>
        <sz val="11"/>
        <color rgb="FF1F1F1F"/>
        <rFont val="Calibri"/>
        <family val="2"/>
        <charset val="1"/>
      </rPr>
      <t xml:space="preserve">10</t>
    </r>
  </si>
  <si>
    <t xml:space="preserve">Large Tire Repair with Patch Size 10</t>
  </si>
  <si>
    <t xml:space="preserve">8.7</t>
  </si>
  <si>
    <r>
      <rPr>
        <sz val="11"/>
        <color rgb="FF1F1F1F"/>
        <rFont val="Noto Sans Devanagari"/>
        <family val="2"/>
        <charset val="1"/>
      </rPr>
      <t xml:space="preserve">بنشر كبير مع رقعة مقاس </t>
    </r>
    <r>
      <rPr>
        <sz val="11"/>
        <color rgb="FF1F1F1F"/>
        <rFont val="Calibri"/>
        <family val="2"/>
        <charset val="1"/>
      </rPr>
      <t xml:space="preserve">12</t>
    </r>
  </si>
  <si>
    <t xml:space="preserve">Tire Repair with Patch Size 12</t>
  </si>
  <si>
    <t xml:space="preserve">8.8</t>
  </si>
  <si>
    <r>
      <rPr>
        <sz val="11"/>
        <color rgb="FF1F1F1F"/>
        <rFont val="Noto Sans Devanagari"/>
        <family val="2"/>
        <charset val="1"/>
      </rPr>
      <t xml:space="preserve">بنشر كبير مع رقعة مقاس </t>
    </r>
    <r>
      <rPr>
        <sz val="11"/>
        <color rgb="FF1F1F1F"/>
        <rFont val="Calibri"/>
        <family val="2"/>
        <charset val="1"/>
      </rPr>
      <t xml:space="preserve">14</t>
    </r>
  </si>
  <si>
    <t xml:space="preserve">Large Tire Repair with Patch Size 14</t>
  </si>
  <si>
    <t xml:space="preserve">8.9</t>
  </si>
  <si>
    <t xml:space="preserve">بلف نحاس تيوبلس</t>
  </si>
  <si>
    <t xml:space="preserve">Tubeless Copper Valve</t>
  </si>
  <si>
    <t xml:space="preserve">8.10</t>
  </si>
  <si>
    <t xml:space="preserve">بلف جلد سيارة او جيب</t>
  </si>
  <si>
    <t xml:space="preserve">Car or Jeep Rubber Valve</t>
  </si>
  <si>
    <t xml:space="preserve">8.11</t>
  </si>
  <si>
    <t xml:space="preserve">لحام كاوتشوك شاحنة</t>
  </si>
  <si>
    <t xml:space="preserve">Truck Tire Vulcanizing</t>
  </si>
  <si>
    <t xml:space="preserve">8.12</t>
  </si>
  <si>
    <t xml:space="preserve">لحام كاوتشوك سيارة أو جيب</t>
  </si>
  <si>
    <t xml:space="preserve">Car or Jeep Tire Vulcanizing</t>
  </si>
  <si>
    <t xml:space="preserve">8.13</t>
  </si>
  <si>
    <t xml:space="preserve">غراء إصلاح الإطارات</t>
  </si>
  <si>
    <t xml:space="preserve">Tire Repair Glue</t>
  </si>
  <si>
    <t xml:space="preserve">liter</t>
  </si>
  <si>
    <t xml:space="preserve">9</t>
  </si>
  <si>
    <t xml:space="preserve">الزيوت</t>
  </si>
  <si>
    <t xml:space="preserve">Oils</t>
  </si>
  <si>
    <t xml:space="preserve">9.1</t>
  </si>
  <si>
    <t xml:space="preserve">زيت محرك بكر</t>
  </si>
  <si>
    <t xml:space="preserve">SAE 15W 40 API-Ci4-85102464</t>
  </si>
  <si>
    <t xml:space="preserve">litter</t>
  </si>
  <si>
    <t xml:space="preserve">9.2</t>
  </si>
  <si>
    <t xml:space="preserve">زيت هيدروليك</t>
  </si>
  <si>
    <t xml:space="preserve">ISO 68</t>
  </si>
  <si>
    <t xml:space="preserve">Litter</t>
  </si>
  <si>
    <t xml:space="preserve">9.3</t>
  </si>
  <si>
    <t xml:space="preserve">زيت قيربوكس</t>
  </si>
  <si>
    <t xml:space="preserve">75w90 GL-4</t>
  </si>
  <si>
    <t xml:space="preserve">9.4</t>
  </si>
  <si>
    <t xml:space="preserve">زيت بريك</t>
  </si>
  <si>
    <t xml:space="preserve">BRAKE OILS Dot 4</t>
  </si>
  <si>
    <t xml:space="preserve">9.5</t>
  </si>
  <si>
    <t xml:space="preserve">زيت ستيرنج أحمر</t>
  </si>
  <si>
    <t xml:space="preserve">Steering oils Dot 10</t>
  </si>
  <si>
    <t xml:space="preserve">9.6</t>
  </si>
  <si>
    <r>
      <rPr>
        <sz val="11"/>
        <color rgb="FF1F1F1F"/>
        <rFont val="Noto Sans Devanagari"/>
        <family val="2"/>
        <charset val="1"/>
      </rPr>
      <t xml:space="preserve">توربد شحمة </t>
    </r>
    <r>
      <rPr>
        <sz val="11"/>
        <color rgb="FF1F1F1F"/>
        <rFont val="Calibri"/>
        <family val="2"/>
        <charset val="1"/>
      </rPr>
      <t xml:space="preserve">NO.3 </t>
    </r>
    <r>
      <rPr>
        <sz val="11"/>
        <color rgb="FF1F1F1F"/>
        <rFont val="Noto Sans Devanagari"/>
        <family val="2"/>
        <charset val="1"/>
      </rPr>
      <t xml:space="preserve">سعة العبوة </t>
    </r>
    <r>
      <rPr>
        <sz val="11"/>
        <color rgb="FF1F1F1F"/>
        <rFont val="Calibri"/>
        <family val="2"/>
        <charset val="1"/>
      </rPr>
      <t xml:space="preserve">16 </t>
    </r>
    <r>
      <rPr>
        <sz val="11"/>
        <color rgb="FF1F1F1F"/>
        <rFont val="Noto Sans Devanagari"/>
        <family val="2"/>
        <charset val="1"/>
      </rPr>
      <t xml:space="preserve">كجم نوع كاسترول</t>
    </r>
  </si>
  <si>
    <t xml:space="preserve">Grease</t>
  </si>
  <si>
    <t xml:space="preserve">kg</t>
  </si>
  <si>
    <t xml:space="preserve">10</t>
  </si>
  <si>
    <t xml:space="preserve">بطاريات</t>
  </si>
  <si>
    <t xml:space="preserve">Batteries</t>
  </si>
  <si>
    <t xml:space="preserve">10.1</t>
  </si>
  <si>
    <r>
      <rPr>
        <sz val="11"/>
        <color rgb="FF1F1F1F"/>
        <rFont val="Noto Sans Devanagari"/>
        <family val="2"/>
        <charset val="1"/>
      </rPr>
      <t xml:space="preserve">بطارية سائلة سعة </t>
    </r>
    <r>
      <rPr>
        <sz val="11"/>
        <color rgb="FF1F1F1F"/>
        <rFont val="Calibri"/>
        <family val="2"/>
        <charset val="1"/>
      </rPr>
      <t xml:space="preserve">220 </t>
    </r>
    <r>
      <rPr>
        <sz val="11"/>
        <color rgb="FF1F1F1F"/>
        <rFont val="Noto Sans Devanagari"/>
        <family val="2"/>
        <charset val="1"/>
      </rPr>
      <t xml:space="preserve">أمبير</t>
    </r>
  </si>
  <si>
    <t xml:space="preserve">BATTERY,220 AMP. ORDINARY POLE, VOLTA OR EQUIV.</t>
  </si>
  <si>
    <t xml:space="preserve">unit</t>
  </si>
  <si>
    <t xml:space="preserve">10.2</t>
  </si>
  <si>
    <r>
      <rPr>
        <sz val="11"/>
        <color rgb="FF1F1F1F"/>
        <rFont val="Noto Sans Devanagari"/>
        <family val="2"/>
        <charset val="1"/>
      </rPr>
      <t xml:space="preserve">بطارية سائلة سعة </t>
    </r>
    <r>
      <rPr>
        <sz val="11"/>
        <color rgb="FF1F1F1F"/>
        <rFont val="Calibri"/>
        <family val="2"/>
        <charset val="1"/>
      </rPr>
      <t xml:space="preserve">160 </t>
    </r>
    <r>
      <rPr>
        <sz val="11"/>
        <color rgb="FF1F1F1F"/>
        <rFont val="Noto Sans Devanagari"/>
        <family val="2"/>
        <charset val="1"/>
      </rPr>
      <t xml:space="preserve">أمبير</t>
    </r>
  </si>
  <si>
    <t xml:space="preserve">BATTERY, 160 AMP. ORDINARY POLE, VOLTA OR EQUIV.</t>
  </si>
  <si>
    <t xml:space="preserve">10.3</t>
  </si>
  <si>
    <r>
      <rPr>
        <sz val="11"/>
        <color rgb="FF1F1F1F"/>
        <rFont val="Noto Sans Devanagari"/>
        <family val="2"/>
        <charset val="1"/>
      </rPr>
      <t xml:space="preserve">بطارية سائلة سعة </t>
    </r>
    <r>
      <rPr>
        <sz val="11"/>
        <color rgb="FF1F1F1F"/>
        <rFont val="Calibri"/>
        <family val="2"/>
        <charset val="1"/>
      </rPr>
      <t xml:space="preserve">100 </t>
    </r>
    <r>
      <rPr>
        <sz val="11"/>
        <color rgb="FF1F1F1F"/>
        <rFont val="Noto Sans Devanagari"/>
        <family val="2"/>
        <charset val="1"/>
      </rPr>
      <t xml:space="preserve">أمبير</t>
    </r>
  </si>
  <si>
    <t xml:space="preserve">BATTERY 100 AMP, ORDINARY POLE, VOLTA OR EQUIV.</t>
  </si>
  <si>
    <t xml:space="preserve">11</t>
  </si>
  <si>
    <t xml:space="preserve">أعمال حدادة لجسم الآلية</t>
  </si>
  <si>
    <t xml:space="preserve">Chassis &amp; Body</t>
  </si>
  <si>
    <t xml:space="preserve">11.1</t>
  </si>
  <si>
    <t xml:space="preserve">إصلاح أو تدعيم الشاسيه</t>
  </si>
  <si>
    <t xml:space="preserve">Main chassis/frame repair or reinforcement Welding</t>
  </si>
  <si>
    <t xml:space="preserve">11.2</t>
  </si>
  <si>
    <t xml:space="preserve">الكروس ميمبرز</t>
  </si>
  <si>
    <t xml:space="preserve">cross members</t>
  </si>
  <si>
    <t xml:space="preserve">11.3</t>
  </si>
  <si>
    <t xml:space="preserve">إصلاح أو استبدال حوامل نظام التعليق</t>
  </si>
  <si>
    <t xml:space="preserve">Repair or replacement of suspension mounts</t>
  </si>
  <si>
    <t xml:space="preserve">11.4</t>
  </si>
  <si>
    <t xml:space="preserve">لحام قواعد المحور الأمامي أو الخلفي</t>
  </si>
  <si>
    <t xml:space="preserve">Welding front or rear axle mounts</t>
  </si>
  <si>
    <t xml:space="preserve">11.5</t>
  </si>
  <si>
    <t xml:space="preserve">إصلاح حوامل اليايات الورقية</t>
  </si>
  <si>
    <t xml:space="preserve">Repairing leaf spring or air suspension mounts</t>
  </si>
  <si>
    <t xml:space="preserve">11.6</t>
  </si>
  <si>
    <t xml:space="preserve">اصلاح قواعد الدفرنس</t>
  </si>
  <si>
    <t xml:space="preserve">Differential housing bracket repairs</t>
  </si>
  <si>
    <t xml:space="preserve">11.7</t>
  </si>
  <si>
    <t xml:space="preserve">لحام أو استبدال أرضية صندوق الشاحنة</t>
  </si>
  <si>
    <t xml:space="preserve">Welding or replacing truck bed floor panels</t>
  </si>
  <si>
    <t xml:space="preserve">11.8</t>
  </si>
  <si>
    <t xml:space="preserve">اصلاح الجوانب أو الدعامات العمودية</t>
  </si>
  <si>
    <t xml:space="preserve">Repairing side panels or vertical supports</t>
  </si>
  <si>
    <t xml:space="preserve">11.9</t>
  </si>
  <si>
    <t xml:space="preserve">إعادة لحام دعامات الأبواب الخلفية أو الجانبية</t>
  </si>
  <si>
    <t xml:space="preserve">Re-welding tailgate or side door supports</t>
  </si>
  <si>
    <t xml:space="preserve">11.10</t>
  </si>
  <si>
    <r>
      <rPr>
        <sz val="11"/>
        <color rgb="FF1F1F1F"/>
        <rFont val="Noto Sans Devanagari"/>
        <family val="2"/>
        <charset val="1"/>
      </rPr>
      <t xml:space="preserve">اصلاح أو استبدال قضبان الحماية الجانبية</t>
    </r>
    <r>
      <rPr>
        <sz val="11"/>
        <color rgb="FF1F1F1F"/>
        <rFont val="Calibri"/>
        <family val="2"/>
        <charset val="1"/>
      </rPr>
      <t xml:space="preserve">/</t>
    </r>
    <r>
      <rPr>
        <sz val="11"/>
        <color rgb="FF1F1F1F"/>
        <rFont val="Noto Sans Devanagari"/>
        <family val="2"/>
        <charset val="1"/>
      </rPr>
      <t xml:space="preserve">الخلفية</t>
    </r>
  </si>
  <si>
    <t xml:space="preserve">Repair or replacement of side/rear underride guards</t>
  </si>
  <si>
    <t xml:space="preserve">11.11</t>
  </si>
  <si>
    <t xml:space="preserve">لحام حوامل الصدمات</t>
  </si>
  <si>
    <t xml:space="preserve">Bumper bracket welding</t>
  </si>
  <si>
    <t xml:space="preserve">11.12</t>
  </si>
  <si>
    <t xml:space="preserve">إعادة لحام قواعد تثبيت الهيكل</t>
  </si>
  <si>
    <t xml:space="preserve">Re-welding body-to-chassis mounting brackets</t>
  </si>
  <si>
    <t xml:space="preserve">11.13</t>
  </si>
  <si>
    <r>
      <rPr>
        <sz val="11"/>
        <color rgb="FF1F1F1F"/>
        <rFont val="Noto Sans Devanagari"/>
        <family val="2"/>
        <charset val="1"/>
      </rPr>
      <t xml:space="preserve">اصلاح قواعد </t>
    </r>
    <r>
      <rPr>
        <sz val="11"/>
        <color rgb="FF1F1F1F"/>
        <rFont val="Calibri"/>
        <family val="2"/>
        <charset val="1"/>
      </rPr>
      <t xml:space="preserve">PTO </t>
    </r>
    <r>
      <rPr>
        <sz val="11"/>
        <color rgb="FF1F1F1F"/>
        <rFont val="Noto Sans Devanagari"/>
        <family val="2"/>
        <charset val="1"/>
      </rPr>
      <t xml:space="preserve">أو مضخة الهيدروليك</t>
    </r>
  </si>
  <si>
    <t xml:space="preserve">PTO or hydraulic pump bracket repairs</t>
  </si>
  <si>
    <t xml:space="preserve">11.14</t>
  </si>
  <si>
    <t xml:space="preserve">اصلاح قواعد صناديق الأدوات</t>
  </si>
  <si>
    <t xml:space="preserve">Toolbox or fuel/air tank mount repairs</t>
  </si>
  <si>
    <t xml:space="preserve">term_num</t>
  </si>
  <si>
    <t xml:space="preserve">repair_type_ar</t>
  </si>
  <si>
    <t xml:space="preserve">repair_type_en</t>
  </si>
  <si>
    <t xml:space="preserve">repair_desc_ar</t>
  </si>
  <si>
    <t xml:space="preserve">repair_desc_en</t>
  </si>
  <si>
    <t xml:space="preserve">uom</t>
  </si>
  <si>
    <t xml:space="preserve">qty</t>
  </si>
  <si>
    <t xml:space="preserve">service_cost</t>
  </si>
  <si>
    <t xml:space="preserve">3.40</t>
  </si>
  <si>
    <t xml:space="preserve">3.50</t>
  </si>
  <si>
    <t xml:space="preserve"> </t>
  </si>
  <si>
    <t xml:space="preserve">log_date</t>
  </si>
  <si>
    <t xml:space="preserve">order_num</t>
  </si>
  <si>
    <t xml:space="preserve">statement</t>
  </si>
  <si>
    <t xml:space="preserve">unit_cost</t>
  </si>
  <si>
    <t xml:space="preserve">إجمالي 
السعر</t>
  </si>
  <si>
    <t xml:space="preserve">repair_cost</t>
  </si>
  <si>
    <t xml:space="preserve">total_cost</t>
  </si>
  <si>
    <t xml:space="preserve">notes</t>
  </si>
  <si>
    <t xml:space="preserve">01</t>
  </si>
  <si>
    <t xml:space="preserve">لتر</t>
  </si>
  <si>
    <t xml:space="preserve">عدد</t>
  </si>
  <si>
    <t xml:space="preserve">02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</si>
</sst>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_-;\-* #,##0.00_-;_-* \-??_-;_-@_-"/>
    <numFmt numFmtId="166" formatCode="0"/>
    <numFmt numFmtId="167" formatCode="[$$-409]#,##0.00"/>
    <numFmt numFmtId="168" formatCode="@"/>
    <numFmt numFmtId="169" formatCode="dd/mm/yyyy"/>
    <numFmt numFmtId="170" formatCode="General"/>
    <numFmt numFmtId="171" formatCode="_-* #,##0.00\ _ر_._س_._‏_-;\-* #,##0.00\ _ر_._س_._‏_-;_-* \-??\ _ر_._س_._‏_-;_-@_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78"/>
    </font>
    <font>
      <b val="true"/>
      <sz val="11"/>
      <color rgb="FF000000"/>
      <name val="Calibri"/>
      <family val="2"/>
      <charset val="178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Noto Sans Devanaga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sz val="11"/>
      <color rgb="FF00B050"/>
      <name val="Noto Sans Devanagari"/>
      <family val="2"/>
      <charset val="1"/>
    </font>
    <font>
      <b val="true"/>
      <sz val="11"/>
      <color theme="1"/>
      <name val="Noto Sans Devanagari"/>
      <family val="2"/>
      <charset val="1"/>
    </font>
    <font>
      <b val="true"/>
      <sz val="11"/>
      <color rgb="FFFF0000"/>
      <name val="Noto Sans Devanaga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11"/>
      <color rgb="FF1F1F1F"/>
      <name val="Calibri"/>
      <family val="2"/>
      <charset val="1"/>
    </font>
    <font>
      <b val="true"/>
      <sz val="11"/>
      <color rgb="FF1F1F1F"/>
      <name val="Noto Sans Devanagari"/>
      <family val="2"/>
      <charset val="1"/>
    </font>
    <font>
      <sz val="11"/>
      <color rgb="FF1F1F1F"/>
      <name val="Calibri"/>
      <family val="2"/>
      <charset val="1"/>
    </font>
    <font>
      <sz val="11"/>
      <color rgb="FF1F1F1F"/>
      <name val="Noto Sans Devanagari"/>
      <family val="2"/>
      <charset val="1"/>
    </font>
    <font>
      <b val="true"/>
      <sz val="11"/>
      <color theme="1"/>
      <name val="Calibri"/>
      <family val="2"/>
      <charset val="178"/>
    </font>
    <font>
      <sz val="11"/>
      <color theme="1"/>
      <name val="Noto Sans Devanagari"/>
      <family val="2"/>
      <charset val="1"/>
    </font>
    <font>
      <sz val="11"/>
      <color rgb="FFFF0000"/>
      <name val="Calibri"/>
      <family val="2"/>
      <charset val="178"/>
    </font>
    <font>
      <b val="true"/>
      <u val="singl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2CC"/>
      </patternFill>
    </fill>
    <fill>
      <patternFill patternType="solid">
        <fgColor rgb="FFFF9B9B"/>
        <bgColor rgb="FFFF8080"/>
      </patternFill>
    </fill>
    <fill>
      <patternFill patternType="solid">
        <fgColor theme="7" tint="0.7999"/>
        <bgColor rgb="FFF2F2F2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 style="thin"/>
      <right style="medium"/>
      <top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4" fillId="0" borderId="0" xfId="23" applyFont="true" applyBorder="false" applyAlignment="true" applyProtection="true">
      <alignment horizontal="right" vertical="bottom" textRotation="0" wrapText="false" indent="1" shrinkToFit="false" readingOrder="2"/>
      <protection locked="true" hidden="false"/>
    </xf>
    <xf numFmtId="164" fontId="5" fillId="2" borderId="1" xfId="23" applyFont="true" applyBorder="true" applyAlignment="true" applyProtection="true">
      <alignment horizontal="right" vertical="top" textRotation="0" wrapText="true" indent="1" shrinkToFit="false" readingOrder="2"/>
      <protection locked="true" hidden="false"/>
    </xf>
    <xf numFmtId="164" fontId="5" fillId="2" borderId="2" xfId="23" applyFont="true" applyBorder="true" applyAlignment="true" applyProtection="true">
      <alignment horizontal="right" vertical="top" textRotation="0" wrapText="true" indent="1" shrinkToFit="false" readingOrder="1"/>
      <protection locked="true" hidden="false"/>
    </xf>
    <xf numFmtId="164" fontId="5" fillId="2" borderId="2" xfId="23" applyFont="true" applyBorder="true" applyAlignment="true" applyProtection="true">
      <alignment horizontal="right" vertical="top" textRotation="0" wrapText="true" indent="1" shrinkToFit="false" readingOrder="2"/>
      <protection locked="true" hidden="false"/>
    </xf>
    <xf numFmtId="164" fontId="5" fillId="2" borderId="2" xfId="23" applyFont="true" applyBorder="true" applyAlignment="true" applyProtection="true">
      <alignment horizontal="right" vertical="top" textRotation="0" wrapText="true" indent="2" shrinkToFit="false" readingOrder="1"/>
      <protection locked="true" hidden="false"/>
    </xf>
    <xf numFmtId="164" fontId="6" fillId="2" borderId="3" xfId="23" applyFont="true" applyBorder="true" applyAlignment="true" applyProtection="true">
      <alignment horizontal="left" vertical="top" textRotation="0" wrapText="true" indent="1" shrinkToFit="false" readingOrder="1"/>
      <protection locked="true" hidden="false"/>
    </xf>
    <xf numFmtId="164" fontId="7" fillId="0" borderId="4" xfId="23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7" fillId="0" borderId="5" xfId="23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8" fillId="0" borderId="5" xfId="23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4" fontId="8" fillId="0" borderId="5" xfId="23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4" fontId="8" fillId="0" borderId="6" xfId="23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4" fontId="10" fillId="0" borderId="5" xfId="23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6" fontId="9" fillId="0" borderId="7" xfId="23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7" fillId="0" borderId="8" xfId="23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7" fillId="0" borderId="6" xfId="23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8" fillId="0" borderId="6" xfId="23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4" fontId="11" fillId="3" borderId="6" xfId="23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6" fontId="9" fillId="0" borderId="7" xfId="23" applyFont="true" applyBorder="true" applyAlignment="true" applyProtection="true">
      <alignment horizontal="right" vertical="center" textRotation="0" wrapText="true" indent="4" shrinkToFit="false" readingOrder="1"/>
      <protection locked="true" hidden="false"/>
    </xf>
    <xf numFmtId="164" fontId="7" fillId="0" borderId="6" xfId="23" applyFont="true" applyBorder="true" applyAlignment="true" applyProtection="true">
      <alignment horizontal="left" vertical="center" textRotation="0" wrapText="false" indent="1" shrinkToFit="false" readingOrder="1"/>
      <protection locked="true" hidden="false"/>
    </xf>
    <xf numFmtId="164" fontId="8" fillId="0" borderId="6" xfId="23" applyFont="true" applyBorder="true" applyAlignment="true" applyProtection="true">
      <alignment horizontal="right" vertical="center" textRotation="0" wrapText="false" indent="1" shrinkToFit="false" readingOrder="1"/>
      <protection locked="true" hidden="false"/>
    </xf>
    <xf numFmtId="164" fontId="12" fillId="0" borderId="6" xfId="23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4" fontId="8" fillId="0" borderId="6" xfId="23" applyFont="true" applyBorder="true" applyAlignment="true" applyProtection="true">
      <alignment horizontal="right" vertical="center" textRotation="0" wrapText="false" indent="1" shrinkToFit="false" readingOrder="2"/>
      <protection locked="true" hidden="false"/>
    </xf>
    <xf numFmtId="164" fontId="7" fillId="0" borderId="8" xfId="23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7" fontId="4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23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7" fillId="0" borderId="10" xfId="23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4" fontId="8" fillId="0" borderId="10" xfId="23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4" fontId="8" fillId="0" borderId="10" xfId="23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4" fontId="11" fillId="3" borderId="10" xfId="23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6" fontId="9" fillId="0" borderId="11" xfId="23" applyFont="true" applyBorder="true" applyAlignment="true" applyProtection="true">
      <alignment horizontal="right" vertical="center" textRotation="0" wrapText="true" indent="4" shrinkToFit="false" readingOrder="1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21" applyFont="true" applyBorder="false" applyAlignment="true" applyProtection="true">
      <alignment horizontal="left" vertical="top" textRotation="0" wrapText="true" indent="1" shrinkToFit="false"/>
      <protection locked="true" hidden="false"/>
    </xf>
    <xf numFmtId="164" fontId="11" fillId="0" borderId="0" xfId="21" applyFont="true" applyBorder="false" applyAlignment="true" applyProtection="true">
      <alignment horizontal="left" vertical="top" textRotation="0" wrapText="true" indent="1" shrinkToFit="false"/>
      <protection locked="true" hidden="false"/>
    </xf>
    <xf numFmtId="164" fontId="13" fillId="0" borderId="0" xfId="21" applyFont="true" applyBorder="false" applyAlignment="true" applyProtection="true">
      <alignment horizontal="left" vertical="top" textRotation="0" wrapText="false" indent="1" shrinkToFit="false"/>
      <protection locked="true" hidden="false"/>
    </xf>
    <xf numFmtId="168" fontId="15" fillId="2" borderId="6" xfId="0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4" fontId="16" fillId="2" borderId="6" xfId="0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4" fontId="15" fillId="2" borderId="6" xfId="0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4" fontId="17" fillId="2" borderId="6" xfId="0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4" fontId="17" fillId="2" borderId="6" xfId="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8" fontId="17" fillId="0" borderId="6" xfId="0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4" fontId="18" fillId="0" borderId="6" xfId="0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4" fontId="17" fillId="0" borderId="6" xfId="0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4" fontId="17" fillId="0" borderId="6" xfId="0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8" fontId="15" fillId="0" borderId="6" xfId="0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4" fontId="16" fillId="0" borderId="6" xfId="0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4" fontId="15" fillId="0" borderId="6" xfId="0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8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22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19" fillId="0" borderId="0" xfId="22" applyFont="true" applyBorder="false" applyAlignment="true" applyProtection="true">
      <alignment horizontal="right" vertical="top" textRotation="0" wrapText="true" indent="1" shrinkToFit="false"/>
      <protection locked="true" hidden="false"/>
    </xf>
    <xf numFmtId="164" fontId="13" fillId="0" borderId="0" xfId="22" applyFont="true" applyBorder="false" applyAlignment="true" applyProtection="true">
      <alignment horizontal="left" vertical="top" textRotation="0" wrapText="true" indent="1" shrinkToFit="false"/>
      <protection locked="true" hidden="false"/>
    </xf>
    <xf numFmtId="164" fontId="13" fillId="0" borderId="0" xfId="22" applyFont="true" applyBorder="false" applyAlignment="true" applyProtection="true">
      <alignment horizontal="left" vertical="top" textRotation="0" wrapText="false" indent="1" shrinkToFit="false"/>
      <protection locked="true" hidden="false"/>
    </xf>
    <xf numFmtId="168" fontId="17" fillId="0" borderId="6" xfId="24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8" fillId="0" borderId="6" xfId="24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4" fontId="17" fillId="0" borderId="6" xfId="24" applyFont="true" applyBorder="true" applyAlignment="true" applyProtection="true">
      <alignment horizontal="left" vertical="center" textRotation="0" wrapText="true" indent="1" shrinkToFit="false" readingOrder="2"/>
      <protection locked="true" hidden="false"/>
    </xf>
    <xf numFmtId="164" fontId="17" fillId="0" borderId="6" xfId="24" applyFont="true" applyBorder="true" applyAlignment="true" applyProtection="true">
      <alignment horizontal="right" vertical="center" textRotation="0" wrapText="true" indent="1" shrinkToFit="false" readingOrder="2"/>
      <protection locked="true" hidden="false"/>
    </xf>
    <xf numFmtId="164" fontId="17" fillId="0" borderId="6" xfId="24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8" fontId="18" fillId="0" borderId="6" xfId="24" applyFont="true" applyBorder="true" applyAlignment="true" applyProtection="true">
      <alignment horizontal="right" vertical="center" textRotation="0" wrapText="true" indent="1" shrinkToFit="false" readingOrder="1"/>
      <protection locked="true" hidden="false"/>
    </xf>
    <xf numFmtId="168" fontId="17" fillId="0" borderId="6" xfId="24" applyFont="true" applyBorder="true" applyAlignment="true" applyProtection="true">
      <alignment horizontal="left" vertical="center" textRotation="0" wrapText="true" indent="1" shrinkToFit="false" readingOrder="1"/>
      <protection locked="true" hidden="false"/>
    </xf>
    <xf numFmtId="168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21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4" fillId="0" borderId="0" xfId="21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right" vertical="bottom" textRotation="0" wrapText="false" indent="1" shrinkToFit="false"/>
      <protection locked="true" hidden="false"/>
    </xf>
    <xf numFmtId="164" fontId="4" fillId="0" borderId="0" xfId="21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19" fillId="2" borderId="2" xfId="21" applyFont="true" applyBorder="true" applyAlignment="true" applyProtection="true">
      <alignment horizontal="right" vertical="top" textRotation="0" wrapText="false" indent="1" shrinkToFit="false"/>
      <protection locked="true" hidden="false"/>
    </xf>
    <xf numFmtId="164" fontId="19" fillId="2" borderId="2" xfId="21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8" fontId="19" fillId="2" borderId="2" xfId="21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4" fontId="13" fillId="2" borderId="2" xfId="21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1" fillId="2" borderId="2" xfId="21" applyFont="true" applyBorder="true" applyAlignment="true" applyProtection="true">
      <alignment horizontal="right" vertical="top" textRotation="0" wrapText="true" indent="1" shrinkToFit="false"/>
      <protection locked="true" hidden="false"/>
    </xf>
    <xf numFmtId="164" fontId="19" fillId="2" borderId="3" xfId="21" applyFont="true" applyBorder="true" applyAlignment="true" applyProtection="true">
      <alignment horizontal="right" vertical="top" textRotation="0" wrapText="false" indent="1" shrinkToFit="false"/>
      <protection locked="true" hidden="false"/>
    </xf>
    <xf numFmtId="164" fontId="4" fillId="0" borderId="0" xfId="21" applyFont="true" applyBorder="false" applyAlignment="true" applyProtection="true">
      <alignment horizontal="left" vertical="top" textRotation="0" wrapText="false" indent="1" shrinkToFit="false"/>
      <protection locked="true" hidden="false"/>
    </xf>
    <xf numFmtId="169" fontId="0" fillId="0" borderId="5" xfId="21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0" fillId="0" borderId="5" xfId="21" applyFont="true" applyBorder="true" applyAlignment="true" applyProtection="true">
      <alignment horizontal="right" vertical="bottom" textRotation="0" wrapText="false" indent="2" shrinkToFit="false"/>
      <protection locked="true" hidden="false"/>
    </xf>
    <xf numFmtId="164" fontId="0" fillId="0" borderId="5" xfId="21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9" fontId="0" fillId="0" borderId="6" xfId="21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0" fontId="4" fillId="4" borderId="1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2" xfId="21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70" fontId="4" fillId="0" borderId="12" xfId="21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0" fillId="0" borderId="1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3" fillId="0" borderId="5" xfId="2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0" fillId="0" borderId="13" xfId="2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1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2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4" fillId="0" borderId="12" xfId="21" applyFont="true" applyBorder="true" applyAlignment="true" applyProtection="true">
      <alignment horizontal="center" vertical="bottom" textRotation="0" wrapText="false" indent="0" shrinkToFit="false" readingOrder="1"/>
      <protection locked="true" hidden="false"/>
    </xf>
    <xf numFmtId="164" fontId="22" fillId="2" borderId="2" xfId="21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22" fillId="2" borderId="2" xfId="21" applyFont="true" applyBorder="true" applyAlignment="true" applyProtection="true">
      <alignment horizontal="right" vertical="bottom" textRotation="0" wrapText="false" indent="2" shrinkToFit="false"/>
      <protection locked="true" hidden="false"/>
    </xf>
    <xf numFmtId="164" fontId="22" fillId="2" borderId="2" xfId="21" applyFont="true" applyBorder="true" applyAlignment="true" applyProtection="true">
      <alignment horizontal="right" vertical="bottom" textRotation="0" wrapText="false" indent="1" shrinkToFit="false"/>
      <protection locked="true" hidden="false"/>
    </xf>
    <xf numFmtId="168" fontId="22" fillId="2" borderId="2" xfId="21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2" fillId="2" borderId="2" xfId="21" applyFont="true" applyBorder="true" applyAlignment="true" applyProtection="true">
      <alignment horizontal="right" vertical="bottom" textRotation="0" wrapText="false" indent="2" shrinkToFit="false"/>
      <protection locked="true" hidden="false"/>
    </xf>
    <xf numFmtId="164" fontId="22" fillId="2" borderId="2" xfId="21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70" fontId="13" fillId="2" borderId="2" xfId="2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" fillId="2" borderId="3" xfId="21" applyFont="true" applyBorder="true" applyAlignment="true" applyProtection="true">
      <alignment horizontal="left" vertical="bottom" textRotation="0" wrapText="false" indent="1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Normal 3" xfId="23"/>
    <cellStyle name="Normal 3 2" xfId="24"/>
  </cellStyles>
  <dxfs count="8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9B9B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B9B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4543" displayName="Table14543" ref="A1:F128" headerRowCount="1" totalsRowCount="0" totalsRowShown="0">
  <autoFilter ref="A1:F128"/>
  <tableColumns count="6">
    <tableColumn id="1" name="#"/>
    <tableColumn id="2" name="اسم البند"/>
    <tableColumn id="3" name=" Description"/>
    <tableColumn id="4" name="UOM"/>
    <tableColumn id="5" name="Qty"/>
    <tableColumn id="6" name="Service Cost (US$)"/>
  </tableColumns>
</table>
</file>

<file path=xl/tables/table2.xml><?xml version="1.0" encoding="utf-8"?>
<table xmlns="http://schemas.openxmlformats.org/spreadsheetml/2006/main" id="2" name="Table145432" displayName="Table145432" ref="A1:H117" headerRowCount="1" totalsRowCount="0" totalsRowShown="0">
  <autoFilter ref="A1:H117"/>
  <tableColumns count="8">
    <tableColumn id="1" name="term_num"/>
    <tableColumn id="2" name="repair_type_ar"/>
    <tableColumn id="3" name="repair_type_en"/>
    <tableColumn id="4" name="repair_desc_ar"/>
    <tableColumn id="5" name="repair_desc_en"/>
    <tableColumn id="6" name="uom"/>
    <tableColumn id="7" name="qty"/>
    <tableColumn id="8" name="service_cos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tru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890625" defaultRowHeight="14.25" zeroHeight="false" outlineLevelRow="0" outlineLevelCol="0"/>
  <cols>
    <col collapsed="false" customWidth="true" hidden="false" outlineLevel="0" max="1" min="1" style="1" width="23.82"/>
    <col collapsed="false" customWidth="true" hidden="false" outlineLevel="0" max="2" min="2" style="1" width="23.71"/>
    <col collapsed="false" customWidth="true" hidden="false" outlineLevel="0" max="3" min="3" style="1" width="24.83"/>
    <col collapsed="false" customWidth="true" hidden="false" outlineLevel="0" max="4" min="4" style="2" width="22.02"/>
    <col collapsed="false" customWidth="true" hidden="false" outlineLevel="0" max="5" min="5" style="1" width="34.89"/>
    <col collapsed="false" customWidth="true" hidden="false" outlineLevel="0" max="6" min="6" style="3" width="34.89"/>
    <col collapsed="false" customWidth="true" hidden="false" outlineLevel="0" max="7" min="7" style="2" width="25.22"/>
    <col collapsed="false" customWidth="true" hidden="false" outlineLevel="0" max="8" min="8" style="1" width="16.11"/>
    <col collapsed="false" customWidth="true" hidden="false" outlineLevel="0" max="9" min="9" style="1" width="37.44"/>
    <col collapsed="false" customWidth="true" hidden="false" outlineLevel="0" max="10" min="10" style="1" width="10"/>
    <col collapsed="false" customWidth="false" hidden="false" outlineLevel="0" max="16384" min="11" style="1" width="8.89"/>
  </cols>
  <sheetData>
    <row r="1" customFormat="false" ht="59.25" hidden="false" customHeight="true" outlineLevel="0" collapsed="false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5" t="s">
        <v>7</v>
      </c>
      <c r="I1" s="8" t="s">
        <v>8</v>
      </c>
    </row>
    <row r="2" customFormat="false" ht="21.75" hidden="false" customHeight="true" outlineLevel="0" collapsed="false">
      <c r="A2" s="9" t="n">
        <v>1225</v>
      </c>
      <c r="B2" s="10" t="n">
        <v>3122555</v>
      </c>
      <c r="C2" s="10" t="s">
        <v>9</v>
      </c>
      <c r="D2" s="11" t="s">
        <v>10</v>
      </c>
      <c r="E2" s="10" t="s">
        <v>11</v>
      </c>
      <c r="F2" s="12" t="s">
        <v>12</v>
      </c>
      <c r="G2" s="13" t="s">
        <v>13</v>
      </c>
      <c r="H2" s="14" t="s">
        <v>14</v>
      </c>
      <c r="I2" s="15"/>
    </row>
    <row r="3" customFormat="false" ht="21.75" hidden="false" customHeight="true" outlineLevel="0" collapsed="false">
      <c r="A3" s="16" t="n">
        <v>1222</v>
      </c>
      <c r="B3" s="17" t="n">
        <v>3122255</v>
      </c>
      <c r="C3" s="17" t="s">
        <v>9</v>
      </c>
      <c r="D3" s="11" t="s">
        <v>10</v>
      </c>
      <c r="E3" s="17" t="s">
        <v>11</v>
      </c>
      <c r="F3" s="18" t="s">
        <v>12</v>
      </c>
      <c r="G3" s="13" t="s">
        <v>15</v>
      </c>
      <c r="H3" s="14" t="s">
        <v>14</v>
      </c>
      <c r="I3" s="15"/>
    </row>
    <row r="4" customFormat="false" ht="21.75" hidden="false" customHeight="true" outlineLevel="0" collapsed="false">
      <c r="A4" s="16" t="n">
        <v>1174</v>
      </c>
      <c r="B4" s="17" t="n">
        <v>3117455</v>
      </c>
      <c r="C4" s="17" t="s">
        <v>9</v>
      </c>
      <c r="D4" s="11" t="s">
        <v>10</v>
      </c>
      <c r="E4" s="17" t="s">
        <v>11</v>
      </c>
      <c r="F4" s="18" t="s">
        <v>12</v>
      </c>
      <c r="G4" s="13" t="s">
        <v>15</v>
      </c>
      <c r="H4" s="19" t="s">
        <v>16</v>
      </c>
      <c r="I4" s="20"/>
    </row>
    <row r="5" customFormat="false" ht="21.75" hidden="false" customHeight="true" outlineLevel="0" collapsed="false">
      <c r="A5" s="16" t="n">
        <v>1067</v>
      </c>
      <c r="B5" s="17" t="n">
        <v>3106755</v>
      </c>
      <c r="C5" s="21" t="s">
        <v>17</v>
      </c>
      <c r="D5" s="22" t="s">
        <v>18</v>
      </c>
      <c r="E5" s="17" t="s">
        <v>19</v>
      </c>
      <c r="F5" s="18" t="s">
        <v>20</v>
      </c>
      <c r="G5" s="13" t="s">
        <v>13</v>
      </c>
      <c r="H5" s="14" t="s">
        <v>14</v>
      </c>
      <c r="I5" s="15"/>
    </row>
    <row r="6" customFormat="false" ht="21.75" hidden="false" customHeight="true" outlineLevel="0" collapsed="false">
      <c r="A6" s="16" t="n">
        <v>56</v>
      </c>
      <c r="B6" s="17" t="n">
        <v>3129055</v>
      </c>
      <c r="C6" s="17" t="s">
        <v>21</v>
      </c>
      <c r="D6" s="13" t="s">
        <v>22</v>
      </c>
      <c r="E6" s="17" t="s">
        <v>23</v>
      </c>
      <c r="F6" s="18" t="s">
        <v>24</v>
      </c>
      <c r="G6" s="13" t="s">
        <v>15</v>
      </c>
      <c r="H6" s="14" t="s">
        <v>14</v>
      </c>
      <c r="I6" s="20"/>
    </row>
    <row r="7" customFormat="false" ht="21.75" hidden="false" customHeight="true" outlineLevel="0" collapsed="false">
      <c r="A7" s="16" t="n">
        <v>57</v>
      </c>
      <c r="B7" s="17" t="n">
        <v>3129155</v>
      </c>
      <c r="C7" s="17" t="s">
        <v>21</v>
      </c>
      <c r="D7" s="13" t="s">
        <v>22</v>
      </c>
      <c r="E7" s="17" t="s">
        <v>23</v>
      </c>
      <c r="F7" s="18" t="s">
        <v>24</v>
      </c>
      <c r="G7" s="13" t="s">
        <v>15</v>
      </c>
      <c r="H7" s="23" t="s">
        <v>25</v>
      </c>
      <c r="I7" s="15"/>
    </row>
    <row r="8" customFormat="false" ht="21.75" hidden="false" customHeight="true" outlineLevel="0" collapsed="false">
      <c r="A8" s="16" t="n">
        <v>58</v>
      </c>
      <c r="B8" s="17" t="n">
        <v>3129255</v>
      </c>
      <c r="C8" s="17" t="s">
        <v>21</v>
      </c>
      <c r="D8" s="13" t="s">
        <v>22</v>
      </c>
      <c r="E8" s="17" t="s">
        <v>23</v>
      </c>
      <c r="F8" s="18" t="s">
        <v>24</v>
      </c>
      <c r="G8" s="13" t="s">
        <v>15</v>
      </c>
      <c r="H8" s="23" t="s">
        <v>25</v>
      </c>
      <c r="I8" s="15"/>
    </row>
    <row r="9" customFormat="false" ht="21.75" hidden="false" customHeight="true" outlineLevel="0" collapsed="false">
      <c r="A9" s="16" t="n">
        <v>1059</v>
      </c>
      <c r="B9" s="17" t="n">
        <v>3105955</v>
      </c>
      <c r="C9" s="21" t="s">
        <v>17</v>
      </c>
      <c r="D9" s="22" t="s">
        <v>18</v>
      </c>
      <c r="E9" s="17" t="s">
        <v>26</v>
      </c>
      <c r="F9" s="18" t="s">
        <v>27</v>
      </c>
      <c r="G9" s="13" t="s">
        <v>13</v>
      </c>
      <c r="H9" s="19" t="s">
        <v>16</v>
      </c>
      <c r="I9" s="20"/>
    </row>
    <row r="10" customFormat="false" ht="21.75" hidden="false" customHeight="true" outlineLevel="0" collapsed="false">
      <c r="A10" s="16" t="n">
        <v>1118</v>
      </c>
      <c r="B10" s="17" t="n">
        <v>3111855</v>
      </c>
      <c r="C10" s="21" t="s">
        <v>28</v>
      </c>
      <c r="D10" s="22" t="s">
        <v>29</v>
      </c>
      <c r="E10" s="21" t="s">
        <v>30</v>
      </c>
      <c r="F10" s="24" t="s">
        <v>31</v>
      </c>
      <c r="G10" s="13" t="s">
        <v>32</v>
      </c>
      <c r="H10" s="23" t="s">
        <v>25</v>
      </c>
      <c r="I10" s="15"/>
    </row>
    <row r="11" customFormat="false" ht="21.75" hidden="false" customHeight="true" outlineLevel="0" collapsed="false">
      <c r="A11" s="16" t="n">
        <v>1117</v>
      </c>
      <c r="B11" s="17" t="n">
        <v>3111755</v>
      </c>
      <c r="C11" s="21" t="s">
        <v>28</v>
      </c>
      <c r="D11" s="22" t="s">
        <v>29</v>
      </c>
      <c r="E11" s="21" t="s">
        <v>30</v>
      </c>
      <c r="F11" s="24" t="s">
        <v>31</v>
      </c>
      <c r="G11" s="13" t="s">
        <v>32</v>
      </c>
      <c r="H11" s="23" t="s">
        <v>25</v>
      </c>
      <c r="I11" s="15"/>
    </row>
    <row r="12" customFormat="false" ht="21.75" hidden="false" customHeight="true" outlineLevel="0" collapsed="false">
      <c r="A12" s="16" t="n">
        <v>1151</v>
      </c>
      <c r="B12" s="17" t="n">
        <v>3115155</v>
      </c>
      <c r="C12" s="21" t="s">
        <v>17</v>
      </c>
      <c r="D12" s="22" t="s">
        <v>18</v>
      </c>
      <c r="E12" s="17" t="s">
        <v>33</v>
      </c>
      <c r="F12" s="18" t="s">
        <v>34</v>
      </c>
      <c r="G12" s="13" t="s">
        <v>13</v>
      </c>
      <c r="H12" s="14" t="s">
        <v>14</v>
      </c>
      <c r="I12" s="15"/>
    </row>
    <row r="13" customFormat="false" ht="21.75" hidden="false" customHeight="true" outlineLevel="0" collapsed="false">
      <c r="A13" s="16" t="n">
        <v>1152</v>
      </c>
      <c r="B13" s="17" t="n">
        <v>3115255</v>
      </c>
      <c r="C13" s="21" t="s">
        <v>17</v>
      </c>
      <c r="D13" s="22" t="s">
        <v>18</v>
      </c>
      <c r="E13" s="17" t="s">
        <v>33</v>
      </c>
      <c r="F13" s="18" t="s">
        <v>34</v>
      </c>
      <c r="G13" s="13" t="s">
        <v>15</v>
      </c>
      <c r="H13" s="14" t="s">
        <v>14</v>
      </c>
      <c r="I13" s="15"/>
    </row>
    <row r="14" customFormat="false" ht="21.75" hidden="false" customHeight="true" outlineLevel="0" collapsed="false">
      <c r="A14" s="16" t="n">
        <v>1153</v>
      </c>
      <c r="B14" s="17" t="n">
        <v>3115355</v>
      </c>
      <c r="C14" s="21" t="s">
        <v>17</v>
      </c>
      <c r="D14" s="22" t="s">
        <v>18</v>
      </c>
      <c r="E14" s="17" t="s">
        <v>33</v>
      </c>
      <c r="F14" s="18" t="s">
        <v>34</v>
      </c>
      <c r="G14" s="13" t="s">
        <v>15</v>
      </c>
      <c r="H14" s="14" t="s">
        <v>14</v>
      </c>
      <c r="I14" s="15"/>
    </row>
    <row r="15" customFormat="false" ht="21.75" hidden="false" customHeight="true" outlineLevel="0" collapsed="false">
      <c r="A15" s="16" t="n">
        <v>28</v>
      </c>
      <c r="B15" s="17" t="n">
        <v>3064655</v>
      </c>
      <c r="C15" s="17" t="s">
        <v>35</v>
      </c>
      <c r="D15" s="13" t="s">
        <v>36</v>
      </c>
      <c r="E15" s="17" t="s">
        <v>37</v>
      </c>
      <c r="F15" s="18" t="s">
        <v>38</v>
      </c>
      <c r="G15" s="13" t="s">
        <v>15</v>
      </c>
      <c r="H15" s="14" t="s">
        <v>14</v>
      </c>
      <c r="I15" s="15"/>
    </row>
    <row r="16" customFormat="false" ht="21.75" hidden="false" customHeight="true" outlineLevel="0" collapsed="false">
      <c r="A16" s="16" t="n">
        <v>27</v>
      </c>
      <c r="B16" s="17" t="n">
        <v>3064755</v>
      </c>
      <c r="C16" s="17" t="s">
        <v>35</v>
      </c>
      <c r="D16" s="13" t="s">
        <v>36</v>
      </c>
      <c r="E16" s="17" t="s">
        <v>37</v>
      </c>
      <c r="F16" s="18" t="s">
        <v>39</v>
      </c>
      <c r="G16" s="13" t="s">
        <v>40</v>
      </c>
      <c r="H16" s="19" t="s">
        <v>16</v>
      </c>
      <c r="I16" s="20"/>
    </row>
    <row r="17" customFormat="false" ht="21.75" hidden="false" customHeight="true" outlineLevel="0" collapsed="false">
      <c r="A17" s="16" t="n">
        <v>30</v>
      </c>
      <c r="B17" s="17" t="n">
        <v>3064855</v>
      </c>
      <c r="C17" s="17" t="s">
        <v>35</v>
      </c>
      <c r="D17" s="13" t="s">
        <v>36</v>
      </c>
      <c r="E17" s="17" t="s">
        <v>37</v>
      </c>
      <c r="F17" s="18" t="s">
        <v>39</v>
      </c>
      <c r="G17" s="13" t="s">
        <v>13</v>
      </c>
      <c r="H17" s="23" t="s">
        <v>25</v>
      </c>
      <c r="I17" s="15"/>
    </row>
    <row r="18" customFormat="false" ht="21.75" hidden="false" customHeight="true" outlineLevel="0" collapsed="false">
      <c r="A18" s="25" t="s">
        <v>41</v>
      </c>
      <c r="B18" s="17" t="n">
        <v>3002155</v>
      </c>
      <c r="C18" s="21" t="s">
        <v>17</v>
      </c>
      <c r="D18" s="22" t="s">
        <v>18</v>
      </c>
      <c r="E18" s="17" t="s">
        <v>42</v>
      </c>
      <c r="F18" s="18" t="s">
        <v>43</v>
      </c>
      <c r="G18" s="13" t="s">
        <v>13</v>
      </c>
      <c r="H18" s="23" t="s">
        <v>25</v>
      </c>
      <c r="I18" s="15"/>
    </row>
    <row r="19" customFormat="false" ht="21.75" hidden="false" customHeight="true" outlineLevel="0" collapsed="false">
      <c r="A19" s="16" t="n">
        <v>1187</v>
      </c>
      <c r="B19" s="17" t="n">
        <v>3118755</v>
      </c>
      <c r="C19" s="21" t="s">
        <v>17</v>
      </c>
      <c r="D19" s="22" t="s">
        <v>18</v>
      </c>
      <c r="E19" s="17" t="s">
        <v>44</v>
      </c>
      <c r="F19" s="18" t="s">
        <v>45</v>
      </c>
      <c r="G19" s="13" t="s">
        <v>15</v>
      </c>
      <c r="H19" s="19" t="s">
        <v>16</v>
      </c>
      <c r="I19" s="20"/>
    </row>
    <row r="20" customFormat="false" ht="21.75" hidden="false" customHeight="true" outlineLevel="0" collapsed="false">
      <c r="A20" s="16" t="n">
        <v>73</v>
      </c>
      <c r="B20" s="17" t="n">
        <v>3118955</v>
      </c>
      <c r="C20" s="17" t="s">
        <v>35</v>
      </c>
      <c r="D20" s="13" t="s">
        <v>36</v>
      </c>
      <c r="E20" s="17" t="s">
        <v>46</v>
      </c>
      <c r="F20" s="18" t="s">
        <v>47</v>
      </c>
      <c r="G20" s="13" t="s">
        <v>13</v>
      </c>
      <c r="H20" s="23" t="s">
        <v>25</v>
      </c>
      <c r="I20" s="15"/>
    </row>
    <row r="21" customFormat="false" ht="21.75" hidden="false" customHeight="true" outlineLevel="0" collapsed="false">
      <c r="A21" s="16" t="n">
        <v>75</v>
      </c>
      <c r="B21" s="17" t="n">
        <v>3119055</v>
      </c>
      <c r="C21" s="17" t="s">
        <v>35</v>
      </c>
      <c r="D21" s="13" t="s">
        <v>36</v>
      </c>
      <c r="E21" s="17" t="s">
        <v>46</v>
      </c>
      <c r="F21" s="18" t="s">
        <v>47</v>
      </c>
      <c r="G21" s="13" t="s">
        <v>13</v>
      </c>
      <c r="H21" s="14" t="s">
        <v>14</v>
      </c>
      <c r="I21" s="15"/>
    </row>
    <row r="22" customFormat="false" ht="21.75" hidden="false" customHeight="true" outlineLevel="0" collapsed="false">
      <c r="A22" s="16" t="n">
        <v>16</v>
      </c>
      <c r="B22" s="17" t="n">
        <v>3065055</v>
      </c>
      <c r="C22" s="17" t="s">
        <v>35</v>
      </c>
      <c r="D22" s="13" t="s">
        <v>36</v>
      </c>
      <c r="E22" s="17" t="s">
        <v>46</v>
      </c>
      <c r="F22" s="18" t="s">
        <v>47</v>
      </c>
      <c r="G22" s="13" t="s">
        <v>13</v>
      </c>
      <c r="H22" s="23" t="s">
        <v>25</v>
      </c>
      <c r="I22" s="20"/>
    </row>
    <row r="23" customFormat="false" ht="21.75" hidden="false" customHeight="true" outlineLevel="0" collapsed="false">
      <c r="A23" s="16" t="n">
        <v>17</v>
      </c>
      <c r="B23" s="17" t="n">
        <v>3065155</v>
      </c>
      <c r="C23" s="17" t="s">
        <v>35</v>
      </c>
      <c r="D23" s="13" t="s">
        <v>36</v>
      </c>
      <c r="E23" s="17" t="s">
        <v>46</v>
      </c>
      <c r="F23" s="18" t="s">
        <v>47</v>
      </c>
      <c r="G23" s="13" t="s">
        <v>13</v>
      </c>
      <c r="H23" s="23" t="s">
        <v>25</v>
      </c>
      <c r="I23" s="20"/>
    </row>
    <row r="24" customFormat="false" ht="21.75" hidden="false" customHeight="true" outlineLevel="0" collapsed="false">
      <c r="A24" s="16" t="n">
        <v>88</v>
      </c>
      <c r="B24" s="17" t="n">
        <v>3108855</v>
      </c>
      <c r="C24" s="17" t="s">
        <v>48</v>
      </c>
      <c r="D24" s="13" t="s">
        <v>49</v>
      </c>
      <c r="E24" s="17" t="s">
        <v>50</v>
      </c>
      <c r="F24" s="18" t="s">
        <v>51</v>
      </c>
      <c r="G24" s="13" t="s">
        <v>13</v>
      </c>
      <c r="H24" s="14" t="s">
        <v>14</v>
      </c>
      <c r="I24" s="15"/>
    </row>
    <row r="25" customFormat="false" ht="21.75" hidden="false" customHeight="true" outlineLevel="0" collapsed="false">
      <c r="A25" s="16" t="n">
        <v>86</v>
      </c>
      <c r="B25" s="17" t="n">
        <v>3108655</v>
      </c>
      <c r="C25" s="17" t="s">
        <v>48</v>
      </c>
      <c r="D25" s="13" t="s">
        <v>49</v>
      </c>
      <c r="E25" s="17" t="s">
        <v>50</v>
      </c>
      <c r="F25" s="18" t="s">
        <v>51</v>
      </c>
      <c r="G25" s="13" t="s">
        <v>13</v>
      </c>
      <c r="H25" s="14" t="s">
        <v>14</v>
      </c>
      <c r="I25" s="15"/>
    </row>
    <row r="26" customFormat="false" ht="21.75" hidden="false" customHeight="true" outlineLevel="0" collapsed="false">
      <c r="A26" s="16" t="n">
        <v>87</v>
      </c>
      <c r="B26" s="17" t="n">
        <v>3108755</v>
      </c>
      <c r="C26" s="17" t="s">
        <v>52</v>
      </c>
      <c r="D26" s="13" t="s">
        <v>53</v>
      </c>
      <c r="E26" s="17" t="s">
        <v>50</v>
      </c>
      <c r="F26" s="18" t="s">
        <v>51</v>
      </c>
      <c r="G26" s="13" t="s">
        <v>13</v>
      </c>
      <c r="H26" s="14" t="s">
        <v>14</v>
      </c>
      <c r="I26" s="15"/>
    </row>
    <row r="27" customFormat="false" ht="21.75" hidden="false" customHeight="true" outlineLevel="0" collapsed="false">
      <c r="A27" s="16" t="n">
        <v>33</v>
      </c>
      <c r="B27" s="17" t="n">
        <v>3114355</v>
      </c>
      <c r="C27" s="17" t="s">
        <v>21</v>
      </c>
      <c r="D27" s="13" t="s">
        <v>22</v>
      </c>
      <c r="E27" s="17" t="s">
        <v>54</v>
      </c>
      <c r="F27" s="18" t="s">
        <v>55</v>
      </c>
      <c r="G27" s="13" t="s">
        <v>13</v>
      </c>
      <c r="H27" s="14" t="s">
        <v>14</v>
      </c>
      <c r="I27" s="15"/>
    </row>
    <row r="28" customFormat="false" ht="21.75" hidden="false" customHeight="true" outlineLevel="0" collapsed="false">
      <c r="A28" s="16" t="n">
        <v>35</v>
      </c>
      <c r="B28" s="17" t="n">
        <v>3114655</v>
      </c>
      <c r="C28" s="17" t="s">
        <v>21</v>
      </c>
      <c r="D28" s="13" t="s">
        <v>22</v>
      </c>
      <c r="E28" s="17" t="s">
        <v>54</v>
      </c>
      <c r="F28" s="18" t="s">
        <v>55</v>
      </c>
      <c r="G28" s="13" t="s">
        <v>15</v>
      </c>
      <c r="H28" s="14" t="s">
        <v>14</v>
      </c>
      <c r="I28" s="15"/>
    </row>
    <row r="29" customFormat="false" ht="21.75" hidden="false" customHeight="true" outlineLevel="0" collapsed="false">
      <c r="A29" s="16" t="n">
        <v>37</v>
      </c>
      <c r="B29" s="17" t="n">
        <v>3114555</v>
      </c>
      <c r="C29" s="17" t="s">
        <v>21</v>
      </c>
      <c r="D29" s="13" t="s">
        <v>22</v>
      </c>
      <c r="E29" s="17" t="s">
        <v>54</v>
      </c>
      <c r="F29" s="18" t="s">
        <v>55</v>
      </c>
      <c r="G29" s="13" t="s">
        <v>15</v>
      </c>
      <c r="H29" s="23" t="s">
        <v>25</v>
      </c>
      <c r="I29" s="15"/>
    </row>
    <row r="30" customFormat="false" ht="21.75" hidden="false" customHeight="true" outlineLevel="0" collapsed="false">
      <c r="A30" s="16" t="n">
        <v>38</v>
      </c>
      <c r="B30" s="17" t="n">
        <v>3114155</v>
      </c>
      <c r="C30" s="17" t="s">
        <v>21</v>
      </c>
      <c r="D30" s="13" t="s">
        <v>22</v>
      </c>
      <c r="E30" s="17" t="s">
        <v>54</v>
      </c>
      <c r="F30" s="18" t="s">
        <v>55</v>
      </c>
      <c r="G30" s="13" t="s">
        <v>13</v>
      </c>
      <c r="H30" s="14" t="s">
        <v>14</v>
      </c>
      <c r="I30" s="15"/>
    </row>
    <row r="31" customFormat="false" ht="21.75" hidden="false" customHeight="true" outlineLevel="0" collapsed="false">
      <c r="A31" s="16" t="n">
        <v>39</v>
      </c>
      <c r="B31" s="17" t="n">
        <v>3113755</v>
      </c>
      <c r="C31" s="17" t="s">
        <v>21</v>
      </c>
      <c r="D31" s="13" t="s">
        <v>22</v>
      </c>
      <c r="E31" s="17" t="s">
        <v>54</v>
      </c>
      <c r="F31" s="18" t="s">
        <v>56</v>
      </c>
      <c r="G31" s="13" t="s">
        <v>13</v>
      </c>
      <c r="H31" s="23" t="s">
        <v>25</v>
      </c>
      <c r="I31" s="15"/>
    </row>
    <row r="32" customFormat="false" ht="21.75" hidden="false" customHeight="true" outlineLevel="0" collapsed="false">
      <c r="A32" s="16" t="n">
        <v>40</v>
      </c>
      <c r="B32" s="17" t="n">
        <v>3114455</v>
      </c>
      <c r="C32" s="17" t="s">
        <v>21</v>
      </c>
      <c r="D32" s="13" t="s">
        <v>22</v>
      </c>
      <c r="E32" s="17" t="s">
        <v>54</v>
      </c>
      <c r="F32" s="18" t="s">
        <v>57</v>
      </c>
      <c r="G32" s="13" t="s">
        <v>15</v>
      </c>
      <c r="H32" s="14" t="s">
        <v>14</v>
      </c>
      <c r="I32" s="20"/>
      <c r="J32" s="26"/>
    </row>
    <row r="33" customFormat="false" ht="21.75" hidden="false" customHeight="true" outlineLevel="0" collapsed="false">
      <c r="A33" s="16" t="n">
        <v>400</v>
      </c>
      <c r="B33" s="17" t="n">
        <v>3113855</v>
      </c>
      <c r="C33" s="17" t="s">
        <v>58</v>
      </c>
      <c r="D33" s="13" t="s">
        <v>59</v>
      </c>
      <c r="E33" s="17" t="s">
        <v>60</v>
      </c>
      <c r="F33" s="18" t="s">
        <v>61</v>
      </c>
      <c r="G33" s="13" t="s">
        <v>15</v>
      </c>
      <c r="H33" s="14" t="s">
        <v>14</v>
      </c>
      <c r="I33" s="20"/>
    </row>
    <row r="34" customFormat="false" ht="21.75" hidden="false" customHeight="true" outlineLevel="0" collapsed="false">
      <c r="A34" s="16" t="n">
        <v>401</v>
      </c>
      <c r="B34" s="17" t="n">
        <v>3113955</v>
      </c>
      <c r="C34" s="17" t="s">
        <v>58</v>
      </c>
      <c r="D34" s="13" t="s">
        <v>59</v>
      </c>
      <c r="E34" s="17" t="s">
        <v>60</v>
      </c>
      <c r="F34" s="18" t="s">
        <v>61</v>
      </c>
      <c r="G34" s="13" t="s">
        <v>15</v>
      </c>
      <c r="H34" s="14" t="s">
        <v>14</v>
      </c>
      <c r="I34" s="20"/>
    </row>
    <row r="35" customFormat="false" ht="21.75" hidden="false" customHeight="true" outlineLevel="0" collapsed="false">
      <c r="A35" s="16" t="n">
        <v>402</v>
      </c>
      <c r="B35" s="17" t="n">
        <v>3114055</v>
      </c>
      <c r="C35" s="17" t="s">
        <v>58</v>
      </c>
      <c r="D35" s="13" t="s">
        <v>59</v>
      </c>
      <c r="E35" s="17" t="s">
        <v>60</v>
      </c>
      <c r="F35" s="18" t="s">
        <v>61</v>
      </c>
      <c r="G35" s="13" t="s">
        <v>15</v>
      </c>
      <c r="H35" s="23" t="s">
        <v>25</v>
      </c>
      <c r="I35" s="20"/>
    </row>
    <row r="36" customFormat="false" ht="21.75" hidden="false" customHeight="true" outlineLevel="0" collapsed="false">
      <c r="A36" s="16" t="n">
        <v>1175</v>
      </c>
      <c r="B36" s="17" t="n">
        <v>3117555</v>
      </c>
      <c r="C36" s="17" t="s">
        <v>62</v>
      </c>
      <c r="D36" s="13" t="s">
        <v>63</v>
      </c>
      <c r="E36" s="17" t="s">
        <v>64</v>
      </c>
      <c r="F36" s="18" t="s">
        <v>65</v>
      </c>
      <c r="G36" s="13" t="s">
        <v>40</v>
      </c>
      <c r="H36" s="19" t="s">
        <v>16</v>
      </c>
      <c r="I36" s="20"/>
    </row>
    <row r="37" customFormat="false" ht="21.75" hidden="false" customHeight="true" outlineLevel="0" collapsed="false">
      <c r="A37" s="16" t="n">
        <v>1165</v>
      </c>
      <c r="B37" s="17" t="n">
        <v>3116555</v>
      </c>
      <c r="C37" s="17" t="s">
        <v>66</v>
      </c>
      <c r="D37" s="13" t="s">
        <v>67</v>
      </c>
      <c r="E37" s="17" t="s">
        <v>68</v>
      </c>
      <c r="F37" s="18" t="s">
        <v>69</v>
      </c>
      <c r="G37" s="13" t="s">
        <v>40</v>
      </c>
      <c r="H37" s="19" t="s">
        <v>16</v>
      </c>
      <c r="I37" s="20"/>
    </row>
    <row r="38" customFormat="false" ht="21.75" hidden="false" customHeight="true" outlineLevel="0" collapsed="false">
      <c r="A38" s="16" t="n">
        <v>1173</v>
      </c>
      <c r="B38" s="17" t="n">
        <v>3117355</v>
      </c>
      <c r="C38" s="17" t="s">
        <v>66</v>
      </c>
      <c r="D38" s="13" t="s">
        <v>67</v>
      </c>
      <c r="E38" s="17" t="s">
        <v>68</v>
      </c>
      <c r="F38" s="18" t="s">
        <v>69</v>
      </c>
      <c r="G38" s="13" t="s">
        <v>40</v>
      </c>
      <c r="H38" s="19" t="s">
        <v>16</v>
      </c>
      <c r="I38" s="20"/>
    </row>
    <row r="39" customFormat="false" ht="21.75" hidden="false" customHeight="true" outlineLevel="0" collapsed="false">
      <c r="A39" s="16" t="n">
        <v>1172</v>
      </c>
      <c r="B39" s="17" t="n">
        <v>3117255</v>
      </c>
      <c r="C39" s="17" t="s">
        <v>70</v>
      </c>
      <c r="D39" s="13" t="s">
        <v>71</v>
      </c>
      <c r="E39" s="17" t="s">
        <v>72</v>
      </c>
      <c r="F39" s="18" t="s">
        <v>73</v>
      </c>
      <c r="G39" s="13" t="s">
        <v>40</v>
      </c>
      <c r="H39" s="19" t="s">
        <v>16</v>
      </c>
      <c r="I39" s="20"/>
    </row>
    <row r="40" customFormat="false" ht="21.75" hidden="false" customHeight="true" outlineLevel="0" collapsed="false">
      <c r="A40" s="16" t="n">
        <v>1177</v>
      </c>
      <c r="B40" s="17" t="n">
        <v>3117755</v>
      </c>
      <c r="C40" s="17" t="s">
        <v>70</v>
      </c>
      <c r="D40" s="13" t="s">
        <v>71</v>
      </c>
      <c r="E40" s="17" t="s">
        <v>72</v>
      </c>
      <c r="F40" s="18" t="s">
        <v>73</v>
      </c>
      <c r="G40" s="13" t="s">
        <v>40</v>
      </c>
      <c r="H40" s="19" t="s">
        <v>16</v>
      </c>
      <c r="I40" s="20"/>
    </row>
    <row r="41" customFormat="false" ht="21.75" hidden="false" customHeight="true" outlineLevel="0" collapsed="false">
      <c r="A41" s="27" t="n">
        <v>1176</v>
      </c>
      <c r="B41" s="28" t="n">
        <v>3117655</v>
      </c>
      <c r="C41" s="28" t="s">
        <v>74</v>
      </c>
      <c r="D41" s="29" t="s">
        <v>75</v>
      </c>
      <c r="E41" s="28" t="s">
        <v>76</v>
      </c>
      <c r="F41" s="30" t="s">
        <v>77</v>
      </c>
      <c r="G41" s="29" t="s">
        <v>40</v>
      </c>
      <c r="H41" s="31" t="s">
        <v>16</v>
      </c>
      <c r="I41" s="32"/>
    </row>
  </sheetData>
  <autoFilter ref="A1:I41">
    <sortState ref="A2:I41">
      <sortCondition ref="A2:A4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6" activePane="bottomLeft" state="frozen"/>
      <selection pane="topLeft" activeCell="A1" activeCellId="0" sqref="A1"/>
      <selection pane="bottomLeft" activeCell="B19" activeCellId="0" sqref="B19"/>
    </sheetView>
  </sheetViews>
  <sheetFormatPr defaultColWidth="8.890625" defaultRowHeight="14.25" zeroHeight="false" outlineLevelRow="0" outlineLevelCol="0"/>
  <cols>
    <col collapsed="false" customWidth="true" hidden="false" outlineLevel="0" max="1" min="1" style="33" width="6.78"/>
    <col collapsed="false" customWidth="true" hidden="false" outlineLevel="0" max="2" min="2" style="34" width="24.78"/>
    <col collapsed="false" customWidth="true" hidden="false" outlineLevel="0" max="3" min="3" style="34" width="38.78"/>
    <col collapsed="false" customWidth="true" hidden="false" outlineLevel="0" max="4" min="4" style="33" width="9"/>
    <col collapsed="false" customWidth="true" hidden="false" outlineLevel="0" max="5" min="5" style="33" width="7.45"/>
    <col collapsed="false" customWidth="true" hidden="false" outlineLevel="0" max="6" min="6" style="33" width="14.44"/>
    <col collapsed="false" customWidth="false" hidden="false" outlineLevel="0" max="16384" min="7" style="33" width="8.89"/>
  </cols>
  <sheetData>
    <row r="1" s="37" customFormat="true" ht="36" hidden="false" customHeight="true" outlineLevel="0" collapsed="false">
      <c r="A1" s="35" t="s">
        <v>78</v>
      </c>
      <c r="B1" s="36" t="s">
        <v>79</v>
      </c>
      <c r="C1" s="35" t="s">
        <v>80</v>
      </c>
      <c r="D1" s="35" t="s">
        <v>81</v>
      </c>
      <c r="E1" s="35" t="s">
        <v>82</v>
      </c>
      <c r="F1" s="35" t="s">
        <v>83</v>
      </c>
    </row>
    <row r="2" customFormat="false" ht="15.65" hidden="false" customHeight="false" outlineLevel="0" collapsed="false">
      <c r="A2" s="38" t="s">
        <v>84</v>
      </c>
      <c r="B2" s="39" t="s">
        <v>85</v>
      </c>
      <c r="C2" s="40" t="s">
        <v>86</v>
      </c>
      <c r="D2" s="41"/>
      <c r="E2" s="42"/>
      <c r="F2" s="42"/>
    </row>
    <row r="3" customFormat="false" ht="15.65" hidden="false" customHeight="false" outlineLevel="0" collapsed="false">
      <c r="A3" s="43" t="s">
        <v>87</v>
      </c>
      <c r="B3" s="44" t="s">
        <v>88</v>
      </c>
      <c r="C3" s="45" t="s">
        <v>89</v>
      </c>
      <c r="D3" s="45" t="s">
        <v>90</v>
      </c>
      <c r="E3" s="46" t="n">
        <v>1</v>
      </c>
      <c r="F3" s="46" t="n">
        <v>100</v>
      </c>
    </row>
    <row r="4" customFormat="false" ht="15.65" hidden="false" customHeight="false" outlineLevel="0" collapsed="false">
      <c r="A4" s="43" t="s">
        <v>91</v>
      </c>
      <c r="B4" s="44" t="s">
        <v>92</v>
      </c>
      <c r="C4" s="45" t="s">
        <v>93</v>
      </c>
      <c r="D4" s="45" t="s">
        <v>90</v>
      </c>
      <c r="E4" s="46" t="n">
        <v>1</v>
      </c>
      <c r="F4" s="46" t="n">
        <v>100</v>
      </c>
    </row>
    <row r="5" customFormat="false" ht="15.65" hidden="false" customHeight="false" outlineLevel="0" collapsed="false">
      <c r="A5" s="43" t="s">
        <v>94</v>
      </c>
      <c r="B5" s="44" t="s">
        <v>95</v>
      </c>
      <c r="C5" s="45" t="s">
        <v>96</v>
      </c>
      <c r="D5" s="45" t="s">
        <v>90</v>
      </c>
      <c r="E5" s="46" t="n">
        <v>1</v>
      </c>
      <c r="F5" s="46" t="n">
        <v>100</v>
      </c>
    </row>
    <row r="6" customFormat="false" ht="15.65" hidden="false" customHeight="false" outlineLevel="0" collapsed="false">
      <c r="A6" s="43" t="s">
        <v>97</v>
      </c>
      <c r="B6" s="44" t="s">
        <v>98</v>
      </c>
      <c r="C6" s="45" t="s">
        <v>99</v>
      </c>
      <c r="D6" s="45" t="s">
        <v>100</v>
      </c>
      <c r="E6" s="46" t="n">
        <v>1</v>
      </c>
      <c r="F6" s="46" t="n">
        <v>100</v>
      </c>
    </row>
    <row r="7" customFormat="false" ht="15.65" hidden="false" customHeight="false" outlineLevel="0" collapsed="false">
      <c r="A7" s="43" t="s">
        <v>101</v>
      </c>
      <c r="B7" s="44" t="s">
        <v>102</v>
      </c>
      <c r="C7" s="45" t="s">
        <v>103</v>
      </c>
      <c r="D7" s="45" t="s">
        <v>90</v>
      </c>
      <c r="E7" s="46" t="n">
        <v>1</v>
      </c>
      <c r="F7" s="46" t="n">
        <v>50</v>
      </c>
    </row>
    <row r="8" customFormat="false" ht="15.65" hidden="false" customHeight="false" outlineLevel="0" collapsed="false">
      <c r="A8" s="43" t="s">
        <v>104</v>
      </c>
      <c r="B8" s="44" t="s">
        <v>105</v>
      </c>
      <c r="C8" s="45" t="s">
        <v>106</v>
      </c>
      <c r="D8" s="45" t="s">
        <v>90</v>
      </c>
      <c r="E8" s="46" t="n">
        <v>1</v>
      </c>
      <c r="F8" s="46" t="n">
        <v>20</v>
      </c>
    </row>
    <row r="9" customFormat="false" ht="15.65" hidden="false" customHeight="false" outlineLevel="0" collapsed="false">
      <c r="A9" s="43" t="s">
        <v>107</v>
      </c>
      <c r="B9" s="44" t="s">
        <v>108</v>
      </c>
      <c r="C9" s="45" t="s">
        <v>109</v>
      </c>
      <c r="D9" s="45" t="s">
        <v>90</v>
      </c>
      <c r="E9" s="46" t="n">
        <v>1</v>
      </c>
      <c r="F9" s="46" t="n">
        <v>20</v>
      </c>
    </row>
    <row r="10" customFormat="false" ht="15.65" hidden="false" customHeight="false" outlineLevel="0" collapsed="false">
      <c r="A10" s="43" t="s">
        <v>110</v>
      </c>
      <c r="B10" s="44" t="s">
        <v>111</v>
      </c>
      <c r="C10" s="45" t="s">
        <v>112</v>
      </c>
      <c r="D10" s="45" t="s">
        <v>90</v>
      </c>
      <c r="E10" s="46" t="n">
        <v>1</v>
      </c>
      <c r="F10" s="46" t="n">
        <v>20</v>
      </c>
    </row>
    <row r="11" customFormat="false" ht="15.65" hidden="false" customHeight="false" outlineLevel="0" collapsed="false">
      <c r="A11" s="43" t="s">
        <v>113</v>
      </c>
      <c r="B11" s="44" t="s">
        <v>114</v>
      </c>
      <c r="C11" s="45" t="s">
        <v>115</v>
      </c>
      <c r="D11" s="45" t="s">
        <v>90</v>
      </c>
      <c r="E11" s="46" t="n">
        <v>1</v>
      </c>
      <c r="F11" s="46" t="n">
        <v>20</v>
      </c>
    </row>
    <row r="12" customFormat="false" ht="15.65" hidden="false" customHeight="false" outlineLevel="0" collapsed="false">
      <c r="A12" s="43" t="s">
        <v>116</v>
      </c>
      <c r="B12" s="44" t="s">
        <v>117</v>
      </c>
      <c r="C12" s="45" t="s">
        <v>118</v>
      </c>
      <c r="D12" s="45" t="s">
        <v>90</v>
      </c>
      <c r="E12" s="46" t="n">
        <v>1</v>
      </c>
      <c r="F12" s="46" t="n">
        <v>20</v>
      </c>
    </row>
    <row r="13" customFormat="false" ht="15.65" hidden="false" customHeight="false" outlineLevel="0" collapsed="false">
      <c r="A13" s="43" t="s">
        <v>119</v>
      </c>
      <c r="B13" s="44" t="s">
        <v>120</v>
      </c>
      <c r="C13" s="45" t="s">
        <v>121</v>
      </c>
      <c r="D13" s="45" t="s">
        <v>90</v>
      </c>
      <c r="E13" s="46" t="n">
        <v>1</v>
      </c>
      <c r="F13" s="46" t="n">
        <v>20</v>
      </c>
    </row>
    <row r="14" customFormat="false" ht="15.65" hidden="false" customHeight="false" outlineLevel="0" collapsed="false">
      <c r="A14" s="43" t="s">
        <v>122</v>
      </c>
      <c r="B14" s="44" t="s">
        <v>123</v>
      </c>
      <c r="C14" s="45" t="s">
        <v>124</v>
      </c>
      <c r="D14" s="45" t="s">
        <v>90</v>
      </c>
      <c r="E14" s="46" t="n">
        <v>1</v>
      </c>
      <c r="F14" s="46" t="n">
        <v>20</v>
      </c>
    </row>
    <row r="15" customFormat="false" ht="15.65" hidden="false" customHeight="false" outlineLevel="0" collapsed="false">
      <c r="A15" s="43" t="s">
        <v>125</v>
      </c>
      <c r="B15" s="44" t="s">
        <v>126</v>
      </c>
      <c r="C15" s="45" t="s">
        <v>127</v>
      </c>
      <c r="D15" s="45" t="s">
        <v>90</v>
      </c>
      <c r="E15" s="46" t="n">
        <v>1</v>
      </c>
      <c r="F15" s="46" t="n">
        <v>50</v>
      </c>
    </row>
    <row r="16" customFormat="false" ht="15.65" hidden="false" customHeight="false" outlineLevel="0" collapsed="false">
      <c r="A16" s="43" t="s">
        <v>128</v>
      </c>
      <c r="B16" s="44" t="s">
        <v>129</v>
      </c>
      <c r="C16" s="45" t="s">
        <v>130</v>
      </c>
      <c r="D16" s="45" t="s">
        <v>90</v>
      </c>
      <c r="E16" s="46" t="n">
        <v>1</v>
      </c>
      <c r="F16" s="46" t="n">
        <v>50</v>
      </c>
    </row>
    <row r="17" customFormat="false" ht="15.65" hidden="false" customHeight="false" outlineLevel="0" collapsed="false">
      <c r="A17" s="43" t="s">
        <v>131</v>
      </c>
      <c r="B17" s="44" t="s">
        <v>132</v>
      </c>
      <c r="C17" s="45" t="s">
        <v>133</v>
      </c>
      <c r="D17" s="45" t="s">
        <v>90</v>
      </c>
      <c r="E17" s="46" t="n">
        <v>1</v>
      </c>
      <c r="F17" s="46" t="n">
        <v>50</v>
      </c>
    </row>
    <row r="18" customFormat="false" ht="15.65" hidden="false" customHeight="false" outlineLevel="0" collapsed="false">
      <c r="A18" s="43" t="s">
        <v>134</v>
      </c>
      <c r="B18" s="44" t="s">
        <v>135</v>
      </c>
      <c r="C18" s="45" t="s">
        <v>136</v>
      </c>
      <c r="D18" s="45" t="s">
        <v>90</v>
      </c>
      <c r="E18" s="46" t="n">
        <v>1</v>
      </c>
      <c r="F18" s="46" t="n">
        <v>50</v>
      </c>
    </row>
    <row r="19" customFormat="false" ht="15.65" hidden="false" customHeight="false" outlineLevel="0" collapsed="false">
      <c r="A19" s="43" t="s">
        <v>137</v>
      </c>
      <c r="B19" s="44" t="s">
        <v>138</v>
      </c>
      <c r="C19" s="45" t="s">
        <v>139</v>
      </c>
      <c r="D19" s="45" t="s">
        <v>90</v>
      </c>
      <c r="E19" s="46" t="n">
        <v>1</v>
      </c>
      <c r="F19" s="46" t="n">
        <v>200</v>
      </c>
    </row>
    <row r="20" customFormat="false" ht="15.65" hidden="false" customHeight="false" outlineLevel="0" collapsed="false">
      <c r="A20" s="43" t="s">
        <v>140</v>
      </c>
      <c r="B20" s="44" t="s">
        <v>141</v>
      </c>
      <c r="C20" s="45" t="s">
        <v>142</v>
      </c>
      <c r="D20" s="45" t="s">
        <v>90</v>
      </c>
      <c r="E20" s="46" t="n">
        <v>1</v>
      </c>
      <c r="F20" s="46" t="n">
        <v>50</v>
      </c>
    </row>
    <row r="21" customFormat="false" ht="15.65" hidden="false" customHeight="false" outlineLevel="0" collapsed="false">
      <c r="A21" s="43" t="s">
        <v>143</v>
      </c>
      <c r="B21" s="44" t="s">
        <v>144</v>
      </c>
      <c r="C21" s="45" t="s">
        <v>145</v>
      </c>
      <c r="D21" s="45" t="s">
        <v>90</v>
      </c>
      <c r="E21" s="46" t="n">
        <v>1</v>
      </c>
      <c r="F21" s="46" t="n">
        <v>200</v>
      </c>
    </row>
    <row r="22" customFormat="false" ht="15.65" hidden="false" customHeight="false" outlineLevel="0" collapsed="false">
      <c r="A22" s="47" t="s">
        <v>146</v>
      </c>
      <c r="B22" s="48" t="s">
        <v>147</v>
      </c>
      <c r="C22" s="49" t="s">
        <v>148</v>
      </c>
      <c r="D22" s="45"/>
      <c r="E22" s="46"/>
      <c r="F22" s="46"/>
    </row>
    <row r="23" customFormat="false" ht="15.65" hidden="false" customHeight="false" outlineLevel="0" collapsed="false">
      <c r="A23" s="43" t="s">
        <v>149</v>
      </c>
      <c r="B23" s="44" t="s">
        <v>150</v>
      </c>
      <c r="C23" s="45" t="s">
        <v>151</v>
      </c>
      <c r="D23" s="45" t="s">
        <v>90</v>
      </c>
      <c r="E23" s="46" t="n">
        <v>1</v>
      </c>
      <c r="F23" s="46" t="n">
        <v>200</v>
      </c>
    </row>
    <row r="24" customFormat="false" ht="15.65" hidden="false" customHeight="false" outlineLevel="0" collapsed="false">
      <c r="A24" s="43" t="s">
        <v>152</v>
      </c>
      <c r="B24" s="44" t="s">
        <v>153</v>
      </c>
      <c r="C24" s="45" t="s">
        <v>154</v>
      </c>
      <c r="D24" s="45" t="s">
        <v>90</v>
      </c>
      <c r="E24" s="46" t="n">
        <v>1</v>
      </c>
      <c r="F24" s="46" t="n">
        <v>100</v>
      </c>
    </row>
    <row r="25" customFormat="false" ht="15.65" hidden="false" customHeight="false" outlineLevel="0" collapsed="false">
      <c r="A25" s="43" t="s">
        <v>155</v>
      </c>
      <c r="B25" s="44" t="s">
        <v>156</v>
      </c>
      <c r="C25" s="45" t="s">
        <v>157</v>
      </c>
      <c r="D25" s="45" t="s">
        <v>90</v>
      </c>
      <c r="E25" s="46" t="n">
        <v>1</v>
      </c>
      <c r="F25" s="46" t="n">
        <v>50</v>
      </c>
    </row>
    <row r="26" customFormat="false" ht="15.65" hidden="false" customHeight="false" outlineLevel="0" collapsed="false">
      <c r="A26" s="43" t="s">
        <v>158</v>
      </c>
      <c r="B26" s="44" t="s">
        <v>159</v>
      </c>
      <c r="C26" s="45" t="s">
        <v>160</v>
      </c>
      <c r="D26" s="45" t="s">
        <v>90</v>
      </c>
      <c r="E26" s="46" t="n">
        <v>1</v>
      </c>
      <c r="F26" s="46" t="n">
        <v>200</v>
      </c>
    </row>
    <row r="27" customFormat="false" ht="15.65" hidden="false" customHeight="false" outlineLevel="0" collapsed="false">
      <c r="A27" s="43" t="s">
        <v>161</v>
      </c>
      <c r="B27" s="44" t="s">
        <v>162</v>
      </c>
      <c r="C27" s="45" t="s">
        <v>163</v>
      </c>
      <c r="D27" s="45" t="s">
        <v>90</v>
      </c>
      <c r="E27" s="46" t="n">
        <v>1</v>
      </c>
      <c r="F27" s="46" t="n">
        <v>200</v>
      </c>
    </row>
    <row r="28" customFormat="false" ht="15.65" hidden="false" customHeight="false" outlineLevel="0" collapsed="false">
      <c r="A28" s="43" t="s">
        <v>164</v>
      </c>
      <c r="B28" s="44" t="s">
        <v>165</v>
      </c>
      <c r="C28" s="45" t="s">
        <v>166</v>
      </c>
      <c r="D28" s="45" t="s">
        <v>90</v>
      </c>
      <c r="E28" s="46" t="n">
        <v>1</v>
      </c>
      <c r="F28" s="46" t="n">
        <v>100</v>
      </c>
    </row>
    <row r="29" customFormat="false" ht="15.65" hidden="false" customHeight="false" outlineLevel="0" collapsed="false">
      <c r="A29" s="47" t="s">
        <v>167</v>
      </c>
      <c r="B29" s="48" t="s">
        <v>168</v>
      </c>
      <c r="C29" s="49" t="s">
        <v>169</v>
      </c>
      <c r="D29" s="45"/>
      <c r="E29" s="46"/>
      <c r="F29" s="46"/>
    </row>
    <row r="30" customFormat="false" ht="15.65" hidden="false" customHeight="false" outlineLevel="0" collapsed="false">
      <c r="A30" s="43" t="s">
        <v>170</v>
      </c>
      <c r="B30" s="44" t="s">
        <v>171</v>
      </c>
      <c r="C30" s="45" t="s">
        <v>172</v>
      </c>
      <c r="D30" s="45" t="s">
        <v>90</v>
      </c>
      <c r="E30" s="46" t="n">
        <v>1</v>
      </c>
      <c r="F30" s="46" t="n">
        <v>500</v>
      </c>
    </row>
    <row r="31" customFormat="false" ht="15.65" hidden="false" customHeight="false" outlineLevel="0" collapsed="false">
      <c r="A31" s="43" t="s">
        <v>173</v>
      </c>
      <c r="B31" s="44" t="s">
        <v>174</v>
      </c>
      <c r="C31" s="45" t="s">
        <v>175</v>
      </c>
      <c r="D31" s="45" t="s">
        <v>90</v>
      </c>
      <c r="E31" s="46" t="n">
        <v>1</v>
      </c>
      <c r="F31" s="46" t="n">
        <v>200</v>
      </c>
    </row>
    <row r="32" customFormat="false" ht="15.65" hidden="false" customHeight="false" outlineLevel="0" collapsed="false">
      <c r="A32" s="43" t="s">
        <v>176</v>
      </c>
      <c r="B32" s="44" t="s">
        <v>177</v>
      </c>
      <c r="C32" s="45" t="s">
        <v>178</v>
      </c>
      <c r="D32" s="45" t="s">
        <v>90</v>
      </c>
      <c r="E32" s="46" t="n">
        <v>1</v>
      </c>
      <c r="F32" s="46" t="n">
        <v>300</v>
      </c>
    </row>
    <row r="33" customFormat="false" ht="15.65" hidden="false" customHeight="false" outlineLevel="0" collapsed="false">
      <c r="A33" s="43" t="s">
        <v>179</v>
      </c>
      <c r="B33" s="44" t="s">
        <v>180</v>
      </c>
      <c r="C33" s="45" t="s">
        <v>181</v>
      </c>
      <c r="D33" s="45" t="s">
        <v>90</v>
      </c>
      <c r="E33" s="46" t="n">
        <v>1</v>
      </c>
      <c r="F33" s="46" t="n">
        <v>100</v>
      </c>
    </row>
    <row r="34" customFormat="false" ht="15.65" hidden="false" customHeight="false" outlineLevel="0" collapsed="false">
      <c r="A34" s="43" t="s">
        <v>182</v>
      </c>
      <c r="B34" s="44" t="s">
        <v>183</v>
      </c>
      <c r="C34" s="45" t="s">
        <v>184</v>
      </c>
      <c r="D34" s="45" t="s">
        <v>90</v>
      </c>
      <c r="E34" s="46" t="n">
        <v>1</v>
      </c>
      <c r="F34" s="46" t="n">
        <v>100</v>
      </c>
    </row>
    <row r="35" customFormat="false" ht="15.65" hidden="false" customHeight="false" outlineLevel="0" collapsed="false">
      <c r="A35" s="43" t="s">
        <v>179</v>
      </c>
      <c r="B35" s="44" t="s">
        <v>185</v>
      </c>
      <c r="C35" s="45" t="s">
        <v>186</v>
      </c>
      <c r="D35" s="45" t="s">
        <v>90</v>
      </c>
      <c r="E35" s="46" t="n">
        <v>1</v>
      </c>
      <c r="F35" s="46" t="n">
        <v>300</v>
      </c>
    </row>
    <row r="36" customFormat="false" ht="15.65" hidden="false" customHeight="false" outlineLevel="0" collapsed="false">
      <c r="A36" s="43" t="s">
        <v>182</v>
      </c>
      <c r="B36" s="44" t="s">
        <v>187</v>
      </c>
      <c r="C36" s="45" t="s">
        <v>188</v>
      </c>
      <c r="D36" s="45" t="s">
        <v>90</v>
      </c>
      <c r="E36" s="46" t="n">
        <v>1</v>
      </c>
      <c r="F36" s="46" t="n">
        <v>300</v>
      </c>
    </row>
    <row r="37" customFormat="false" ht="15.65" hidden="false" customHeight="false" outlineLevel="0" collapsed="false">
      <c r="A37" s="43" t="s">
        <v>189</v>
      </c>
      <c r="B37" s="44" t="s">
        <v>190</v>
      </c>
      <c r="C37" s="45" t="s">
        <v>191</v>
      </c>
      <c r="D37" s="45" t="s">
        <v>90</v>
      </c>
      <c r="E37" s="46" t="n">
        <v>1</v>
      </c>
      <c r="F37" s="46" t="n">
        <v>200</v>
      </c>
    </row>
    <row r="38" customFormat="false" ht="15.65" hidden="false" customHeight="false" outlineLevel="0" collapsed="false">
      <c r="A38" s="43" t="s">
        <v>192</v>
      </c>
      <c r="B38" s="44" t="s">
        <v>193</v>
      </c>
      <c r="C38" s="45" t="s">
        <v>194</v>
      </c>
      <c r="D38" s="45" t="s">
        <v>90</v>
      </c>
      <c r="E38" s="46" t="n">
        <v>1</v>
      </c>
      <c r="F38" s="46" t="n">
        <v>100</v>
      </c>
    </row>
    <row r="39" customFormat="false" ht="15.65" hidden="false" customHeight="false" outlineLevel="0" collapsed="false">
      <c r="A39" s="43" t="s">
        <v>195</v>
      </c>
      <c r="B39" s="44" t="s">
        <v>196</v>
      </c>
      <c r="C39" s="45" t="s">
        <v>197</v>
      </c>
      <c r="D39" s="45" t="s">
        <v>90</v>
      </c>
      <c r="E39" s="46" t="n">
        <v>1</v>
      </c>
      <c r="F39" s="46" t="n">
        <v>100</v>
      </c>
    </row>
    <row r="40" customFormat="false" ht="30.1" hidden="false" customHeight="false" outlineLevel="0" collapsed="false">
      <c r="A40" s="43" t="s">
        <v>198</v>
      </c>
      <c r="B40" s="44" t="s">
        <v>199</v>
      </c>
      <c r="C40" s="45" t="s">
        <v>200</v>
      </c>
      <c r="D40" s="45" t="s">
        <v>90</v>
      </c>
      <c r="E40" s="46" t="n">
        <v>1</v>
      </c>
      <c r="F40" s="46" t="n">
        <v>200</v>
      </c>
    </row>
    <row r="41" customFormat="false" ht="15.65" hidden="false" customHeight="false" outlineLevel="0" collapsed="false">
      <c r="A41" s="47" t="s">
        <v>201</v>
      </c>
      <c r="B41" s="48" t="s">
        <v>202</v>
      </c>
      <c r="C41" s="49" t="s">
        <v>203</v>
      </c>
      <c r="D41" s="45"/>
      <c r="E41" s="46"/>
      <c r="F41" s="46"/>
    </row>
    <row r="42" customFormat="false" ht="15.65" hidden="false" customHeight="false" outlineLevel="0" collapsed="false">
      <c r="A42" s="43" t="s">
        <v>204</v>
      </c>
      <c r="B42" s="44" t="s">
        <v>205</v>
      </c>
      <c r="C42" s="45" t="s">
        <v>206</v>
      </c>
      <c r="D42" s="45" t="s">
        <v>90</v>
      </c>
      <c r="E42" s="46" t="n">
        <v>1</v>
      </c>
      <c r="F42" s="46" t="n">
        <v>50</v>
      </c>
    </row>
    <row r="43" customFormat="false" ht="15.65" hidden="false" customHeight="false" outlineLevel="0" collapsed="false">
      <c r="A43" s="43" t="s">
        <v>207</v>
      </c>
      <c r="B43" s="44" t="s">
        <v>208</v>
      </c>
      <c r="C43" s="45" t="s">
        <v>209</v>
      </c>
      <c r="D43" s="45" t="s">
        <v>90</v>
      </c>
      <c r="E43" s="46" t="n">
        <v>1</v>
      </c>
      <c r="F43" s="46" t="n">
        <v>100</v>
      </c>
    </row>
    <row r="44" customFormat="false" ht="15.65" hidden="false" customHeight="false" outlineLevel="0" collapsed="false">
      <c r="A44" s="43" t="s">
        <v>210</v>
      </c>
      <c r="B44" s="44" t="s">
        <v>211</v>
      </c>
      <c r="C44" s="45" t="s">
        <v>212</v>
      </c>
      <c r="D44" s="45" t="s">
        <v>90</v>
      </c>
      <c r="E44" s="46" t="n">
        <v>1</v>
      </c>
      <c r="F44" s="46" t="n">
        <v>100</v>
      </c>
    </row>
    <row r="45" customFormat="false" ht="15.65" hidden="false" customHeight="false" outlineLevel="0" collapsed="false">
      <c r="A45" s="43" t="s">
        <v>213</v>
      </c>
      <c r="B45" s="44" t="s">
        <v>214</v>
      </c>
      <c r="C45" s="45" t="s">
        <v>215</v>
      </c>
      <c r="D45" s="45" t="s">
        <v>90</v>
      </c>
      <c r="E45" s="46" t="n">
        <v>1</v>
      </c>
      <c r="F45" s="46" t="n">
        <v>50</v>
      </c>
    </row>
    <row r="46" customFormat="false" ht="15.65" hidden="false" customHeight="false" outlineLevel="0" collapsed="false">
      <c r="A46" s="43" t="s">
        <v>216</v>
      </c>
      <c r="B46" s="44" t="s">
        <v>217</v>
      </c>
      <c r="C46" s="45" t="s">
        <v>218</v>
      </c>
      <c r="D46" s="45" t="s">
        <v>90</v>
      </c>
      <c r="E46" s="46" t="n">
        <v>1</v>
      </c>
      <c r="F46" s="46" t="n">
        <v>50</v>
      </c>
    </row>
    <row r="47" customFormat="false" ht="15.65" hidden="false" customHeight="false" outlineLevel="0" collapsed="false">
      <c r="A47" s="47" t="s">
        <v>219</v>
      </c>
      <c r="B47" s="48" t="s">
        <v>220</v>
      </c>
      <c r="C47" s="49" t="s">
        <v>221</v>
      </c>
      <c r="D47" s="45"/>
      <c r="E47" s="46"/>
      <c r="F47" s="46"/>
    </row>
    <row r="48" customFormat="false" ht="15.65" hidden="false" customHeight="false" outlineLevel="0" collapsed="false">
      <c r="A48" s="43" t="s">
        <v>222</v>
      </c>
      <c r="B48" s="44" t="s">
        <v>223</v>
      </c>
      <c r="C48" s="45" t="s">
        <v>224</v>
      </c>
      <c r="D48" s="45" t="s">
        <v>90</v>
      </c>
      <c r="E48" s="46" t="n">
        <v>1</v>
      </c>
      <c r="F48" s="46" t="n">
        <v>100</v>
      </c>
    </row>
    <row r="49" customFormat="false" ht="15.65" hidden="false" customHeight="false" outlineLevel="0" collapsed="false">
      <c r="A49" s="43" t="s">
        <v>225</v>
      </c>
      <c r="B49" s="44" t="s">
        <v>226</v>
      </c>
      <c r="C49" s="45" t="s">
        <v>227</v>
      </c>
      <c r="D49" s="45" t="s">
        <v>90</v>
      </c>
      <c r="E49" s="46" t="n">
        <v>1</v>
      </c>
      <c r="F49" s="46" t="n">
        <v>100</v>
      </c>
    </row>
    <row r="50" customFormat="false" ht="15.65" hidden="false" customHeight="false" outlineLevel="0" collapsed="false">
      <c r="A50" s="43" t="s">
        <v>228</v>
      </c>
      <c r="B50" s="44" t="s">
        <v>229</v>
      </c>
      <c r="C50" s="45" t="s">
        <v>230</v>
      </c>
      <c r="D50" s="45" t="s">
        <v>90</v>
      </c>
      <c r="E50" s="46" t="n">
        <v>1</v>
      </c>
      <c r="F50" s="46" t="n">
        <v>50</v>
      </c>
    </row>
    <row r="51" customFormat="false" ht="15.65" hidden="false" customHeight="false" outlineLevel="0" collapsed="false">
      <c r="A51" s="43" t="s">
        <v>231</v>
      </c>
      <c r="B51" s="44" t="s">
        <v>232</v>
      </c>
      <c r="C51" s="45" t="s">
        <v>233</v>
      </c>
      <c r="D51" s="45" t="s">
        <v>90</v>
      </c>
      <c r="E51" s="46" t="n">
        <v>1</v>
      </c>
      <c r="F51" s="46" t="n">
        <v>100</v>
      </c>
    </row>
    <row r="52" customFormat="false" ht="15.65" hidden="false" customHeight="false" outlineLevel="0" collapsed="false">
      <c r="A52" s="43" t="s">
        <v>234</v>
      </c>
      <c r="B52" s="44" t="s">
        <v>235</v>
      </c>
      <c r="C52" s="45" t="s">
        <v>236</v>
      </c>
      <c r="D52" s="45" t="s">
        <v>90</v>
      </c>
      <c r="E52" s="46" t="n">
        <v>1</v>
      </c>
      <c r="F52" s="46" t="n">
        <v>300</v>
      </c>
    </row>
    <row r="53" customFormat="false" ht="15.65" hidden="false" customHeight="false" outlineLevel="0" collapsed="false">
      <c r="A53" s="43" t="s">
        <v>237</v>
      </c>
      <c r="B53" s="44" t="s">
        <v>238</v>
      </c>
      <c r="C53" s="45" t="s">
        <v>239</v>
      </c>
      <c r="D53" s="45" t="s">
        <v>90</v>
      </c>
      <c r="E53" s="46" t="n">
        <v>1</v>
      </c>
      <c r="F53" s="46" t="n">
        <v>300</v>
      </c>
    </row>
    <row r="54" customFormat="false" ht="15.65" hidden="false" customHeight="false" outlineLevel="0" collapsed="false">
      <c r="A54" s="43" t="s">
        <v>240</v>
      </c>
      <c r="B54" s="44" t="s">
        <v>241</v>
      </c>
      <c r="C54" s="45" t="s">
        <v>242</v>
      </c>
      <c r="D54" s="45" t="s">
        <v>90</v>
      </c>
      <c r="E54" s="46" t="n">
        <v>1</v>
      </c>
      <c r="F54" s="46" t="n">
        <v>100</v>
      </c>
    </row>
    <row r="55" customFormat="false" ht="15.65" hidden="false" customHeight="false" outlineLevel="0" collapsed="false">
      <c r="A55" s="47" t="s">
        <v>243</v>
      </c>
      <c r="B55" s="48" t="s">
        <v>244</v>
      </c>
      <c r="C55" s="49" t="s">
        <v>245</v>
      </c>
      <c r="D55" s="45"/>
      <c r="E55" s="46"/>
      <c r="F55" s="46"/>
    </row>
    <row r="56" customFormat="false" ht="15.65" hidden="false" customHeight="false" outlineLevel="0" collapsed="false">
      <c r="A56" s="43" t="s">
        <v>246</v>
      </c>
      <c r="B56" s="44" t="s">
        <v>247</v>
      </c>
      <c r="C56" s="45" t="s">
        <v>248</v>
      </c>
      <c r="D56" s="45" t="s">
        <v>90</v>
      </c>
      <c r="E56" s="46" t="n">
        <v>1</v>
      </c>
      <c r="F56" s="46" t="n">
        <v>300</v>
      </c>
    </row>
    <row r="57" customFormat="false" ht="15.65" hidden="false" customHeight="false" outlineLevel="0" collapsed="false">
      <c r="A57" s="43" t="s">
        <v>249</v>
      </c>
      <c r="B57" s="44" t="s">
        <v>250</v>
      </c>
      <c r="C57" s="45" t="s">
        <v>251</v>
      </c>
      <c r="D57" s="45" t="s">
        <v>90</v>
      </c>
      <c r="E57" s="46" t="n">
        <v>1</v>
      </c>
      <c r="F57" s="46" t="n">
        <v>100</v>
      </c>
    </row>
    <row r="58" customFormat="false" ht="15.65" hidden="false" customHeight="false" outlineLevel="0" collapsed="false">
      <c r="A58" s="43" t="s">
        <v>252</v>
      </c>
      <c r="B58" s="44" t="s">
        <v>253</v>
      </c>
      <c r="C58" s="45" t="s">
        <v>254</v>
      </c>
      <c r="D58" s="45" t="s">
        <v>90</v>
      </c>
      <c r="E58" s="46" t="n">
        <v>1</v>
      </c>
      <c r="F58" s="46" t="n">
        <v>300</v>
      </c>
    </row>
    <row r="59" customFormat="false" ht="15.65" hidden="false" customHeight="false" outlineLevel="0" collapsed="false">
      <c r="A59" s="43" t="s">
        <v>255</v>
      </c>
      <c r="B59" s="44" t="s">
        <v>256</v>
      </c>
      <c r="C59" s="45" t="s">
        <v>257</v>
      </c>
      <c r="D59" s="45" t="s">
        <v>90</v>
      </c>
      <c r="E59" s="46" t="n">
        <v>1</v>
      </c>
      <c r="F59" s="46" t="n">
        <v>100</v>
      </c>
    </row>
    <row r="60" customFormat="false" ht="15.65" hidden="false" customHeight="false" outlineLevel="0" collapsed="false">
      <c r="A60" s="43" t="s">
        <v>258</v>
      </c>
      <c r="B60" s="44" t="s">
        <v>259</v>
      </c>
      <c r="C60" s="45" t="s">
        <v>260</v>
      </c>
      <c r="D60" s="45" t="s">
        <v>90</v>
      </c>
      <c r="E60" s="46" t="n">
        <v>1</v>
      </c>
      <c r="F60" s="46" t="n">
        <v>300</v>
      </c>
    </row>
    <row r="61" customFormat="false" ht="30.1" hidden="false" customHeight="false" outlineLevel="0" collapsed="false">
      <c r="A61" s="43" t="s">
        <v>261</v>
      </c>
      <c r="B61" s="44" t="s">
        <v>262</v>
      </c>
      <c r="C61" s="45" t="s">
        <v>263</v>
      </c>
      <c r="D61" s="45" t="s">
        <v>90</v>
      </c>
      <c r="E61" s="46" t="n">
        <v>1</v>
      </c>
      <c r="F61" s="46" t="n">
        <v>300</v>
      </c>
    </row>
    <row r="62" customFormat="false" ht="15.65" hidden="false" customHeight="false" outlineLevel="0" collapsed="false">
      <c r="A62" s="43" t="s">
        <v>264</v>
      </c>
      <c r="B62" s="44" t="s">
        <v>265</v>
      </c>
      <c r="C62" s="45" t="s">
        <v>266</v>
      </c>
      <c r="D62" s="45" t="s">
        <v>90</v>
      </c>
      <c r="E62" s="46" t="n">
        <v>1</v>
      </c>
      <c r="F62" s="46" t="n">
        <v>300</v>
      </c>
    </row>
    <row r="63" customFormat="false" ht="15.65" hidden="false" customHeight="false" outlineLevel="0" collapsed="false">
      <c r="A63" s="43" t="s">
        <v>267</v>
      </c>
      <c r="B63" s="44" t="s">
        <v>268</v>
      </c>
      <c r="C63" s="45" t="s">
        <v>269</v>
      </c>
      <c r="D63" s="45" t="s">
        <v>90</v>
      </c>
      <c r="E63" s="46" t="n">
        <v>1</v>
      </c>
      <c r="F63" s="46" t="n">
        <v>100</v>
      </c>
    </row>
    <row r="64" customFormat="false" ht="15.65" hidden="false" customHeight="false" outlineLevel="0" collapsed="false">
      <c r="A64" s="43" t="s">
        <v>270</v>
      </c>
      <c r="B64" s="44" t="s">
        <v>271</v>
      </c>
      <c r="C64" s="45" t="s">
        <v>272</v>
      </c>
      <c r="D64" s="45" t="s">
        <v>90</v>
      </c>
      <c r="E64" s="46" t="n">
        <v>1</v>
      </c>
      <c r="F64" s="46" t="n">
        <v>300</v>
      </c>
    </row>
    <row r="65" customFormat="false" ht="15.65" hidden="false" customHeight="false" outlineLevel="0" collapsed="false">
      <c r="A65" s="43" t="s">
        <v>273</v>
      </c>
      <c r="B65" s="44" t="s">
        <v>274</v>
      </c>
      <c r="C65" s="45" t="s">
        <v>275</v>
      </c>
      <c r="D65" s="45" t="s">
        <v>90</v>
      </c>
      <c r="E65" s="46" t="n">
        <v>1</v>
      </c>
      <c r="F65" s="46" t="n">
        <v>100</v>
      </c>
    </row>
    <row r="66" customFormat="false" ht="30.1" hidden="false" customHeight="false" outlineLevel="0" collapsed="false">
      <c r="A66" s="43" t="s">
        <v>276</v>
      </c>
      <c r="B66" s="44" t="s">
        <v>277</v>
      </c>
      <c r="C66" s="45" t="s">
        <v>278</v>
      </c>
      <c r="D66" s="45" t="s">
        <v>90</v>
      </c>
      <c r="E66" s="46" t="n">
        <v>1</v>
      </c>
      <c r="F66" s="46" t="n">
        <v>500</v>
      </c>
    </row>
    <row r="67" customFormat="false" ht="15.65" hidden="false" customHeight="false" outlineLevel="0" collapsed="false">
      <c r="A67" s="47" t="s">
        <v>279</v>
      </c>
      <c r="B67" s="48" t="s">
        <v>280</v>
      </c>
      <c r="C67" s="49" t="s">
        <v>281</v>
      </c>
      <c r="D67" s="45"/>
      <c r="E67" s="46"/>
      <c r="F67" s="46"/>
    </row>
    <row r="68" customFormat="false" ht="30.1" hidden="false" customHeight="false" outlineLevel="0" collapsed="false">
      <c r="A68" s="43" t="s">
        <v>282</v>
      </c>
      <c r="B68" s="44" t="s">
        <v>283</v>
      </c>
      <c r="C68" s="45" t="s">
        <v>284</v>
      </c>
      <c r="D68" s="45" t="s">
        <v>285</v>
      </c>
      <c r="E68" s="46" t="n">
        <v>1</v>
      </c>
      <c r="F68" s="46" t="n">
        <v>50</v>
      </c>
    </row>
    <row r="69" customFormat="false" ht="30.1" hidden="false" customHeight="false" outlineLevel="0" collapsed="false">
      <c r="A69" s="43" t="s">
        <v>286</v>
      </c>
      <c r="B69" s="44" t="s">
        <v>287</v>
      </c>
      <c r="C69" s="45" t="s">
        <v>288</v>
      </c>
      <c r="D69" s="45" t="s">
        <v>285</v>
      </c>
      <c r="E69" s="46" t="n">
        <v>1</v>
      </c>
      <c r="F69" s="46" t="n">
        <v>50</v>
      </c>
    </row>
    <row r="70" customFormat="false" ht="30.1" hidden="false" customHeight="false" outlineLevel="0" collapsed="false">
      <c r="A70" s="43" t="s">
        <v>289</v>
      </c>
      <c r="B70" s="44" t="s">
        <v>290</v>
      </c>
      <c r="C70" s="45" t="s">
        <v>291</v>
      </c>
      <c r="D70" s="45" t="s">
        <v>285</v>
      </c>
      <c r="E70" s="46" t="n">
        <v>1</v>
      </c>
      <c r="F70" s="46" t="n">
        <v>50</v>
      </c>
    </row>
    <row r="71" customFormat="false" ht="15.65" hidden="false" customHeight="false" outlineLevel="0" collapsed="false">
      <c r="A71" s="43" t="s">
        <v>292</v>
      </c>
      <c r="B71" s="44" t="s">
        <v>293</v>
      </c>
      <c r="C71" s="45" t="s">
        <v>294</v>
      </c>
      <c r="D71" s="45" t="s">
        <v>295</v>
      </c>
      <c r="E71" s="46" t="n">
        <v>1</v>
      </c>
      <c r="F71" s="46" t="n">
        <v>20</v>
      </c>
    </row>
    <row r="72" customFormat="false" ht="15.65" hidden="false" customHeight="false" outlineLevel="0" collapsed="false">
      <c r="A72" s="43" t="s">
        <v>296</v>
      </c>
      <c r="B72" s="44" t="s">
        <v>297</v>
      </c>
      <c r="C72" s="45" t="s">
        <v>298</v>
      </c>
      <c r="D72" s="45" t="s">
        <v>295</v>
      </c>
      <c r="E72" s="46" t="n">
        <v>1</v>
      </c>
      <c r="F72" s="46" t="n">
        <v>30</v>
      </c>
    </row>
    <row r="73" customFormat="false" ht="15.65" hidden="false" customHeight="false" outlineLevel="0" collapsed="false">
      <c r="A73" s="43" t="s">
        <v>299</v>
      </c>
      <c r="B73" s="44" t="s">
        <v>300</v>
      </c>
      <c r="C73" s="45" t="s">
        <v>301</v>
      </c>
      <c r="D73" s="45" t="s">
        <v>295</v>
      </c>
      <c r="E73" s="46" t="n">
        <v>1</v>
      </c>
      <c r="F73" s="46" t="n">
        <v>20</v>
      </c>
    </row>
    <row r="74" customFormat="false" ht="15.65" hidden="false" customHeight="false" outlineLevel="0" collapsed="false">
      <c r="A74" s="43" t="s">
        <v>302</v>
      </c>
      <c r="B74" s="44" t="s">
        <v>303</v>
      </c>
      <c r="C74" s="45" t="s">
        <v>304</v>
      </c>
      <c r="D74" s="45" t="s">
        <v>295</v>
      </c>
      <c r="E74" s="46" t="n">
        <v>1</v>
      </c>
      <c r="F74" s="46" t="n">
        <v>10</v>
      </c>
    </row>
    <row r="75" customFormat="false" ht="15.65" hidden="false" customHeight="false" outlineLevel="0" collapsed="false">
      <c r="A75" s="43" t="s">
        <v>305</v>
      </c>
      <c r="B75" s="44" t="s">
        <v>306</v>
      </c>
      <c r="C75" s="45" t="s">
        <v>307</v>
      </c>
      <c r="D75" s="45" t="s">
        <v>295</v>
      </c>
      <c r="E75" s="46" t="n">
        <v>1</v>
      </c>
      <c r="F75" s="46" t="n">
        <v>10</v>
      </c>
    </row>
    <row r="76" customFormat="false" ht="15.65" hidden="false" customHeight="false" outlineLevel="0" collapsed="false">
      <c r="A76" s="43" t="s">
        <v>308</v>
      </c>
      <c r="B76" s="44" t="s">
        <v>309</v>
      </c>
      <c r="C76" s="45" t="s">
        <v>310</v>
      </c>
      <c r="D76" s="45" t="s">
        <v>295</v>
      </c>
      <c r="E76" s="46" t="n">
        <v>1</v>
      </c>
      <c r="F76" s="46" t="n">
        <v>10</v>
      </c>
    </row>
    <row r="77" customFormat="false" ht="15.65" hidden="false" customHeight="false" outlineLevel="0" collapsed="false">
      <c r="A77" s="43" t="s">
        <v>311</v>
      </c>
      <c r="B77" s="44" t="s">
        <v>312</v>
      </c>
      <c r="C77" s="45" t="s">
        <v>313</v>
      </c>
      <c r="D77" s="45" t="s">
        <v>295</v>
      </c>
      <c r="E77" s="46" t="n">
        <v>1</v>
      </c>
      <c r="F77" s="46" t="n">
        <v>10</v>
      </c>
    </row>
    <row r="78" customFormat="false" ht="15.65" hidden="false" customHeight="false" outlineLevel="0" collapsed="false">
      <c r="A78" s="43" t="s">
        <v>314</v>
      </c>
      <c r="B78" s="44" t="s">
        <v>315</v>
      </c>
      <c r="C78" s="45" t="s">
        <v>316</v>
      </c>
      <c r="D78" s="45" t="s">
        <v>295</v>
      </c>
      <c r="E78" s="46" t="n">
        <v>1</v>
      </c>
      <c r="F78" s="46" t="n">
        <v>10</v>
      </c>
    </row>
    <row r="79" customFormat="false" ht="15.65" hidden="false" customHeight="false" outlineLevel="0" collapsed="false">
      <c r="A79" s="43" t="s">
        <v>317</v>
      </c>
      <c r="B79" s="44" t="s">
        <v>318</v>
      </c>
      <c r="C79" s="45" t="s">
        <v>319</v>
      </c>
      <c r="D79" s="45" t="s">
        <v>295</v>
      </c>
      <c r="E79" s="46" t="n">
        <v>1</v>
      </c>
      <c r="F79" s="46" t="n">
        <v>10</v>
      </c>
    </row>
    <row r="80" customFormat="false" ht="31.3" hidden="false" customHeight="false" outlineLevel="0" collapsed="false">
      <c r="A80" s="43" t="s">
        <v>320</v>
      </c>
      <c r="B80" s="44" t="s">
        <v>321</v>
      </c>
      <c r="C80" s="45" t="s">
        <v>322</v>
      </c>
      <c r="D80" s="45" t="s">
        <v>295</v>
      </c>
      <c r="E80" s="46" t="n">
        <v>1</v>
      </c>
      <c r="F80" s="46" t="n">
        <v>10</v>
      </c>
    </row>
    <row r="81" customFormat="false" ht="31.3" hidden="false" customHeight="false" outlineLevel="0" collapsed="false">
      <c r="A81" s="43" t="s">
        <v>323</v>
      </c>
      <c r="B81" s="44" t="s">
        <v>324</v>
      </c>
      <c r="C81" s="45" t="s">
        <v>325</v>
      </c>
      <c r="D81" s="45" t="s">
        <v>295</v>
      </c>
      <c r="E81" s="46" t="n">
        <v>1</v>
      </c>
      <c r="F81" s="46" t="n">
        <v>10</v>
      </c>
    </row>
    <row r="82" customFormat="false" ht="31.3" hidden="false" customHeight="false" outlineLevel="0" collapsed="false">
      <c r="A82" s="43" t="s">
        <v>326</v>
      </c>
      <c r="B82" s="44" t="s">
        <v>327</v>
      </c>
      <c r="C82" s="45" t="s">
        <v>328</v>
      </c>
      <c r="D82" s="45" t="s">
        <v>295</v>
      </c>
      <c r="E82" s="46" t="n">
        <v>1</v>
      </c>
      <c r="F82" s="46" t="n">
        <v>10</v>
      </c>
    </row>
    <row r="83" customFormat="false" ht="30.1" hidden="false" customHeight="false" outlineLevel="0" collapsed="false">
      <c r="A83" s="43" t="s">
        <v>329</v>
      </c>
      <c r="B83" s="44" t="s">
        <v>330</v>
      </c>
      <c r="C83" s="45" t="s">
        <v>331</v>
      </c>
      <c r="D83" s="45" t="s">
        <v>285</v>
      </c>
      <c r="E83" s="46" t="n">
        <v>1</v>
      </c>
      <c r="F83" s="46" t="n">
        <v>20</v>
      </c>
    </row>
    <row r="84" customFormat="false" ht="31.3" hidden="false" customHeight="false" outlineLevel="0" collapsed="false">
      <c r="A84" s="43" t="s">
        <v>332</v>
      </c>
      <c r="B84" s="44" t="s">
        <v>333</v>
      </c>
      <c r="C84" s="45" t="s">
        <v>334</v>
      </c>
      <c r="D84" s="45" t="s">
        <v>295</v>
      </c>
      <c r="E84" s="46" t="n">
        <v>1</v>
      </c>
      <c r="F84" s="46" t="n">
        <v>10</v>
      </c>
    </row>
    <row r="85" customFormat="false" ht="15.65" hidden="false" customHeight="false" outlineLevel="0" collapsed="false">
      <c r="A85" s="43" t="s">
        <v>335</v>
      </c>
      <c r="B85" s="44" t="s">
        <v>336</v>
      </c>
      <c r="C85" s="45" t="s">
        <v>337</v>
      </c>
      <c r="D85" s="45" t="s">
        <v>295</v>
      </c>
      <c r="E85" s="46" t="n">
        <v>1</v>
      </c>
      <c r="F85" s="46" t="n">
        <v>10</v>
      </c>
    </row>
    <row r="86" customFormat="false" ht="30.1" hidden="false" customHeight="false" outlineLevel="0" collapsed="false">
      <c r="A86" s="43" t="s">
        <v>338</v>
      </c>
      <c r="B86" s="44" t="s">
        <v>339</v>
      </c>
      <c r="C86" s="45" t="s">
        <v>340</v>
      </c>
      <c r="D86" s="45" t="s">
        <v>295</v>
      </c>
      <c r="E86" s="46" t="n">
        <v>1</v>
      </c>
      <c r="F86" s="46" t="n">
        <v>30</v>
      </c>
    </row>
    <row r="87" customFormat="false" ht="30.1" hidden="false" customHeight="false" outlineLevel="0" collapsed="false">
      <c r="A87" s="43" t="s">
        <v>341</v>
      </c>
      <c r="B87" s="44" t="s">
        <v>342</v>
      </c>
      <c r="C87" s="45" t="s">
        <v>343</v>
      </c>
      <c r="D87" s="45"/>
      <c r="E87" s="46" t="n">
        <v>1</v>
      </c>
      <c r="F87" s="46" t="n">
        <v>200</v>
      </c>
    </row>
    <row r="88" customFormat="false" ht="30.1" hidden="false" customHeight="false" outlineLevel="0" collapsed="false">
      <c r="A88" s="43" t="s">
        <v>344</v>
      </c>
      <c r="B88" s="44" t="s">
        <v>345</v>
      </c>
      <c r="C88" s="45" t="s">
        <v>346</v>
      </c>
      <c r="D88" s="45"/>
      <c r="E88" s="46" t="n">
        <v>1</v>
      </c>
      <c r="F88" s="46" t="n">
        <v>200</v>
      </c>
    </row>
    <row r="89" customFormat="false" ht="30.75" hidden="false" customHeight="true" outlineLevel="0" collapsed="false">
      <c r="A89" s="47" t="s">
        <v>347</v>
      </c>
      <c r="B89" s="48" t="s">
        <v>348</v>
      </c>
      <c r="C89" s="49" t="s">
        <v>349</v>
      </c>
      <c r="D89" s="45"/>
      <c r="E89" s="46"/>
      <c r="F89" s="46"/>
    </row>
    <row r="90" customFormat="false" ht="26.25" hidden="false" customHeight="true" outlineLevel="0" collapsed="false">
      <c r="A90" s="43" t="s">
        <v>350</v>
      </c>
      <c r="B90" s="44" t="s">
        <v>351</v>
      </c>
      <c r="C90" s="45" t="s">
        <v>352</v>
      </c>
      <c r="D90" s="45" t="s">
        <v>90</v>
      </c>
      <c r="E90" s="46" t="n">
        <v>1</v>
      </c>
      <c r="F90" s="46" t="n">
        <v>10</v>
      </c>
    </row>
    <row r="91" customFormat="false" ht="26.25" hidden="false" customHeight="true" outlineLevel="0" collapsed="false">
      <c r="A91" s="43" t="s">
        <v>353</v>
      </c>
      <c r="B91" s="44" t="s">
        <v>354</v>
      </c>
      <c r="C91" s="45" t="s">
        <v>355</v>
      </c>
      <c r="D91" s="45" t="s">
        <v>90</v>
      </c>
      <c r="E91" s="46" t="n">
        <v>1</v>
      </c>
      <c r="F91" s="46" t="n">
        <v>70</v>
      </c>
    </row>
    <row r="92" customFormat="false" ht="15.65" hidden="false" customHeight="false" outlineLevel="0" collapsed="false">
      <c r="A92" s="43" t="s">
        <v>356</v>
      </c>
      <c r="B92" s="44" t="s">
        <v>357</v>
      </c>
      <c r="C92" s="45" t="s">
        <v>358</v>
      </c>
      <c r="D92" s="45" t="s">
        <v>90</v>
      </c>
      <c r="E92" s="46" t="n">
        <v>1</v>
      </c>
      <c r="F92" s="46" t="n">
        <v>30</v>
      </c>
    </row>
    <row r="93" customFormat="false" ht="15.65" hidden="false" customHeight="false" outlineLevel="0" collapsed="false">
      <c r="A93" s="43" t="s">
        <v>359</v>
      </c>
      <c r="B93" s="44" t="s">
        <v>360</v>
      </c>
      <c r="C93" s="45" t="s">
        <v>361</v>
      </c>
      <c r="D93" s="45" t="s">
        <v>90</v>
      </c>
      <c r="E93" s="46" t="n">
        <v>1</v>
      </c>
      <c r="F93" s="46" t="n">
        <v>40</v>
      </c>
    </row>
    <row r="94" customFormat="false" ht="15.65" hidden="false" customHeight="false" outlineLevel="0" collapsed="false">
      <c r="A94" s="43" t="s">
        <v>362</v>
      </c>
      <c r="B94" s="44" t="s">
        <v>363</v>
      </c>
      <c r="C94" s="45" t="s">
        <v>364</v>
      </c>
      <c r="D94" s="45" t="s">
        <v>90</v>
      </c>
      <c r="E94" s="46" t="n">
        <v>1</v>
      </c>
      <c r="F94" s="46" t="n">
        <v>70</v>
      </c>
    </row>
    <row r="95" customFormat="false" ht="15.65" hidden="false" customHeight="false" outlineLevel="0" collapsed="false">
      <c r="A95" s="43" t="s">
        <v>365</v>
      </c>
      <c r="B95" s="44" t="s">
        <v>366</v>
      </c>
      <c r="C95" s="45" t="s">
        <v>367</v>
      </c>
      <c r="D95" s="45" t="s">
        <v>90</v>
      </c>
      <c r="E95" s="46" t="n">
        <v>1</v>
      </c>
      <c r="F95" s="46" t="n">
        <v>80</v>
      </c>
    </row>
    <row r="96" customFormat="false" ht="15.65" hidden="false" customHeight="false" outlineLevel="0" collapsed="false">
      <c r="A96" s="43" t="s">
        <v>368</v>
      </c>
      <c r="B96" s="44" t="s">
        <v>369</v>
      </c>
      <c r="C96" s="45" t="s">
        <v>370</v>
      </c>
      <c r="D96" s="45" t="s">
        <v>90</v>
      </c>
      <c r="E96" s="46" t="n">
        <v>1</v>
      </c>
      <c r="F96" s="46" t="n">
        <v>100</v>
      </c>
    </row>
    <row r="97" customFormat="false" ht="15.65" hidden="false" customHeight="false" outlineLevel="0" collapsed="false">
      <c r="A97" s="43" t="s">
        <v>371</v>
      </c>
      <c r="B97" s="44" t="s">
        <v>372</v>
      </c>
      <c r="C97" s="45" t="s">
        <v>373</v>
      </c>
      <c r="D97" s="45" t="s">
        <v>90</v>
      </c>
      <c r="E97" s="46" t="n">
        <v>1</v>
      </c>
      <c r="F97" s="46" t="n">
        <v>120</v>
      </c>
    </row>
    <row r="98" customFormat="false" ht="15.65" hidden="false" customHeight="false" outlineLevel="0" collapsed="false">
      <c r="A98" s="43" t="s">
        <v>374</v>
      </c>
      <c r="B98" s="44" t="s">
        <v>375</v>
      </c>
      <c r="C98" s="45" t="s">
        <v>376</v>
      </c>
      <c r="D98" s="45" t="s">
        <v>90</v>
      </c>
      <c r="E98" s="46" t="n">
        <v>1</v>
      </c>
      <c r="F98" s="46" t="n">
        <v>60</v>
      </c>
    </row>
    <row r="99" customFormat="false" ht="15.65" hidden="false" customHeight="false" outlineLevel="0" collapsed="false">
      <c r="A99" s="43" t="s">
        <v>377</v>
      </c>
      <c r="B99" s="44" t="s">
        <v>378</v>
      </c>
      <c r="C99" s="45" t="s">
        <v>379</v>
      </c>
      <c r="D99" s="45" t="s">
        <v>90</v>
      </c>
      <c r="E99" s="46" t="n">
        <v>1</v>
      </c>
      <c r="F99" s="46" t="n">
        <v>10</v>
      </c>
    </row>
    <row r="100" customFormat="false" ht="15.65" hidden="false" customHeight="false" outlineLevel="0" collapsed="false">
      <c r="A100" s="43" t="s">
        <v>380</v>
      </c>
      <c r="B100" s="44" t="s">
        <v>381</v>
      </c>
      <c r="C100" s="45" t="s">
        <v>382</v>
      </c>
      <c r="D100" s="45" t="s">
        <v>90</v>
      </c>
      <c r="E100" s="46" t="n">
        <v>1</v>
      </c>
      <c r="F100" s="46" t="n">
        <v>500</v>
      </c>
    </row>
    <row r="101" customFormat="false" ht="15.65" hidden="false" customHeight="false" outlineLevel="0" collapsed="false">
      <c r="A101" s="43" t="s">
        <v>383</v>
      </c>
      <c r="B101" s="44" t="s">
        <v>384</v>
      </c>
      <c r="C101" s="45" t="s">
        <v>385</v>
      </c>
      <c r="D101" s="45" t="s">
        <v>90</v>
      </c>
      <c r="E101" s="46" t="n">
        <v>1</v>
      </c>
      <c r="F101" s="46" t="n">
        <v>300</v>
      </c>
    </row>
    <row r="102" customFormat="false" ht="15.65" hidden="false" customHeight="false" outlineLevel="0" collapsed="false">
      <c r="A102" s="43" t="s">
        <v>386</v>
      </c>
      <c r="B102" s="44" t="s">
        <v>387</v>
      </c>
      <c r="C102" s="45" t="s">
        <v>388</v>
      </c>
      <c r="D102" s="45" t="s">
        <v>389</v>
      </c>
      <c r="E102" s="46" t="n">
        <v>1</v>
      </c>
      <c r="F102" s="46" t="n">
        <v>100</v>
      </c>
    </row>
    <row r="103" customFormat="false" ht="15.65" hidden="false" customHeight="false" outlineLevel="0" collapsed="false">
      <c r="A103" s="47" t="s">
        <v>390</v>
      </c>
      <c r="B103" s="48" t="s">
        <v>391</v>
      </c>
      <c r="C103" s="49" t="s">
        <v>392</v>
      </c>
      <c r="D103" s="45"/>
      <c r="E103" s="46"/>
      <c r="F103" s="46"/>
    </row>
    <row r="104" customFormat="false" ht="15.65" hidden="false" customHeight="false" outlineLevel="0" collapsed="false">
      <c r="A104" s="43" t="s">
        <v>393</v>
      </c>
      <c r="B104" s="44" t="s">
        <v>394</v>
      </c>
      <c r="C104" s="45" t="s">
        <v>395</v>
      </c>
      <c r="D104" s="45" t="s">
        <v>396</v>
      </c>
      <c r="E104" s="46" t="n">
        <v>1</v>
      </c>
      <c r="F104" s="46" t="n">
        <v>5</v>
      </c>
    </row>
    <row r="105" customFormat="false" ht="15.65" hidden="false" customHeight="false" outlineLevel="0" collapsed="false">
      <c r="A105" s="43" t="s">
        <v>397</v>
      </c>
      <c r="B105" s="44" t="s">
        <v>398</v>
      </c>
      <c r="C105" s="45" t="s">
        <v>399</v>
      </c>
      <c r="D105" s="45" t="s">
        <v>400</v>
      </c>
      <c r="E105" s="46" t="n">
        <v>1</v>
      </c>
      <c r="F105" s="46" t="n">
        <v>5</v>
      </c>
    </row>
    <row r="106" customFormat="false" ht="15.65" hidden="false" customHeight="false" outlineLevel="0" collapsed="false">
      <c r="A106" s="43" t="s">
        <v>401</v>
      </c>
      <c r="B106" s="44" t="s">
        <v>402</v>
      </c>
      <c r="C106" s="45" t="s">
        <v>403</v>
      </c>
      <c r="D106" s="45" t="s">
        <v>400</v>
      </c>
      <c r="E106" s="46" t="n">
        <v>1</v>
      </c>
      <c r="F106" s="46" t="n">
        <v>5</v>
      </c>
    </row>
    <row r="107" customFormat="false" ht="15.65" hidden="false" customHeight="false" outlineLevel="0" collapsed="false">
      <c r="A107" s="43" t="s">
        <v>404</v>
      </c>
      <c r="B107" s="44" t="s">
        <v>405</v>
      </c>
      <c r="C107" s="45" t="s">
        <v>406</v>
      </c>
      <c r="D107" s="45" t="s">
        <v>400</v>
      </c>
      <c r="E107" s="46" t="n">
        <v>1</v>
      </c>
      <c r="F107" s="46" t="n">
        <v>5</v>
      </c>
    </row>
    <row r="108" customFormat="false" ht="15.65" hidden="false" customHeight="false" outlineLevel="0" collapsed="false">
      <c r="A108" s="43" t="s">
        <v>407</v>
      </c>
      <c r="B108" s="44" t="s">
        <v>408</v>
      </c>
      <c r="C108" s="45" t="s">
        <v>409</v>
      </c>
      <c r="D108" s="45" t="s">
        <v>400</v>
      </c>
      <c r="E108" s="46" t="n">
        <v>1</v>
      </c>
      <c r="F108" s="46" t="n">
        <v>5</v>
      </c>
    </row>
    <row r="109" customFormat="false" ht="30.7" hidden="false" customHeight="false" outlineLevel="0" collapsed="false">
      <c r="A109" s="43" t="s">
        <v>410</v>
      </c>
      <c r="B109" s="44" t="s">
        <v>411</v>
      </c>
      <c r="C109" s="45" t="s">
        <v>412</v>
      </c>
      <c r="D109" s="45" t="s">
        <v>413</v>
      </c>
      <c r="E109" s="46" t="n">
        <v>1</v>
      </c>
      <c r="F109" s="46" t="n">
        <v>5</v>
      </c>
    </row>
    <row r="110" customFormat="false" ht="15.65" hidden="false" customHeight="false" outlineLevel="0" collapsed="false">
      <c r="A110" s="47" t="s">
        <v>414</v>
      </c>
      <c r="B110" s="48" t="s">
        <v>415</v>
      </c>
      <c r="C110" s="49" t="s">
        <v>416</v>
      </c>
      <c r="D110" s="45"/>
      <c r="E110" s="46"/>
      <c r="F110" s="46"/>
    </row>
    <row r="111" customFormat="false" ht="31.3" hidden="false" customHeight="false" outlineLevel="0" collapsed="false">
      <c r="A111" s="43" t="s">
        <v>417</v>
      </c>
      <c r="B111" s="44" t="s">
        <v>418</v>
      </c>
      <c r="C111" s="45" t="s">
        <v>419</v>
      </c>
      <c r="D111" s="45" t="s">
        <v>420</v>
      </c>
      <c r="E111" s="46" t="n">
        <v>1</v>
      </c>
      <c r="F111" s="46" t="n">
        <v>50</v>
      </c>
    </row>
    <row r="112" customFormat="false" ht="31.3" hidden="false" customHeight="false" outlineLevel="0" collapsed="false">
      <c r="A112" s="43" t="s">
        <v>421</v>
      </c>
      <c r="B112" s="44" t="s">
        <v>422</v>
      </c>
      <c r="C112" s="45" t="s">
        <v>423</v>
      </c>
      <c r="D112" s="45" t="s">
        <v>420</v>
      </c>
      <c r="E112" s="46" t="n">
        <v>1</v>
      </c>
      <c r="F112" s="46" t="n">
        <v>50</v>
      </c>
    </row>
    <row r="113" customFormat="false" ht="31.3" hidden="false" customHeight="false" outlineLevel="0" collapsed="false">
      <c r="A113" s="43" t="s">
        <v>424</v>
      </c>
      <c r="B113" s="44" t="s">
        <v>425</v>
      </c>
      <c r="C113" s="45" t="s">
        <v>426</v>
      </c>
      <c r="D113" s="45" t="s">
        <v>420</v>
      </c>
      <c r="E113" s="46" t="n">
        <v>1</v>
      </c>
      <c r="F113" s="46" t="n">
        <v>50</v>
      </c>
    </row>
    <row r="114" customFormat="false" ht="15.65" hidden="false" customHeight="false" outlineLevel="0" collapsed="false">
      <c r="A114" s="47" t="s">
        <v>427</v>
      </c>
      <c r="B114" s="48" t="s">
        <v>428</v>
      </c>
      <c r="C114" s="49" t="s">
        <v>429</v>
      </c>
      <c r="D114" s="45"/>
      <c r="E114" s="46"/>
      <c r="F114" s="46"/>
    </row>
    <row r="115" customFormat="false" ht="30.1" hidden="false" customHeight="false" outlineLevel="0" collapsed="false">
      <c r="A115" s="43" t="s">
        <v>430</v>
      </c>
      <c r="B115" s="44" t="s">
        <v>431</v>
      </c>
      <c r="C115" s="45" t="s">
        <v>432</v>
      </c>
      <c r="D115" s="45" t="s">
        <v>90</v>
      </c>
      <c r="E115" s="46" t="n">
        <v>1</v>
      </c>
      <c r="F115" s="46" t="n">
        <v>1000</v>
      </c>
    </row>
    <row r="116" customFormat="false" ht="29.25" hidden="false" customHeight="true" outlineLevel="0" collapsed="false">
      <c r="A116" s="43" t="s">
        <v>433</v>
      </c>
      <c r="B116" s="44" t="s">
        <v>434</v>
      </c>
      <c r="C116" s="45" t="s">
        <v>435</v>
      </c>
      <c r="D116" s="45" t="s">
        <v>90</v>
      </c>
      <c r="E116" s="46" t="n">
        <v>1</v>
      </c>
      <c r="F116" s="46" t="n">
        <v>500</v>
      </c>
    </row>
    <row r="117" customFormat="false" ht="15.65" hidden="false" customHeight="false" outlineLevel="0" collapsed="false">
      <c r="A117" s="43" t="s">
        <v>436</v>
      </c>
      <c r="B117" s="44" t="s">
        <v>437</v>
      </c>
      <c r="C117" s="45" t="s">
        <v>438</v>
      </c>
      <c r="D117" s="45" t="s">
        <v>90</v>
      </c>
      <c r="E117" s="46" t="n">
        <v>1</v>
      </c>
      <c r="F117" s="46" t="n">
        <v>1000</v>
      </c>
    </row>
    <row r="118" customFormat="false" ht="15.65" hidden="false" customHeight="false" outlineLevel="0" collapsed="false">
      <c r="A118" s="43" t="s">
        <v>439</v>
      </c>
      <c r="B118" s="44" t="s">
        <v>440</v>
      </c>
      <c r="C118" s="45" t="s">
        <v>441</v>
      </c>
      <c r="D118" s="45" t="s">
        <v>90</v>
      </c>
      <c r="E118" s="46" t="n">
        <v>1</v>
      </c>
      <c r="F118" s="46" t="n">
        <v>500</v>
      </c>
    </row>
    <row r="119" customFormat="false" ht="15.65" hidden="false" customHeight="false" outlineLevel="0" collapsed="false">
      <c r="A119" s="43" t="s">
        <v>442</v>
      </c>
      <c r="B119" s="44" t="s">
        <v>443</v>
      </c>
      <c r="C119" s="45" t="s">
        <v>444</v>
      </c>
      <c r="D119" s="45" t="s">
        <v>90</v>
      </c>
      <c r="E119" s="46" t="n">
        <v>1</v>
      </c>
      <c r="F119" s="46" t="n">
        <v>500</v>
      </c>
    </row>
    <row r="120" customFormat="false" ht="15.65" hidden="false" customHeight="false" outlineLevel="0" collapsed="false">
      <c r="A120" s="43" t="s">
        <v>445</v>
      </c>
      <c r="B120" s="44" t="s">
        <v>446</v>
      </c>
      <c r="C120" s="45" t="s">
        <v>447</v>
      </c>
      <c r="D120" s="45" t="s">
        <v>90</v>
      </c>
      <c r="E120" s="46" t="n">
        <v>1</v>
      </c>
      <c r="F120" s="46" t="n">
        <v>300</v>
      </c>
    </row>
    <row r="121" customFormat="false" ht="15.65" hidden="false" customHeight="false" outlineLevel="0" collapsed="false">
      <c r="A121" s="43" t="s">
        <v>448</v>
      </c>
      <c r="B121" s="44" t="s">
        <v>449</v>
      </c>
      <c r="C121" s="45" t="s">
        <v>450</v>
      </c>
      <c r="D121" s="45" t="s">
        <v>90</v>
      </c>
      <c r="E121" s="46" t="n">
        <v>1</v>
      </c>
      <c r="F121" s="46" t="n">
        <v>2000</v>
      </c>
    </row>
    <row r="122" customFormat="false" ht="15.65" hidden="false" customHeight="false" outlineLevel="0" collapsed="false">
      <c r="A122" s="43" t="s">
        <v>451</v>
      </c>
      <c r="B122" s="44" t="s">
        <v>452</v>
      </c>
      <c r="C122" s="45" t="s">
        <v>453</v>
      </c>
      <c r="D122" s="45" t="s">
        <v>90</v>
      </c>
      <c r="E122" s="46" t="n">
        <v>1</v>
      </c>
      <c r="F122" s="46" t="n">
        <v>1000</v>
      </c>
    </row>
    <row r="123" customFormat="false" ht="28.5" hidden="false" customHeight="false" outlineLevel="0" collapsed="false">
      <c r="A123" s="43" t="s">
        <v>454</v>
      </c>
      <c r="B123" s="44" t="s">
        <v>455</v>
      </c>
      <c r="C123" s="45" t="s">
        <v>456</v>
      </c>
      <c r="D123" s="45" t="s">
        <v>90</v>
      </c>
      <c r="E123" s="46" t="n">
        <v>1</v>
      </c>
      <c r="F123" s="46" t="n">
        <v>1000</v>
      </c>
    </row>
    <row r="124" customFormat="false" ht="30.1" hidden="false" customHeight="false" outlineLevel="0" collapsed="false">
      <c r="A124" s="43" t="s">
        <v>457</v>
      </c>
      <c r="B124" s="44" t="s">
        <v>458</v>
      </c>
      <c r="C124" s="45" t="s">
        <v>459</v>
      </c>
      <c r="D124" s="45" t="s">
        <v>90</v>
      </c>
      <c r="E124" s="46" t="n">
        <v>1</v>
      </c>
      <c r="F124" s="46" t="n">
        <v>1000</v>
      </c>
    </row>
    <row r="125" customFormat="false" ht="15.65" hidden="false" customHeight="false" outlineLevel="0" collapsed="false">
      <c r="A125" s="43" t="s">
        <v>460</v>
      </c>
      <c r="B125" s="44" t="s">
        <v>461</v>
      </c>
      <c r="C125" s="45" t="s">
        <v>462</v>
      </c>
      <c r="D125" s="45" t="s">
        <v>90</v>
      </c>
      <c r="E125" s="46" t="n">
        <v>1</v>
      </c>
      <c r="F125" s="46" t="n">
        <v>500</v>
      </c>
      <c r="J125" s="50"/>
    </row>
    <row r="126" customFormat="false" ht="15.65" hidden="false" customHeight="false" outlineLevel="0" collapsed="false">
      <c r="A126" s="43" t="s">
        <v>463</v>
      </c>
      <c r="B126" s="44" t="s">
        <v>464</v>
      </c>
      <c r="C126" s="45" t="s">
        <v>465</v>
      </c>
      <c r="D126" s="45" t="s">
        <v>90</v>
      </c>
      <c r="E126" s="46" t="n">
        <v>1</v>
      </c>
      <c r="F126" s="46" t="n">
        <v>500</v>
      </c>
    </row>
    <row r="127" customFormat="false" ht="16.85" hidden="false" customHeight="false" outlineLevel="0" collapsed="false">
      <c r="A127" s="43" t="s">
        <v>466</v>
      </c>
      <c r="B127" s="44" t="s">
        <v>467</v>
      </c>
      <c r="C127" s="45" t="s">
        <v>468</v>
      </c>
      <c r="D127" s="45" t="s">
        <v>90</v>
      </c>
      <c r="E127" s="46" t="n">
        <v>1</v>
      </c>
      <c r="F127" s="46" t="n">
        <v>500</v>
      </c>
    </row>
    <row r="128" customFormat="false" ht="15.65" hidden="false" customHeight="false" outlineLevel="0" collapsed="false">
      <c r="A128" s="43" t="s">
        <v>469</v>
      </c>
      <c r="B128" s="44" t="s">
        <v>470</v>
      </c>
      <c r="C128" s="45" t="s">
        <v>471</v>
      </c>
      <c r="D128" s="45" t="s">
        <v>90</v>
      </c>
      <c r="E128" s="46" t="n">
        <v>1</v>
      </c>
      <c r="F128" s="46" t="n">
        <v>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699"/>
    <pageSetUpPr fitToPage="false"/>
  </sheetPr>
  <dimension ref="A1:L117"/>
  <sheetViews>
    <sheetView showFormulas="false" showGridLines="true" showRowColHeaders="true" showZeros="true" rightToLeft="true" tabSelected="false" showOutlineSymbols="true" defaultGridColor="true" view="normal" topLeftCell="E1" colorId="64" zoomScale="115" zoomScaleNormal="115" zoomScalePageLayoutView="100" workbookViewId="0">
      <pane xSplit="0" ySplit="1" topLeftCell="A2" activePane="bottomLeft" state="frozen"/>
      <selection pane="topLeft" activeCell="E1" activeCellId="0" sqref="E1"/>
      <selection pane="bottomLeft" activeCell="H114" activeCellId="0" sqref="H114"/>
    </sheetView>
  </sheetViews>
  <sheetFormatPr defaultColWidth="8.890625" defaultRowHeight="14.25" zeroHeight="false" outlineLevelRow="0" outlineLevelCol="0"/>
  <cols>
    <col collapsed="false" customWidth="true" hidden="false" outlineLevel="0" max="1" min="1" style="51" width="17.03"/>
    <col collapsed="false" customWidth="true" hidden="false" outlineLevel="0" max="2" min="2" style="52" width="20.78"/>
    <col collapsed="false" customWidth="true" hidden="false" outlineLevel="0" max="3" min="3" style="53" width="24.45"/>
    <col collapsed="false" customWidth="true" hidden="false" outlineLevel="0" max="4" min="4" style="51" width="41.11"/>
    <col collapsed="false" customWidth="true" hidden="false" outlineLevel="0" max="5" min="5" style="53" width="56.78"/>
    <col collapsed="false" customWidth="true" hidden="false" outlineLevel="0" max="6" min="6" style="52" width="9"/>
    <col collapsed="false" customWidth="true" hidden="false" outlineLevel="0" max="7" min="7" style="52" width="7.45"/>
    <col collapsed="false" customWidth="true" hidden="false" outlineLevel="0" max="8" min="8" style="52" width="15.53"/>
    <col collapsed="false" customWidth="false" hidden="false" outlineLevel="0" max="16384" min="9" style="52" width="8.89"/>
  </cols>
  <sheetData>
    <row r="1" s="57" customFormat="true" ht="15.65" hidden="false" customHeight="false" outlineLevel="0" collapsed="false">
      <c r="A1" s="54" t="s">
        <v>472</v>
      </c>
      <c r="B1" s="55" t="s">
        <v>473</v>
      </c>
      <c r="C1" s="56" t="s">
        <v>474</v>
      </c>
      <c r="D1" s="55" t="s">
        <v>475</v>
      </c>
      <c r="E1" s="56" t="s">
        <v>476</v>
      </c>
      <c r="F1" s="56" t="s">
        <v>477</v>
      </c>
      <c r="G1" s="56" t="s">
        <v>478</v>
      </c>
      <c r="H1" s="56" t="s">
        <v>479</v>
      </c>
    </row>
    <row r="2" customFormat="false" ht="15.75" hidden="false" customHeight="true" outlineLevel="0" collapsed="false">
      <c r="A2" s="58" t="s">
        <v>87</v>
      </c>
      <c r="B2" s="59" t="s">
        <v>85</v>
      </c>
      <c r="C2" s="60" t="s">
        <v>86</v>
      </c>
      <c r="D2" s="59" t="s">
        <v>88</v>
      </c>
      <c r="E2" s="60" t="s">
        <v>89</v>
      </c>
      <c r="F2" s="61" t="s">
        <v>90</v>
      </c>
      <c r="G2" s="62" t="n">
        <v>1</v>
      </c>
      <c r="H2" s="62" t="n">
        <v>100</v>
      </c>
    </row>
    <row r="3" customFormat="false" ht="15.75" hidden="false" customHeight="true" outlineLevel="0" collapsed="false">
      <c r="A3" s="58" t="s">
        <v>91</v>
      </c>
      <c r="B3" s="59" t="s">
        <v>85</v>
      </c>
      <c r="C3" s="60" t="s">
        <v>86</v>
      </c>
      <c r="D3" s="59" t="s">
        <v>92</v>
      </c>
      <c r="E3" s="60" t="s">
        <v>93</v>
      </c>
      <c r="F3" s="61" t="s">
        <v>90</v>
      </c>
      <c r="G3" s="62" t="n">
        <v>1</v>
      </c>
      <c r="H3" s="62" t="n">
        <v>100</v>
      </c>
    </row>
    <row r="4" customFormat="false" ht="15.75" hidden="false" customHeight="true" outlineLevel="0" collapsed="false">
      <c r="A4" s="58" t="s">
        <v>94</v>
      </c>
      <c r="B4" s="59" t="s">
        <v>85</v>
      </c>
      <c r="C4" s="60" t="s">
        <v>86</v>
      </c>
      <c r="D4" s="59" t="s">
        <v>95</v>
      </c>
      <c r="E4" s="60" t="s">
        <v>96</v>
      </c>
      <c r="F4" s="61" t="s">
        <v>90</v>
      </c>
      <c r="G4" s="62" t="n">
        <v>1</v>
      </c>
      <c r="H4" s="62" t="n">
        <v>100</v>
      </c>
    </row>
    <row r="5" customFormat="false" ht="15.75" hidden="false" customHeight="true" outlineLevel="0" collapsed="false">
      <c r="A5" s="58" t="s">
        <v>97</v>
      </c>
      <c r="B5" s="59" t="s">
        <v>85</v>
      </c>
      <c r="C5" s="60" t="s">
        <v>86</v>
      </c>
      <c r="D5" s="59" t="s">
        <v>98</v>
      </c>
      <c r="E5" s="60" t="s">
        <v>99</v>
      </c>
      <c r="F5" s="61" t="s">
        <v>100</v>
      </c>
      <c r="G5" s="62" t="n">
        <v>1</v>
      </c>
      <c r="H5" s="62" t="n">
        <v>100</v>
      </c>
    </row>
    <row r="6" customFormat="false" ht="15.75" hidden="false" customHeight="true" outlineLevel="0" collapsed="false">
      <c r="A6" s="58" t="s">
        <v>101</v>
      </c>
      <c r="B6" s="59" t="s">
        <v>85</v>
      </c>
      <c r="C6" s="60" t="s">
        <v>86</v>
      </c>
      <c r="D6" s="59" t="s">
        <v>102</v>
      </c>
      <c r="E6" s="60" t="s">
        <v>103</v>
      </c>
      <c r="F6" s="61" t="s">
        <v>90</v>
      </c>
      <c r="G6" s="62" t="n">
        <v>1</v>
      </c>
      <c r="H6" s="62" t="n">
        <v>50</v>
      </c>
    </row>
    <row r="7" customFormat="false" ht="15.75" hidden="false" customHeight="true" outlineLevel="0" collapsed="false">
      <c r="A7" s="58" t="s">
        <v>104</v>
      </c>
      <c r="B7" s="59" t="s">
        <v>85</v>
      </c>
      <c r="C7" s="60" t="s">
        <v>86</v>
      </c>
      <c r="D7" s="59" t="s">
        <v>105</v>
      </c>
      <c r="E7" s="60" t="s">
        <v>106</v>
      </c>
      <c r="F7" s="61" t="s">
        <v>90</v>
      </c>
      <c r="G7" s="62" t="n">
        <v>1</v>
      </c>
      <c r="H7" s="62" t="n">
        <v>20</v>
      </c>
    </row>
    <row r="8" customFormat="false" ht="15.75" hidden="false" customHeight="true" outlineLevel="0" collapsed="false">
      <c r="A8" s="58" t="s">
        <v>107</v>
      </c>
      <c r="B8" s="59" t="s">
        <v>85</v>
      </c>
      <c r="C8" s="60" t="s">
        <v>86</v>
      </c>
      <c r="D8" s="59" t="s">
        <v>108</v>
      </c>
      <c r="E8" s="60" t="s">
        <v>109</v>
      </c>
      <c r="F8" s="61" t="s">
        <v>90</v>
      </c>
      <c r="G8" s="62" t="n">
        <v>1</v>
      </c>
      <c r="H8" s="62" t="n">
        <v>20</v>
      </c>
    </row>
    <row r="9" customFormat="false" ht="15.75" hidden="false" customHeight="true" outlineLevel="0" collapsed="false">
      <c r="A9" s="58" t="s">
        <v>110</v>
      </c>
      <c r="B9" s="59" t="s">
        <v>85</v>
      </c>
      <c r="C9" s="60" t="s">
        <v>86</v>
      </c>
      <c r="D9" s="59" t="s">
        <v>111</v>
      </c>
      <c r="E9" s="60" t="s">
        <v>112</v>
      </c>
      <c r="F9" s="61" t="s">
        <v>90</v>
      </c>
      <c r="G9" s="62" t="n">
        <v>1</v>
      </c>
      <c r="H9" s="62" t="n">
        <v>20</v>
      </c>
    </row>
    <row r="10" customFormat="false" ht="15.75" hidden="false" customHeight="true" outlineLevel="0" collapsed="false">
      <c r="A10" s="58" t="s">
        <v>113</v>
      </c>
      <c r="B10" s="59" t="s">
        <v>85</v>
      </c>
      <c r="C10" s="60" t="s">
        <v>86</v>
      </c>
      <c r="D10" s="59" t="s">
        <v>114</v>
      </c>
      <c r="E10" s="60" t="s">
        <v>115</v>
      </c>
      <c r="F10" s="61" t="s">
        <v>90</v>
      </c>
      <c r="G10" s="62" t="n">
        <v>1</v>
      </c>
      <c r="H10" s="62" t="n">
        <v>20</v>
      </c>
    </row>
    <row r="11" customFormat="false" ht="15.75" hidden="false" customHeight="true" outlineLevel="0" collapsed="false">
      <c r="A11" s="58" t="s">
        <v>116</v>
      </c>
      <c r="B11" s="59" t="s">
        <v>85</v>
      </c>
      <c r="C11" s="60" t="s">
        <v>86</v>
      </c>
      <c r="D11" s="59" t="s">
        <v>117</v>
      </c>
      <c r="E11" s="60" t="s">
        <v>118</v>
      </c>
      <c r="F11" s="61" t="s">
        <v>90</v>
      </c>
      <c r="G11" s="62" t="n">
        <v>1</v>
      </c>
      <c r="H11" s="62" t="n">
        <v>20</v>
      </c>
    </row>
    <row r="12" customFormat="false" ht="15.75" hidden="false" customHeight="true" outlineLevel="0" collapsed="false">
      <c r="A12" s="58" t="s">
        <v>119</v>
      </c>
      <c r="B12" s="59" t="s">
        <v>85</v>
      </c>
      <c r="C12" s="60" t="s">
        <v>86</v>
      </c>
      <c r="D12" s="59" t="s">
        <v>120</v>
      </c>
      <c r="E12" s="60" t="s">
        <v>121</v>
      </c>
      <c r="F12" s="61" t="s">
        <v>90</v>
      </c>
      <c r="G12" s="62" t="n">
        <v>1</v>
      </c>
      <c r="H12" s="62" t="n">
        <v>20</v>
      </c>
    </row>
    <row r="13" customFormat="false" ht="15.75" hidden="false" customHeight="true" outlineLevel="0" collapsed="false">
      <c r="A13" s="58" t="s">
        <v>122</v>
      </c>
      <c r="B13" s="59" t="s">
        <v>85</v>
      </c>
      <c r="C13" s="60" t="s">
        <v>86</v>
      </c>
      <c r="D13" s="59" t="s">
        <v>123</v>
      </c>
      <c r="E13" s="60" t="s">
        <v>124</v>
      </c>
      <c r="F13" s="61" t="s">
        <v>90</v>
      </c>
      <c r="G13" s="62" t="n">
        <v>1</v>
      </c>
      <c r="H13" s="62" t="n">
        <v>20</v>
      </c>
    </row>
    <row r="14" customFormat="false" ht="15.75" hidden="false" customHeight="true" outlineLevel="0" collapsed="false">
      <c r="A14" s="58" t="s">
        <v>125</v>
      </c>
      <c r="B14" s="59" t="s">
        <v>85</v>
      </c>
      <c r="C14" s="60" t="s">
        <v>86</v>
      </c>
      <c r="D14" s="59" t="s">
        <v>126</v>
      </c>
      <c r="E14" s="60" t="s">
        <v>127</v>
      </c>
      <c r="F14" s="61" t="s">
        <v>90</v>
      </c>
      <c r="G14" s="62" t="n">
        <v>1</v>
      </c>
      <c r="H14" s="62" t="n">
        <v>50</v>
      </c>
    </row>
    <row r="15" customFormat="false" ht="15.75" hidden="false" customHeight="true" outlineLevel="0" collapsed="false">
      <c r="A15" s="58" t="s">
        <v>128</v>
      </c>
      <c r="B15" s="59" t="s">
        <v>85</v>
      </c>
      <c r="C15" s="60" t="s">
        <v>86</v>
      </c>
      <c r="D15" s="59" t="s">
        <v>129</v>
      </c>
      <c r="E15" s="60" t="s">
        <v>130</v>
      </c>
      <c r="F15" s="61" t="s">
        <v>90</v>
      </c>
      <c r="G15" s="62" t="n">
        <v>1</v>
      </c>
      <c r="H15" s="62" t="n">
        <v>50</v>
      </c>
    </row>
    <row r="16" customFormat="false" ht="15.75" hidden="false" customHeight="true" outlineLevel="0" collapsed="false">
      <c r="A16" s="58" t="s">
        <v>131</v>
      </c>
      <c r="B16" s="59" t="s">
        <v>85</v>
      </c>
      <c r="C16" s="60" t="s">
        <v>86</v>
      </c>
      <c r="D16" s="59" t="s">
        <v>132</v>
      </c>
      <c r="E16" s="60" t="s">
        <v>133</v>
      </c>
      <c r="F16" s="61" t="s">
        <v>90</v>
      </c>
      <c r="G16" s="62" t="n">
        <v>1</v>
      </c>
      <c r="H16" s="62" t="n">
        <v>50</v>
      </c>
    </row>
    <row r="17" customFormat="false" ht="15.75" hidden="false" customHeight="true" outlineLevel="0" collapsed="false">
      <c r="A17" s="58" t="s">
        <v>134</v>
      </c>
      <c r="B17" s="59" t="s">
        <v>85</v>
      </c>
      <c r="C17" s="60" t="s">
        <v>86</v>
      </c>
      <c r="D17" s="59" t="s">
        <v>135</v>
      </c>
      <c r="E17" s="60" t="s">
        <v>136</v>
      </c>
      <c r="F17" s="61" t="s">
        <v>90</v>
      </c>
      <c r="G17" s="62" t="n">
        <v>1</v>
      </c>
      <c r="H17" s="62" t="n">
        <v>50</v>
      </c>
    </row>
    <row r="18" customFormat="false" ht="15.75" hidden="false" customHeight="true" outlineLevel="0" collapsed="false">
      <c r="A18" s="58" t="s">
        <v>137</v>
      </c>
      <c r="B18" s="59" t="s">
        <v>85</v>
      </c>
      <c r="C18" s="60" t="s">
        <v>86</v>
      </c>
      <c r="D18" s="59" t="s">
        <v>138</v>
      </c>
      <c r="E18" s="60" t="s">
        <v>139</v>
      </c>
      <c r="F18" s="61" t="s">
        <v>90</v>
      </c>
      <c r="G18" s="62" t="n">
        <v>1</v>
      </c>
      <c r="H18" s="62" t="n">
        <v>200</v>
      </c>
    </row>
    <row r="19" customFormat="false" ht="15.75" hidden="false" customHeight="true" outlineLevel="0" collapsed="false">
      <c r="A19" s="58" t="s">
        <v>140</v>
      </c>
      <c r="B19" s="59" t="s">
        <v>85</v>
      </c>
      <c r="C19" s="60" t="s">
        <v>86</v>
      </c>
      <c r="D19" s="59" t="s">
        <v>141</v>
      </c>
      <c r="E19" s="60" t="s">
        <v>142</v>
      </c>
      <c r="F19" s="61" t="s">
        <v>90</v>
      </c>
      <c r="G19" s="62" t="n">
        <v>1</v>
      </c>
      <c r="H19" s="62" t="n">
        <v>50</v>
      </c>
    </row>
    <row r="20" customFormat="false" ht="15.75" hidden="false" customHeight="true" outlineLevel="0" collapsed="false">
      <c r="A20" s="58" t="s">
        <v>143</v>
      </c>
      <c r="B20" s="59" t="s">
        <v>85</v>
      </c>
      <c r="C20" s="60" t="s">
        <v>86</v>
      </c>
      <c r="D20" s="59" t="s">
        <v>144</v>
      </c>
      <c r="E20" s="60" t="s">
        <v>145</v>
      </c>
      <c r="F20" s="61" t="s">
        <v>90</v>
      </c>
      <c r="G20" s="62" t="n">
        <v>1</v>
      </c>
      <c r="H20" s="62" t="n">
        <v>200</v>
      </c>
    </row>
    <row r="21" customFormat="false" ht="15.75" hidden="false" customHeight="true" outlineLevel="0" collapsed="false">
      <c r="A21" s="58" t="s">
        <v>149</v>
      </c>
      <c r="B21" s="63" t="s">
        <v>147</v>
      </c>
      <c r="C21" s="64" t="s">
        <v>148</v>
      </c>
      <c r="D21" s="59" t="s">
        <v>150</v>
      </c>
      <c r="E21" s="60" t="s">
        <v>151</v>
      </c>
      <c r="F21" s="61" t="s">
        <v>90</v>
      </c>
      <c r="G21" s="62" t="n">
        <v>1</v>
      </c>
      <c r="H21" s="62" t="n">
        <v>200</v>
      </c>
    </row>
    <row r="22" customFormat="false" ht="15.75" hidden="false" customHeight="true" outlineLevel="0" collapsed="false">
      <c r="A22" s="58" t="s">
        <v>152</v>
      </c>
      <c r="B22" s="63" t="s">
        <v>147</v>
      </c>
      <c r="C22" s="64" t="s">
        <v>148</v>
      </c>
      <c r="D22" s="59" t="s">
        <v>153</v>
      </c>
      <c r="E22" s="60" t="s">
        <v>154</v>
      </c>
      <c r="F22" s="61" t="s">
        <v>90</v>
      </c>
      <c r="G22" s="62" t="n">
        <v>1</v>
      </c>
      <c r="H22" s="62" t="n">
        <v>100</v>
      </c>
    </row>
    <row r="23" customFormat="false" ht="15.75" hidden="false" customHeight="true" outlineLevel="0" collapsed="false">
      <c r="A23" s="58" t="s">
        <v>155</v>
      </c>
      <c r="B23" s="63" t="s">
        <v>147</v>
      </c>
      <c r="C23" s="64" t="s">
        <v>148</v>
      </c>
      <c r="D23" s="59" t="s">
        <v>156</v>
      </c>
      <c r="E23" s="60" t="s">
        <v>157</v>
      </c>
      <c r="F23" s="61" t="s">
        <v>90</v>
      </c>
      <c r="G23" s="62" t="n">
        <v>1</v>
      </c>
      <c r="H23" s="62" t="n">
        <v>50</v>
      </c>
    </row>
    <row r="24" customFormat="false" ht="15.75" hidden="false" customHeight="true" outlineLevel="0" collapsed="false">
      <c r="A24" s="58" t="s">
        <v>158</v>
      </c>
      <c r="B24" s="63" t="s">
        <v>147</v>
      </c>
      <c r="C24" s="64" t="s">
        <v>148</v>
      </c>
      <c r="D24" s="59" t="s">
        <v>159</v>
      </c>
      <c r="E24" s="60" t="s">
        <v>160</v>
      </c>
      <c r="F24" s="61" t="s">
        <v>90</v>
      </c>
      <c r="G24" s="62" t="n">
        <v>1</v>
      </c>
      <c r="H24" s="62" t="n">
        <v>200</v>
      </c>
    </row>
    <row r="25" customFormat="false" ht="15.75" hidden="false" customHeight="true" outlineLevel="0" collapsed="false">
      <c r="A25" s="58" t="s">
        <v>161</v>
      </c>
      <c r="B25" s="63" t="s">
        <v>147</v>
      </c>
      <c r="C25" s="64" t="s">
        <v>148</v>
      </c>
      <c r="D25" s="59" t="s">
        <v>162</v>
      </c>
      <c r="E25" s="60" t="s">
        <v>163</v>
      </c>
      <c r="F25" s="61" t="s">
        <v>90</v>
      </c>
      <c r="G25" s="62" t="n">
        <v>1</v>
      </c>
      <c r="H25" s="62" t="n">
        <v>200</v>
      </c>
    </row>
    <row r="26" customFormat="false" ht="15.75" hidden="false" customHeight="true" outlineLevel="0" collapsed="false">
      <c r="A26" s="58" t="s">
        <v>164</v>
      </c>
      <c r="B26" s="63" t="s">
        <v>147</v>
      </c>
      <c r="C26" s="64" t="s">
        <v>148</v>
      </c>
      <c r="D26" s="59" t="s">
        <v>165</v>
      </c>
      <c r="E26" s="60" t="s">
        <v>166</v>
      </c>
      <c r="F26" s="61" t="s">
        <v>90</v>
      </c>
      <c r="G26" s="62" t="n">
        <v>1</v>
      </c>
      <c r="H26" s="62" t="n">
        <v>100</v>
      </c>
    </row>
    <row r="27" customFormat="false" ht="15.75" hidden="false" customHeight="true" outlineLevel="0" collapsed="false">
      <c r="A27" s="58" t="s">
        <v>170</v>
      </c>
      <c r="B27" s="63" t="s">
        <v>168</v>
      </c>
      <c r="C27" s="64" t="s">
        <v>169</v>
      </c>
      <c r="D27" s="59" t="s">
        <v>171</v>
      </c>
      <c r="E27" s="60" t="s">
        <v>172</v>
      </c>
      <c r="F27" s="61" t="s">
        <v>90</v>
      </c>
      <c r="G27" s="62" t="n">
        <v>1</v>
      </c>
      <c r="H27" s="62" t="n">
        <v>500</v>
      </c>
    </row>
    <row r="28" customFormat="false" ht="15.75" hidden="false" customHeight="true" outlineLevel="0" collapsed="false">
      <c r="A28" s="58" t="s">
        <v>173</v>
      </c>
      <c r="B28" s="63" t="s">
        <v>168</v>
      </c>
      <c r="C28" s="64" t="s">
        <v>169</v>
      </c>
      <c r="D28" s="59" t="s">
        <v>174</v>
      </c>
      <c r="E28" s="60" t="s">
        <v>175</v>
      </c>
      <c r="F28" s="61" t="s">
        <v>90</v>
      </c>
      <c r="G28" s="62" t="n">
        <v>1</v>
      </c>
      <c r="H28" s="62" t="n">
        <v>200</v>
      </c>
    </row>
    <row r="29" customFormat="false" ht="15.75" hidden="false" customHeight="true" outlineLevel="0" collapsed="false">
      <c r="A29" s="58" t="s">
        <v>176</v>
      </c>
      <c r="B29" s="63" t="s">
        <v>168</v>
      </c>
      <c r="C29" s="64" t="s">
        <v>169</v>
      </c>
      <c r="D29" s="59" t="s">
        <v>177</v>
      </c>
      <c r="E29" s="60" t="s">
        <v>178</v>
      </c>
      <c r="F29" s="61" t="s">
        <v>90</v>
      </c>
      <c r="G29" s="62" t="n">
        <v>1</v>
      </c>
      <c r="H29" s="62" t="n">
        <v>300</v>
      </c>
    </row>
    <row r="30" customFormat="false" ht="15.75" hidden="false" customHeight="true" outlineLevel="0" collapsed="false">
      <c r="A30" s="58" t="s">
        <v>179</v>
      </c>
      <c r="B30" s="63" t="s">
        <v>168</v>
      </c>
      <c r="C30" s="64" t="s">
        <v>169</v>
      </c>
      <c r="D30" s="59" t="s">
        <v>180</v>
      </c>
      <c r="E30" s="60" t="s">
        <v>181</v>
      </c>
      <c r="F30" s="61" t="s">
        <v>90</v>
      </c>
      <c r="G30" s="62" t="n">
        <v>1</v>
      </c>
      <c r="H30" s="62" t="n">
        <v>100</v>
      </c>
    </row>
    <row r="31" customFormat="false" ht="15.75" hidden="false" customHeight="true" outlineLevel="0" collapsed="false">
      <c r="A31" s="58" t="s">
        <v>182</v>
      </c>
      <c r="B31" s="63" t="s">
        <v>168</v>
      </c>
      <c r="C31" s="64" t="s">
        <v>169</v>
      </c>
      <c r="D31" s="59" t="s">
        <v>183</v>
      </c>
      <c r="E31" s="60" t="s">
        <v>184</v>
      </c>
      <c r="F31" s="61" t="s">
        <v>90</v>
      </c>
      <c r="G31" s="62" t="n">
        <v>1</v>
      </c>
      <c r="H31" s="62" t="n">
        <v>100</v>
      </c>
    </row>
    <row r="32" customFormat="false" ht="15.75" hidden="false" customHeight="true" outlineLevel="0" collapsed="false">
      <c r="A32" s="58" t="s">
        <v>480</v>
      </c>
      <c r="B32" s="63" t="s">
        <v>168</v>
      </c>
      <c r="C32" s="64" t="s">
        <v>169</v>
      </c>
      <c r="D32" s="59" t="s">
        <v>185</v>
      </c>
      <c r="E32" s="60" t="s">
        <v>186</v>
      </c>
      <c r="F32" s="61" t="s">
        <v>90</v>
      </c>
      <c r="G32" s="62" t="n">
        <v>1</v>
      </c>
      <c r="H32" s="62" t="n">
        <v>300</v>
      </c>
    </row>
    <row r="33" customFormat="false" ht="15.75" hidden="false" customHeight="true" outlineLevel="0" collapsed="false">
      <c r="A33" s="58" t="s">
        <v>481</v>
      </c>
      <c r="B33" s="63" t="s">
        <v>168</v>
      </c>
      <c r="C33" s="64" t="s">
        <v>169</v>
      </c>
      <c r="D33" s="59" t="s">
        <v>187</v>
      </c>
      <c r="E33" s="60" t="s">
        <v>188</v>
      </c>
      <c r="F33" s="61" t="s">
        <v>90</v>
      </c>
      <c r="G33" s="62" t="n">
        <v>1</v>
      </c>
      <c r="H33" s="62" t="n">
        <v>300</v>
      </c>
    </row>
    <row r="34" customFormat="false" ht="15.75" hidden="false" customHeight="true" outlineLevel="0" collapsed="false">
      <c r="A34" s="58" t="s">
        <v>189</v>
      </c>
      <c r="B34" s="63" t="s">
        <v>168</v>
      </c>
      <c r="C34" s="64" t="s">
        <v>169</v>
      </c>
      <c r="D34" s="59" t="s">
        <v>190</v>
      </c>
      <c r="E34" s="60" t="s">
        <v>191</v>
      </c>
      <c r="F34" s="61" t="s">
        <v>90</v>
      </c>
      <c r="G34" s="62" t="n">
        <v>1</v>
      </c>
      <c r="H34" s="62" t="n">
        <v>200</v>
      </c>
    </row>
    <row r="35" customFormat="false" ht="15.75" hidden="false" customHeight="true" outlineLevel="0" collapsed="false">
      <c r="A35" s="58" t="s">
        <v>192</v>
      </c>
      <c r="B35" s="63" t="s">
        <v>168</v>
      </c>
      <c r="C35" s="64" t="s">
        <v>169</v>
      </c>
      <c r="D35" s="59" t="s">
        <v>193</v>
      </c>
      <c r="E35" s="60" t="s">
        <v>194</v>
      </c>
      <c r="F35" s="61" t="s">
        <v>90</v>
      </c>
      <c r="G35" s="62" t="n">
        <v>1</v>
      </c>
      <c r="H35" s="62" t="n">
        <v>100</v>
      </c>
    </row>
    <row r="36" customFormat="false" ht="15.75" hidden="false" customHeight="true" outlineLevel="0" collapsed="false">
      <c r="A36" s="58" t="s">
        <v>195</v>
      </c>
      <c r="B36" s="63" t="s">
        <v>168</v>
      </c>
      <c r="C36" s="64" t="s">
        <v>169</v>
      </c>
      <c r="D36" s="59" t="s">
        <v>196</v>
      </c>
      <c r="E36" s="60" t="s">
        <v>197</v>
      </c>
      <c r="F36" s="61" t="s">
        <v>90</v>
      </c>
      <c r="G36" s="62" t="n">
        <v>1</v>
      </c>
      <c r="H36" s="62" t="n">
        <v>100</v>
      </c>
    </row>
    <row r="37" customFormat="false" ht="15.75" hidden="false" customHeight="true" outlineLevel="0" collapsed="false">
      <c r="A37" s="58" t="s">
        <v>198</v>
      </c>
      <c r="B37" s="63" t="s">
        <v>168</v>
      </c>
      <c r="C37" s="64" t="s">
        <v>169</v>
      </c>
      <c r="D37" s="59" t="s">
        <v>199</v>
      </c>
      <c r="E37" s="60" t="s">
        <v>200</v>
      </c>
      <c r="F37" s="61" t="s">
        <v>90</v>
      </c>
      <c r="G37" s="62" t="n">
        <v>1</v>
      </c>
      <c r="H37" s="62" t="n">
        <v>200</v>
      </c>
    </row>
    <row r="38" customFormat="false" ht="15.75" hidden="false" customHeight="true" outlineLevel="0" collapsed="false">
      <c r="A38" s="58" t="s">
        <v>204</v>
      </c>
      <c r="B38" s="63" t="s">
        <v>202</v>
      </c>
      <c r="C38" s="64" t="s">
        <v>203</v>
      </c>
      <c r="D38" s="59" t="s">
        <v>205</v>
      </c>
      <c r="E38" s="60" t="s">
        <v>206</v>
      </c>
      <c r="F38" s="61" t="s">
        <v>90</v>
      </c>
      <c r="G38" s="62" t="n">
        <v>1</v>
      </c>
      <c r="H38" s="62" t="n">
        <v>50</v>
      </c>
    </row>
    <row r="39" customFormat="false" ht="15.75" hidden="false" customHeight="true" outlineLevel="0" collapsed="false">
      <c r="A39" s="58" t="s">
        <v>207</v>
      </c>
      <c r="B39" s="63" t="s">
        <v>202</v>
      </c>
      <c r="C39" s="64" t="s">
        <v>203</v>
      </c>
      <c r="D39" s="59" t="s">
        <v>208</v>
      </c>
      <c r="E39" s="60" t="s">
        <v>209</v>
      </c>
      <c r="F39" s="61" t="s">
        <v>90</v>
      </c>
      <c r="G39" s="62" t="n">
        <v>1</v>
      </c>
      <c r="H39" s="62" t="n">
        <v>100</v>
      </c>
    </row>
    <row r="40" customFormat="false" ht="15.75" hidden="false" customHeight="true" outlineLevel="0" collapsed="false">
      <c r="A40" s="58" t="s">
        <v>210</v>
      </c>
      <c r="B40" s="63" t="s">
        <v>202</v>
      </c>
      <c r="C40" s="64" t="s">
        <v>203</v>
      </c>
      <c r="D40" s="59" t="s">
        <v>211</v>
      </c>
      <c r="E40" s="60" t="s">
        <v>212</v>
      </c>
      <c r="F40" s="61" t="s">
        <v>90</v>
      </c>
      <c r="G40" s="62" t="n">
        <v>1</v>
      </c>
      <c r="H40" s="62" t="n">
        <v>100</v>
      </c>
    </row>
    <row r="41" customFormat="false" ht="15.75" hidden="false" customHeight="true" outlineLevel="0" collapsed="false">
      <c r="A41" s="58" t="s">
        <v>213</v>
      </c>
      <c r="B41" s="63" t="s">
        <v>202</v>
      </c>
      <c r="C41" s="64" t="s">
        <v>203</v>
      </c>
      <c r="D41" s="59" t="s">
        <v>214</v>
      </c>
      <c r="E41" s="60" t="s">
        <v>215</v>
      </c>
      <c r="F41" s="61" t="s">
        <v>90</v>
      </c>
      <c r="G41" s="62" t="n">
        <v>1</v>
      </c>
      <c r="H41" s="62" t="n">
        <v>50</v>
      </c>
    </row>
    <row r="42" customFormat="false" ht="15.75" hidden="false" customHeight="true" outlineLevel="0" collapsed="false">
      <c r="A42" s="58" t="s">
        <v>216</v>
      </c>
      <c r="B42" s="63" t="s">
        <v>202</v>
      </c>
      <c r="C42" s="64" t="s">
        <v>203</v>
      </c>
      <c r="D42" s="59" t="s">
        <v>217</v>
      </c>
      <c r="E42" s="60" t="s">
        <v>218</v>
      </c>
      <c r="F42" s="61" t="s">
        <v>90</v>
      </c>
      <c r="G42" s="62" t="n">
        <v>1</v>
      </c>
      <c r="H42" s="62" t="n">
        <v>50</v>
      </c>
    </row>
    <row r="43" customFormat="false" ht="15.75" hidden="false" customHeight="true" outlineLevel="0" collapsed="false">
      <c r="A43" s="58" t="s">
        <v>222</v>
      </c>
      <c r="B43" s="63" t="s">
        <v>220</v>
      </c>
      <c r="C43" s="64" t="s">
        <v>221</v>
      </c>
      <c r="D43" s="59" t="s">
        <v>223</v>
      </c>
      <c r="E43" s="60" t="s">
        <v>224</v>
      </c>
      <c r="F43" s="61" t="s">
        <v>90</v>
      </c>
      <c r="G43" s="62" t="n">
        <v>1</v>
      </c>
      <c r="H43" s="62" t="n">
        <v>100</v>
      </c>
    </row>
    <row r="44" customFormat="false" ht="15.75" hidden="false" customHeight="true" outlineLevel="0" collapsed="false">
      <c r="A44" s="58" t="s">
        <v>225</v>
      </c>
      <c r="B44" s="63" t="s">
        <v>220</v>
      </c>
      <c r="C44" s="64" t="s">
        <v>221</v>
      </c>
      <c r="D44" s="59" t="s">
        <v>226</v>
      </c>
      <c r="E44" s="60" t="s">
        <v>227</v>
      </c>
      <c r="F44" s="61" t="s">
        <v>90</v>
      </c>
      <c r="G44" s="62" t="n">
        <v>1</v>
      </c>
      <c r="H44" s="62" t="n">
        <v>100</v>
      </c>
    </row>
    <row r="45" customFormat="false" ht="15.75" hidden="false" customHeight="true" outlineLevel="0" collapsed="false">
      <c r="A45" s="58" t="s">
        <v>228</v>
      </c>
      <c r="B45" s="63" t="s">
        <v>220</v>
      </c>
      <c r="C45" s="64" t="s">
        <v>221</v>
      </c>
      <c r="D45" s="59" t="s">
        <v>229</v>
      </c>
      <c r="E45" s="60" t="s">
        <v>230</v>
      </c>
      <c r="F45" s="61" t="s">
        <v>90</v>
      </c>
      <c r="G45" s="62" t="n">
        <v>1</v>
      </c>
      <c r="H45" s="62" t="n">
        <v>50</v>
      </c>
    </row>
    <row r="46" customFormat="false" ht="15.75" hidden="false" customHeight="true" outlineLevel="0" collapsed="false">
      <c r="A46" s="58" t="s">
        <v>231</v>
      </c>
      <c r="B46" s="63" t="s">
        <v>220</v>
      </c>
      <c r="C46" s="64" t="s">
        <v>221</v>
      </c>
      <c r="D46" s="59" t="s">
        <v>232</v>
      </c>
      <c r="E46" s="60" t="s">
        <v>233</v>
      </c>
      <c r="F46" s="61" t="s">
        <v>90</v>
      </c>
      <c r="G46" s="62" t="n">
        <v>1</v>
      </c>
      <c r="H46" s="62" t="n">
        <v>100</v>
      </c>
    </row>
    <row r="47" customFormat="false" ht="15.75" hidden="false" customHeight="true" outlineLevel="0" collapsed="false">
      <c r="A47" s="58" t="s">
        <v>234</v>
      </c>
      <c r="B47" s="63" t="s">
        <v>220</v>
      </c>
      <c r="C47" s="64" t="s">
        <v>221</v>
      </c>
      <c r="D47" s="59" t="s">
        <v>235</v>
      </c>
      <c r="E47" s="60" t="s">
        <v>236</v>
      </c>
      <c r="F47" s="61" t="s">
        <v>90</v>
      </c>
      <c r="G47" s="62" t="n">
        <v>1</v>
      </c>
      <c r="H47" s="62" t="n">
        <v>300</v>
      </c>
    </row>
    <row r="48" customFormat="false" ht="15.75" hidden="false" customHeight="true" outlineLevel="0" collapsed="false">
      <c r="A48" s="58" t="s">
        <v>237</v>
      </c>
      <c r="B48" s="63" t="s">
        <v>220</v>
      </c>
      <c r="C48" s="64" t="s">
        <v>221</v>
      </c>
      <c r="D48" s="59" t="s">
        <v>238</v>
      </c>
      <c r="E48" s="60" t="s">
        <v>239</v>
      </c>
      <c r="F48" s="61" t="s">
        <v>90</v>
      </c>
      <c r="G48" s="62" t="n">
        <v>1</v>
      </c>
      <c r="H48" s="62" t="n">
        <v>300</v>
      </c>
    </row>
    <row r="49" customFormat="false" ht="15.75" hidden="false" customHeight="true" outlineLevel="0" collapsed="false">
      <c r="A49" s="58" t="s">
        <v>240</v>
      </c>
      <c r="B49" s="63" t="s">
        <v>220</v>
      </c>
      <c r="C49" s="64" t="s">
        <v>221</v>
      </c>
      <c r="D49" s="59" t="s">
        <v>241</v>
      </c>
      <c r="E49" s="60" t="s">
        <v>242</v>
      </c>
      <c r="F49" s="61" t="s">
        <v>90</v>
      </c>
      <c r="G49" s="62" t="n">
        <v>1</v>
      </c>
      <c r="H49" s="62" t="n">
        <v>100</v>
      </c>
    </row>
    <row r="50" customFormat="false" ht="15.75" hidden="false" customHeight="true" outlineLevel="0" collapsed="false">
      <c r="A50" s="58" t="s">
        <v>246</v>
      </c>
      <c r="B50" s="63" t="s">
        <v>244</v>
      </c>
      <c r="C50" s="64" t="s">
        <v>245</v>
      </c>
      <c r="D50" s="59" t="s">
        <v>247</v>
      </c>
      <c r="E50" s="60" t="s">
        <v>248</v>
      </c>
      <c r="F50" s="61" t="s">
        <v>90</v>
      </c>
      <c r="G50" s="62" t="n">
        <v>1</v>
      </c>
      <c r="H50" s="62" t="n">
        <v>300</v>
      </c>
    </row>
    <row r="51" customFormat="false" ht="15.75" hidden="false" customHeight="true" outlineLevel="0" collapsed="false">
      <c r="A51" s="58" t="s">
        <v>249</v>
      </c>
      <c r="B51" s="63" t="s">
        <v>244</v>
      </c>
      <c r="C51" s="64" t="s">
        <v>245</v>
      </c>
      <c r="D51" s="59" t="s">
        <v>250</v>
      </c>
      <c r="E51" s="60" t="s">
        <v>251</v>
      </c>
      <c r="F51" s="61" t="s">
        <v>90</v>
      </c>
      <c r="G51" s="62" t="n">
        <v>1</v>
      </c>
      <c r="H51" s="62" t="n">
        <v>100</v>
      </c>
    </row>
    <row r="52" customFormat="false" ht="15.75" hidden="false" customHeight="true" outlineLevel="0" collapsed="false">
      <c r="A52" s="58" t="s">
        <v>252</v>
      </c>
      <c r="B52" s="63" t="s">
        <v>244</v>
      </c>
      <c r="C52" s="64" t="s">
        <v>245</v>
      </c>
      <c r="D52" s="59" t="s">
        <v>253</v>
      </c>
      <c r="E52" s="60" t="s">
        <v>254</v>
      </c>
      <c r="F52" s="61" t="s">
        <v>90</v>
      </c>
      <c r="G52" s="62" t="n">
        <v>1</v>
      </c>
      <c r="H52" s="62" t="n">
        <v>300</v>
      </c>
    </row>
    <row r="53" customFormat="false" ht="15.75" hidden="false" customHeight="true" outlineLevel="0" collapsed="false">
      <c r="A53" s="58" t="s">
        <v>255</v>
      </c>
      <c r="B53" s="63" t="s">
        <v>244</v>
      </c>
      <c r="C53" s="64" t="s">
        <v>245</v>
      </c>
      <c r="D53" s="59" t="s">
        <v>256</v>
      </c>
      <c r="E53" s="60" t="s">
        <v>257</v>
      </c>
      <c r="F53" s="61" t="s">
        <v>90</v>
      </c>
      <c r="G53" s="62" t="n">
        <v>1</v>
      </c>
      <c r="H53" s="62" t="n">
        <v>100</v>
      </c>
    </row>
    <row r="54" customFormat="false" ht="15.75" hidden="false" customHeight="true" outlineLevel="0" collapsed="false">
      <c r="A54" s="58" t="s">
        <v>258</v>
      </c>
      <c r="B54" s="63" t="s">
        <v>244</v>
      </c>
      <c r="C54" s="64" t="s">
        <v>245</v>
      </c>
      <c r="D54" s="59" t="s">
        <v>259</v>
      </c>
      <c r="E54" s="60" t="s">
        <v>260</v>
      </c>
      <c r="F54" s="61" t="s">
        <v>90</v>
      </c>
      <c r="G54" s="62" t="n">
        <v>1</v>
      </c>
      <c r="H54" s="62" t="n">
        <v>300</v>
      </c>
    </row>
    <row r="55" customFormat="false" ht="15.75" hidden="false" customHeight="true" outlineLevel="0" collapsed="false">
      <c r="A55" s="58" t="s">
        <v>261</v>
      </c>
      <c r="B55" s="63" t="s">
        <v>244</v>
      </c>
      <c r="C55" s="64" t="s">
        <v>245</v>
      </c>
      <c r="D55" s="59" t="s">
        <v>262</v>
      </c>
      <c r="E55" s="60" t="s">
        <v>263</v>
      </c>
      <c r="F55" s="61" t="s">
        <v>90</v>
      </c>
      <c r="G55" s="62" t="n">
        <v>1</v>
      </c>
      <c r="H55" s="62" t="n">
        <v>300</v>
      </c>
    </row>
    <row r="56" customFormat="false" ht="15.75" hidden="false" customHeight="true" outlineLevel="0" collapsed="false">
      <c r="A56" s="58" t="s">
        <v>264</v>
      </c>
      <c r="B56" s="63" t="s">
        <v>244</v>
      </c>
      <c r="C56" s="64" t="s">
        <v>245</v>
      </c>
      <c r="D56" s="59" t="s">
        <v>265</v>
      </c>
      <c r="E56" s="60" t="s">
        <v>266</v>
      </c>
      <c r="F56" s="61" t="s">
        <v>90</v>
      </c>
      <c r="G56" s="62" t="n">
        <v>1</v>
      </c>
      <c r="H56" s="62" t="n">
        <v>300</v>
      </c>
    </row>
    <row r="57" customFormat="false" ht="15.75" hidden="false" customHeight="true" outlineLevel="0" collapsed="false">
      <c r="A57" s="58" t="s">
        <v>267</v>
      </c>
      <c r="B57" s="63" t="s">
        <v>244</v>
      </c>
      <c r="C57" s="64" t="s">
        <v>245</v>
      </c>
      <c r="D57" s="59" t="s">
        <v>268</v>
      </c>
      <c r="E57" s="60" t="s">
        <v>269</v>
      </c>
      <c r="F57" s="61" t="s">
        <v>90</v>
      </c>
      <c r="G57" s="62" t="n">
        <v>1</v>
      </c>
      <c r="H57" s="62" t="n">
        <v>100</v>
      </c>
    </row>
    <row r="58" customFormat="false" ht="15.75" hidden="false" customHeight="true" outlineLevel="0" collapsed="false">
      <c r="A58" s="58" t="s">
        <v>270</v>
      </c>
      <c r="B58" s="63" t="s">
        <v>244</v>
      </c>
      <c r="C58" s="64" t="s">
        <v>245</v>
      </c>
      <c r="D58" s="59" t="s">
        <v>271</v>
      </c>
      <c r="E58" s="60" t="s">
        <v>272</v>
      </c>
      <c r="F58" s="61" t="s">
        <v>90</v>
      </c>
      <c r="G58" s="62" t="n">
        <v>1</v>
      </c>
      <c r="H58" s="62" t="n">
        <v>300</v>
      </c>
    </row>
    <row r="59" customFormat="false" ht="15.75" hidden="false" customHeight="true" outlineLevel="0" collapsed="false">
      <c r="A59" s="58" t="s">
        <v>273</v>
      </c>
      <c r="B59" s="63" t="s">
        <v>244</v>
      </c>
      <c r="C59" s="64" t="s">
        <v>245</v>
      </c>
      <c r="D59" s="59" t="s">
        <v>274</v>
      </c>
      <c r="E59" s="60" t="s">
        <v>275</v>
      </c>
      <c r="F59" s="61" t="s">
        <v>90</v>
      </c>
      <c r="G59" s="62" t="n">
        <v>1</v>
      </c>
      <c r="H59" s="62" t="n">
        <v>100</v>
      </c>
    </row>
    <row r="60" customFormat="false" ht="15.75" hidden="false" customHeight="true" outlineLevel="0" collapsed="false">
      <c r="A60" s="58" t="s">
        <v>276</v>
      </c>
      <c r="B60" s="63" t="s">
        <v>244</v>
      </c>
      <c r="C60" s="64" t="s">
        <v>245</v>
      </c>
      <c r="D60" s="59" t="s">
        <v>277</v>
      </c>
      <c r="E60" s="60" t="s">
        <v>278</v>
      </c>
      <c r="F60" s="61" t="s">
        <v>90</v>
      </c>
      <c r="G60" s="62" t="n">
        <v>1</v>
      </c>
      <c r="H60" s="62" t="n">
        <v>500</v>
      </c>
    </row>
    <row r="61" customFormat="false" ht="15.75" hidden="false" customHeight="true" outlineLevel="0" collapsed="false">
      <c r="A61" s="58" t="s">
        <v>282</v>
      </c>
      <c r="B61" s="63" t="s">
        <v>280</v>
      </c>
      <c r="C61" s="64" t="s">
        <v>281</v>
      </c>
      <c r="D61" s="59" t="s">
        <v>283</v>
      </c>
      <c r="E61" s="60" t="s">
        <v>284</v>
      </c>
      <c r="F61" s="61" t="s">
        <v>285</v>
      </c>
      <c r="G61" s="62" t="n">
        <v>1</v>
      </c>
      <c r="H61" s="62" t="n">
        <v>50</v>
      </c>
    </row>
    <row r="62" customFormat="false" ht="15.75" hidden="false" customHeight="true" outlineLevel="0" collapsed="false">
      <c r="A62" s="58" t="s">
        <v>286</v>
      </c>
      <c r="B62" s="63" t="s">
        <v>280</v>
      </c>
      <c r="C62" s="64" t="s">
        <v>281</v>
      </c>
      <c r="D62" s="59" t="s">
        <v>287</v>
      </c>
      <c r="E62" s="60" t="s">
        <v>288</v>
      </c>
      <c r="F62" s="61" t="s">
        <v>285</v>
      </c>
      <c r="G62" s="62" t="n">
        <v>1</v>
      </c>
      <c r="H62" s="62" t="n">
        <v>50</v>
      </c>
    </row>
    <row r="63" customFormat="false" ht="15.75" hidden="false" customHeight="true" outlineLevel="0" collapsed="false">
      <c r="A63" s="58" t="s">
        <v>289</v>
      </c>
      <c r="B63" s="63" t="s">
        <v>280</v>
      </c>
      <c r="C63" s="64" t="s">
        <v>281</v>
      </c>
      <c r="D63" s="59" t="s">
        <v>290</v>
      </c>
      <c r="E63" s="60" t="s">
        <v>291</v>
      </c>
      <c r="F63" s="61" t="s">
        <v>285</v>
      </c>
      <c r="G63" s="62" t="n">
        <v>1</v>
      </c>
      <c r="H63" s="62" t="n">
        <v>50</v>
      </c>
    </row>
    <row r="64" customFormat="false" ht="15.75" hidden="false" customHeight="true" outlineLevel="0" collapsed="false">
      <c r="A64" s="58" t="s">
        <v>292</v>
      </c>
      <c r="B64" s="63" t="s">
        <v>280</v>
      </c>
      <c r="C64" s="64" t="s">
        <v>281</v>
      </c>
      <c r="D64" s="59" t="s">
        <v>293</v>
      </c>
      <c r="E64" s="60" t="s">
        <v>294</v>
      </c>
      <c r="F64" s="61" t="s">
        <v>295</v>
      </c>
      <c r="G64" s="62" t="n">
        <v>1</v>
      </c>
      <c r="H64" s="62" t="n">
        <v>20</v>
      </c>
    </row>
    <row r="65" customFormat="false" ht="15.75" hidden="false" customHeight="true" outlineLevel="0" collapsed="false">
      <c r="A65" s="58" t="s">
        <v>296</v>
      </c>
      <c r="B65" s="63" t="s">
        <v>280</v>
      </c>
      <c r="C65" s="64" t="s">
        <v>281</v>
      </c>
      <c r="D65" s="59" t="s">
        <v>297</v>
      </c>
      <c r="E65" s="60" t="s">
        <v>298</v>
      </c>
      <c r="F65" s="61" t="s">
        <v>295</v>
      </c>
      <c r="G65" s="62" t="n">
        <v>1</v>
      </c>
      <c r="H65" s="62" t="n">
        <v>30</v>
      </c>
    </row>
    <row r="66" customFormat="false" ht="15.75" hidden="false" customHeight="true" outlineLevel="0" collapsed="false">
      <c r="A66" s="58" t="s">
        <v>299</v>
      </c>
      <c r="B66" s="63" t="s">
        <v>280</v>
      </c>
      <c r="C66" s="64" t="s">
        <v>281</v>
      </c>
      <c r="D66" s="59" t="s">
        <v>300</v>
      </c>
      <c r="E66" s="60" t="s">
        <v>301</v>
      </c>
      <c r="F66" s="61" t="s">
        <v>295</v>
      </c>
      <c r="G66" s="62" t="n">
        <v>1</v>
      </c>
      <c r="H66" s="62" t="n">
        <v>20</v>
      </c>
    </row>
    <row r="67" customFormat="false" ht="15.75" hidden="false" customHeight="true" outlineLevel="0" collapsed="false">
      <c r="A67" s="58" t="s">
        <v>302</v>
      </c>
      <c r="B67" s="63" t="s">
        <v>280</v>
      </c>
      <c r="C67" s="64" t="s">
        <v>281</v>
      </c>
      <c r="D67" s="59" t="s">
        <v>303</v>
      </c>
      <c r="E67" s="60" t="s">
        <v>304</v>
      </c>
      <c r="F67" s="61" t="s">
        <v>295</v>
      </c>
      <c r="G67" s="62" t="n">
        <v>1</v>
      </c>
      <c r="H67" s="62" t="n">
        <v>10</v>
      </c>
    </row>
    <row r="68" customFormat="false" ht="15.75" hidden="false" customHeight="true" outlineLevel="0" collapsed="false">
      <c r="A68" s="58" t="s">
        <v>305</v>
      </c>
      <c r="B68" s="63" t="s">
        <v>280</v>
      </c>
      <c r="C68" s="64" t="s">
        <v>281</v>
      </c>
      <c r="D68" s="59" t="s">
        <v>306</v>
      </c>
      <c r="E68" s="60" t="s">
        <v>307</v>
      </c>
      <c r="F68" s="61" t="s">
        <v>295</v>
      </c>
      <c r="G68" s="62" t="n">
        <v>1</v>
      </c>
      <c r="H68" s="62" t="n">
        <v>10</v>
      </c>
    </row>
    <row r="69" customFormat="false" ht="15.75" hidden="false" customHeight="true" outlineLevel="0" collapsed="false">
      <c r="A69" s="58" t="s">
        <v>308</v>
      </c>
      <c r="B69" s="63" t="s">
        <v>280</v>
      </c>
      <c r="C69" s="64" t="s">
        <v>281</v>
      </c>
      <c r="D69" s="59" t="s">
        <v>309</v>
      </c>
      <c r="E69" s="60" t="s">
        <v>310</v>
      </c>
      <c r="F69" s="61" t="s">
        <v>295</v>
      </c>
      <c r="G69" s="62" t="n">
        <v>1</v>
      </c>
      <c r="H69" s="62" t="n">
        <v>10</v>
      </c>
    </row>
    <row r="70" customFormat="false" ht="15.75" hidden="false" customHeight="true" outlineLevel="0" collapsed="false">
      <c r="A70" s="58" t="s">
        <v>311</v>
      </c>
      <c r="B70" s="63" t="s">
        <v>280</v>
      </c>
      <c r="C70" s="64" t="s">
        <v>281</v>
      </c>
      <c r="D70" s="59" t="s">
        <v>312</v>
      </c>
      <c r="E70" s="60" t="s">
        <v>313</v>
      </c>
      <c r="F70" s="61" t="s">
        <v>295</v>
      </c>
      <c r="G70" s="62" t="n">
        <v>1</v>
      </c>
      <c r="H70" s="62" t="n">
        <v>10</v>
      </c>
    </row>
    <row r="71" customFormat="false" ht="15.75" hidden="false" customHeight="true" outlineLevel="0" collapsed="false">
      <c r="A71" s="58" t="s">
        <v>314</v>
      </c>
      <c r="B71" s="63" t="s">
        <v>280</v>
      </c>
      <c r="C71" s="64" t="s">
        <v>281</v>
      </c>
      <c r="D71" s="59" t="s">
        <v>315</v>
      </c>
      <c r="E71" s="60" t="s">
        <v>316</v>
      </c>
      <c r="F71" s="61" t="s">
        <v>295</v>
      </c>
      <c r="G71" s="62" t="n">
        <v>1</v>
      </c>
      <c r="H71" s="62" t="n">
        <v>10</v>
      </c>
    </row>
    <row r="72" customFormat="false" ht="15.75" hidden="false" customHeight="true" outlineLevel="0" collapsed="false">
      <c r="A72" s="58" t="s">
        <v>317</v>
      </c>
      <c r="B72" s="63" t="s">
        <v>280</v>
      </c>
      <c r="C72" s="64" t="s">
        <v>281</v>
      </c>
      <c r="D72" s="59" t="s">
        <v>318</v>
      </c>
      <c r="E72" s="60" t="s">
        <v>319</v>
      </c>
      <c r="F72" s="61" t="s">
        <v>295</v>
      </c>
      <c r="G72" s="62" t="n">
        <v>1</v>
      </c>
      <c r="H72" s="62" t="n">
        <v>10</v>
      </c>
    </row>
    <row r="73" customFormat="false" ht="15.75" hidden="false" customHeight="true" outlineLevel="0" collapsed="false">
      <c r="A73" s="58" t="s">
        <v>320</v>
      </c>
      <c r="B73" s="63" t="s">
        <v>280</v>
      </c>
      <c r="C73" s="64" t="s">
        <v>281</v>
      </c>
      <c r="D73" s="59" t="s">
        <v>321</v>
      </c>
      <c r="E73" s="60" t="s">
        <v>322</v>
      </c>
      <c r="F73" s="61" t="s">
        <v>295</v>
      </c>
      <c r="G73" s="62" t="n">
        <v>1</v>
      </c>
      <c r="H73" s="62" t="n">
        <v>10</v>
      </c>
    </row>
    <row r="74" customFormat="false" ht="15.75" hidden="false" customHeight="true" outlineLevel="0" collapsed="false">
      <c r="A74" s="58" t="s">
        <v>323</v>
      </c>
      <c r="B74" s="63" t="s">
        <v>280</v>
      </c>
      <c r="C74" s="64" t="s">
        <v>281</v>
      </c>
      <c r="D74" s="59" t="s">
        <v>324</v>
      </c>
      <c r="E74" s="60" t="s">
        <v>325</v>
      </c>
      <c r="F74" s="61" t="s">
        <v>295</v>
      </c>
      <c r="G74" s="62" t="n">
        <v>1</v>
      </c>
      <c r="H74" s="62" t="n">
        <v>10</v>
      </c>
    </row>
    <row r="75" customFormat="false" ht="15.75" hidden="false" customHeight="true" outlineLevel="0" collapsed="false">
      <c r="A75" s="58" t="s">
        <v>326</v>
      </c>
      <c r="B75" s="63" t="s">
        <v>280</v>
      </c>
      <c r="C75" s="64" t="s">
        <v>281</v>
      </c>
      <c r="D75" s="59" t="s">
        <v>327</v>
      </c>
      <c r="E75" s="60" t="s">
        <v>328</v>
      </c>
      <c r="F75" s="61" t="s">
        <v>295</v>
      </c>
      <c r="G75" s="62" t="n">
        <v>1</v>
      </c>
      <c r="H75" s="62" t="n">
        <v>10</v>
      </c>
    </row>
    <row r="76" customFormat="false" ht="15.75" hidden="false" customHeight="true" outlineLevel="0" collapsed="false">
      <c r="A76" s="58" t="s">
        <v>329</v>
      </c>
      <c r="B76" s="63" t="s">
        <v>280</v>
      </c>
      <c r="C76" s="64" t="s">
        <v>281</v>
      </c>
      <c r="D76" s="59" t="s">
        <v>330</v>
      </c>
      <c r="E76" s="60" t="s">
        <v>331</v>
      </c>
      <c r="F76" s="61" t="s">
        <v>285</v>
      </c>
      <c r="G76" s="62" t="n">
        <v>1</v>
      </c>
      <c r="H76" s="62" t="n">
        <v>20</v>
      </c>
    </row>
    <row r="77" customFormat="false" ht="15.75" hidden="false" customHeight="true" outlineLevel="0" collapsed="false">
      <c r="A77" s="58" t="s">
        <v>332</v>
      </c>
      <c r="B77" s="63" t="s">
        <v>280</v>
      </c>
      <c r="C77" s="64" t="s">
        <v>281</v>
      </c>
      <c r="D77" s="59" t="s">
        <v>333</v>
      </c>
      <c r="E77" s="60" t="s">
        <v>334</v>
      </c>
      <c r="F77" s="61" t="s">
        <v>295</v>
      </c>
      <c r="G77" s="62" t="n">
        <v>1</v>
      </c>
      <c r="H77" s="62" t="n">
        <v>10</v>
      </c>
    </row>
    <row r="78" customFormat="false" ht="15.75" hidden="false" customHeight="true" outlineLevel="0" collapsed="false">
      <c r="A78" s="58" t="s">
        <v>335</v>
      </c>
      <c r="B78" s="63" t="s">
        <v>280</v>
      </c>
      <c r="C78" s="64" t="s">
        <v>281</v>
      </c>
      <c r="D78" s="59" t="s">
        <v>336</v>
      </c>
      <c r="E78" s="60" t="s">
        <v>337</v>
      </c>
      <c r="F78" s="61" t="s">
        <v>295</v>
      </c>
      <c r="G78" s="62" t="n">
        <v>1</v>
      </c>
      <c r="H78" s="62" t="n">
        <v>10</v>
      </c>
    </row>
    <row r="79" customFormat="false" ht="15.75" hidden="false" customHeight="true" outlineLevel="0" collapsed="false">
      <c r="A79" s="58" t="s">
        <v>338</v>
      </c>
      <c r="B79" s="63" t="s">
        <v>280</v>
      </c>
      <c r="C79" s="64" t="s">
        <v>281</v>
      </c>
      <c r="D79" s="59" t="s">
        <v>339</v>
      </c>
      <c r="E79" s="60" t="s">
        <v>340</v>
      </c>
      <c r="F79" s="61" t="s">
        <v>295</v>
      </c>
      <c r="G79" s="62" t="n">
        <v>1</v>
      </c>
      <c r="H79" s="62" t="n">
        <v>30</v>
      </c>
    </row>
    <row r="80" customFormat="false" ht="15.75" hidden="false" customHeight="true" outlineLevel="0" collapsed="false">
      <c r="A80" s="58" t="s">
        <v>341</v>
      </c>
      <c r="B80" s="63" t="s">
        <v>280</v>
      </c>
      <c r="C80" s="64" t="s">
        <v>281</v>
      </c>
      <c r="D80" s="59" t="s">
        <v>342</v>
      </c>
      <c r="E80" s="60" t="s">
        <v>343</v>
      </c>
      <c r="F80" s="61" t="s">
        <v>482</v>
      </c>
      <c r="G80" s="62" t="n">
        <v>1</v>
      </c>
      <c r="H80" s="62" t="n">
        <v>200</v>
      </c>
    </row>
    <row r="81" customFormat="false" ht="15.75" hidden="false" customHeight="true" outlineLevel="0" collapsed="false">
      <c r="A81" s="58" t="s">
        <v>344</v>
      </c>
      <c r="B81" s="63" t="s">
        <v>280</v>
      </c>
      <c r="C81" s="64" t="s">
        <v>281</v>
      </c>
      <c r="D81" s="59" t="s">
        <v>345</v>
      </c>
      <c r="E81" s="60" t="s">
        <v>346</v>
      </c>
      <c r="F81" s="61" t="s">
        <v>482</v>
      </c>
      <c r="G81" s="62" t="n">
        <v>1</v>
      </c>
      <c r="H81" s="62" t="n">
        <v>200</v>
      </c>
    </row>
    <row r="82" customFormat="false" ht="15.75" hidden="false" customHeight="true" outlineLevel="0" collapsed="false">
      <c r="A82" s="58" t="s">
        <v>350</v>
      </c>
      <c r="B82" s="63" t="s">
        <v>348</v>
      </c>
      <c r="C82" s="64" t="s">
        <v>349</v>
      </c>
      <c r="D82" s="59" t="s">
        <v>351</v>
      </c>
      <c r="E82" s="60" t="s">
        <v>352</v>
      </c>
      <c r="F82" s="61" t="s">
        <v>90</v>
      </c>
      <c r="G82" s="62" t="n">
        <v>1</v>
      </c>
      <c r="H82" s="62" t="n">
        <v>10</v>
      </c>
    </row>
    <row r="83" customFormat="false" ht="15.75" hidden="false" customHeight="true" outlineLevel="0" collapsed="false">
      <c r="A83" s="58" t="s">
        <v>353</v>
      </c>
      <c r="B83" s="63" t="s">
        <v>348</v>
      </c>
      <c r="C83" s="64" t="s">
        <v>349</v>
      </c>
      <c r="D83" s="59" t="s">
        <v>354</v>
      </c>
      <c r="E83" s="60" t="s">
        <v>355</v>
      </c>
      <c r="F83" s="61" t="s">
        <v>90</v>
      </c>
      <c r="G83" s="62" t="n">
        <v>1</v>
      </c>
      <c r="H83" s="62" t="n">
        <v>70</v>
      </c>
    </row>
    <row r="84" customFormat="false" ht="15.75" hidden="false" customHeight="true" outlineLevel="0" collapsed="false">
      <c r="A84" s="58" t="s">
        <v>356</v>
      </c>
      <c r="B84" s="63" t="s">
        <v>348</v>
      </c>
      <c r="C84" s="64" t="s">
        <v>349</v>
      </c>
      <c r="D84" s="59" t="s">
        <v>357</v>
      </c>
      <c r="E84" s="60" t="s">
        <v>358</v>
      </c>
      <c r="F84" s="61" t="s">
        <v>90</v>
      </c>
      <c r="G84" s="62" t="n">
        <v>1</v>
      </c>
      <c r="H84" s="62" t="n">
        <v>30</v>
      </c>
    </row>
    <row r="85" customFormat="false" ht="15.75" hidden="false" customHeight="true" outlineLevel="0" collapsed="false">
      <c r="A85" s="58" t="s">
        <v>359</v>
      </c>
      <c r="B85" s="63" t="s">
        <v>348</v>
      </c>
      <c r="C85" s="64" t="s">
        <v>349</v>
      </c>
      <c r="D85" s="59" t="s">
        <v>360</v>
      </c>
      <c r="E85" s="60" t="s">
        <v>361</v>
      </c>
      <c r="F85" s="61" t="s">
        <v>90</v>
      </c>
      <c r="G85" s="62" t="n">
        <v>1</v>
      </c>
      <c r="H85" s="62" t="n">
        <v>40</v>
      </c>
    </row>
    <row r="86" customFormat="false" ht="15.75" hidden="false" customHeight="true" outlineLevel="0" collapsed="false">
      <c r="A86" s="58" t="s">
        <v>362</v>
      </c>
      <c r="B86" s="63" t="s">
        <v>348</v>
      </c>
      <c r="C86" s="64" t="s">
        <v>349</v>
      </c>
      <c r="D86" s="59" t="s">
        <v>363</v>
      </c>
      <c r="E86" s="60" t="s">
        <v>364</v>
      </c>
      <c r="F86" s="61" t="s">
        <v>90</v>
      </c>
      <c r="G86" s="62" t="n">
        <v>1</v>
      </c>
      <c r="H86" s="62" t="n">
        <v>70</v>
      </c>
    </row>
    <row r="87" customFormat="false" ht="15.75" hidden="false" customHeight="true" outlineLevel="0" collapsed="false">
      <c r="A87" s="58" t="s">
        <v>365</v>
      </c>
      <c r="B87" s="63" t="s">
        <v>348</v>
      </c>
      <c r="C87" s="64" t="s">
        <v>349</v>
      </c>
      <c r="D87" s="59" t="s">
        <v>366</v>
      </c>
      <c r="E87" s="60" t="s">
        <v>367</v>
      </c>
      <c r="F87" s="61" t="s">
        <v>90</v>
      </c>
      <c r="G87" s="62" t="n">
        <v>1</v>
      </c>
      <c r="H87" s="62" t="n">
        <v>80</v>
      </c>
    </row>
    <row r="88" customFormat="false" ht="15.75" hidden="false" customHeight="true" outlineLevel="0" collapsed="false">
      <c r="A88" s="58" t="s">
        <v>368</v>
      </c>
      <c r="B88" s="63" t="s">
        <v>348</v>
      </c>
      <c r="C88" s="64" t="s">
        <v>349</v>
      </c>
      <c r="D88" s="59" t="s">
        <v>369</v>
      </c>
      <c r="E88" s="60" t="s">
        <v>370</v>
      </c>
      <c r="F88" s="61" t="s">
        <v>90</v>
      </c>
      <c r="G88" s="62" t="n">
        <v>1</v>
      </c>
      <c r="H88" s="62" t="n">
        <v>100</v>
      </c>
    </row>
    <row r="89" customFormat="false" ht="15.75" hidden="false" customHeight="true" outlineLevel="0" collapsed="false">
      <c r="A89" s="58" t="s">
        <v>371</v>
      </c>
      <c r="B89" s="63" t="s">
        <v>348</v>
      </c>
      <c r="C89" s="64" t="s">
        <v>349</v>
      </c>
      <c r="D89" s="59" t="s">
        <v>372</v>
      </c>
      <c r="E89" s="60" t="s">
        <v>373</v>
      </c>
      <c r="F89" s="61" t="s">
        <v>90</v>
      </c>
      <c r="G89" s="62" t="n">
        <v>1</v>
      </c>
      <c r="H89" s="62" t="n">
        <v>120</v>
      </c>
    </row>
    <row r="90" customFormat="false" ht="15.75" hidden="false" customHeight="true" outlineLevel="0" collapsed="false">
      <c r="A90" s="58" t="s">
        <v>374</v>
      </c>
      <c r="B90" s="63" t="s">
        <v>348</v>
      </c>
      <c r="C90" s="64" t="s">
        <v>349</v>
      </c>
      <c r="D90" s="59" t="s">
        <v>375</v>
      </c>
      <c r="E90" s="60" t="s">
        <v>376</v>
      </c>
      <c r="F90" s="61" t="s">
        <v>90</v>
      </c>
      <c r="G90" s="62" t="n">
        <v>1</v>
      </c>
      <c r="H90" s="62" t="n">
        <v>60</v>
      </c>
    </row>
    <row r="91" customFormat="false" ht="15.75" hidden="false" customHeight="true" outlineLevel="0" collapsed="false">
      <c r="A91" s="58" t="s">
        <v>377</v>
      </c>
      <c r="B91" s="63" t="s">
        <v>348</v>
      </c>
      <c r="C91" s="64" t="s">
        <v>349</v>
      </c>
      <c r="D91" s="59" t="s">
        <v>378</v>
      </c>
      <c r="E91" s="60" t="s">
        <v>379</v>
      </c>
      <c r="F91" s="61" t="s">
        <v>90</v>
      </c>
      <c r="G91" s="62" t="n">
        <v>1</v>
      </c>
      <c r="H91" s="62" t="n">
        <v>10</v>
      </c>
    </row>
    <row r="92" customFormat="false" ht="15.75" hidden="false" customHeight="true" outlineLevel="0" collapsed="false">
      <c r="A92" s="58" t="s">
        <v>380</v>
      </c>
      <c r="B92" s="63" t="s">
        <v>348</v>
      </c>
      <c r="C92" s="64" t="s">
        <v>349</v>
      </c>
      <c r="D92" s="59" t="s">
        <v>381</v>
      </c>
      <c r="E92" s="60" t="s">
        <v>382</v>
      </c>
      <c r="F92" s="61" t="s">
        <v>90</v>
      </c>
      <c r="G92" s="62" t="n">
        <v>1</v>
      </c>
      <c r="H92" s="62" t="n">
        <v>500</v>
      </c>
    </row>
    <row r="93" customFormat="false" ht="15.75" hidden="false" customHeight="true" outlineLevel="0" collapsed="false">
      <c r="A93" s="58" t="s">
        <v>383</v>
      </c>
      <c r="B93" s="63" t="s">
        <v>348</v>
      </c>
      <c r="C93" s="64" t="s">
        <v>349</v>
      </c>
      <c r="D93" s="59" t="s">
        <v>384</v>
      </c>
      <c r="E93" s="60" t="s">
        <v>385</v>
      </c>
      <c r="F93" s="61" t="s">
        <v>90</v>
      </c>
      <c r="G93" s="62" t="n">
        <v>1</v>
      </c>
      <c r="H93" s="62" t="n">
        <v>300</v>
      </c>
    </row>
    <row r="94" customFormat="false" ht="15.75" hidden="false" customHeight="true" outlineLevel="0" collapsed="false">
      <c r="A94" s="58" t="s">
        <v>386</v>
      </c>
      <c r="B94" s="63" t="s">
        <v>348</v>
      </c>
      <c r="C94" s="64" t="s">
        <v>349</v>
      </c>
      <c r="D94" s="59" t="s">
        <v>387</v>
      </c>
      <c r="E94" s="60" t="s">
        <v>388</v>
      </c>
      <c r="F94" s="61" t="s">
        <v>389</v>
      </c>
      <c r="G94" s="62" t="n">
        <v>1</v>
      </c>
      <c r="H94" s="62" t="n">
        <v>100</v>
      </c>
    </row>
    <row r="95" customFormat="false" ht="15.75" hidden="false" customHeight="true" outlineLevel="0" collapsed="false">
      <c r="A95" s="58" t="s">
        <v>393</v>
      </c>
      <c r="B95" s="63" t="s">
        <v>391</v>
      </c>
      <c r="C95" s="64" t="s">
        <v>392</v>
      </c>
      <c r="D95" s="59" t="s">
        <v>394</v>
      </c>
      <c r="E95" s="60" t="s">
        <v>395</v>
      </c>
      <c r="F95" s="61" t="s">
        <v>396</v>
      </c>
      <c r="G95" s="62" t="n">
        <v>1</v>
      </c>
      <c r="H95" s="62" t="n">
        <v>5</v>
      </c>
    </row>
    <row r="96" customFormat="false" ht="15.75" hidden="false" customHeight="true" outlineLevel="0" collapsed="false">
      <c r="A96" s="58" t="s">
        <v>397</v>
      </c>
      <c r="B96" s="63" t="s">
        <v>391</v>
      </c>
      <c r="C96" s="64" t="s">
        <v>392</v>
      </c>
      <c r="D96" s="59" t="s">
        <v>398</v>
      </c>
      <c r="E96" s="60" t="s">
        <v>399</v>
      </c>
      <c r="F96" s="61" t="s">
        <v>400</v>
      </c>
      <c r="G96" s="62" t="n">
        <v>1</v>
      </c>
      <c r="H96" s="62" t="n">
        <v>5</v>
      </c>
    </row>
    <row r="97" customFormat="false" ht="15.75" hidden="false" customHeight="true" outlineLevel="0" collapsed="false">
      <c r="A97" s="58" t="s">
        <v>401</v>
      </c>
      <c r="B97" s="63" t="s">
        <v>391</v>
      </c>
      <c r="C97" s="64" t="s">
        <v>392</v>
      </c>
      <c r="D97" s="59" t="s">
        <v>402</v>
      </c>
      <c r="E97" s="60" t="s">
        <v>403</v>
      </c>
      <c r="F97" s="61" t="s">
        <v>400</v>
      </c>
      <c r="G97" s="62" t="n">
        <v>1</v>
      </c>
      <c r="H97" s="62" t="n">
        <v>5</v>
      </c>
    </row>
    <row r="98" customFormat="false" ht="15.75" hidden="false" customHeight="true" outlineLevel="0" collapsed="false">
      <c r="A98" s="58" t="s">
        <v>404</v>
      </c>
      <c r="B98" s="63" t="s">
        <v>391</v>
      </c>
      <c r="C98" s="64" t="s">
        <v>392</v>
      </c>
      <c r="D98" s="59" t="s">
        <v>405</v>
      </c>
      <c r="E98" s="60" t="s">
        <v>406</v>
      </c>
      <c r="F98" s="61" t="s">
        <v>400</v>
      </c>
      <c r="G98" s="62" t="n">
        <v>1</v>
      </c>
      <c r="H98" s="62" t="n">
        <v>5</v>
      </c>
    </row>
    <row r="99" customFormat="false" ht="15.75" hidden="false" customHeight="true" outlineLevel="0" collapsed="false">
      <c r="A99" s="58" t="s">
        <v>407</v>
      </c>
      <c r="B99" s="63" t="s">
        <v>391</v>
      </c>
      <c r="C99" s="64" t="s">
        <v>392</v>
      </c>
      <c r="D99" s="59" t="s">
        <v>408</v>
      </c>
      <c r="E99" s="60" t="s">
        <v>409</v>
      </c>
      <c r="F99" s="61" t="s">
        <v>400</v>
      </c>
      <c r="G99" s="62" t="n">
        <v>1</v>
      </c>
      <c r="H99" s="62" t="n">
        <v>5</v>
      </c>
    </row>
    <row r="100" customFormat="false" ht="15.75" hidden="false" customHeight="true" outlineLevel="0" collapsed="false">
      <c r="A100" s="58" t="s">
        <v>410</v>
      </c>
      <c r="B100" s="63" t="s">
        <v>391</v>
      </c>
      <c r="C100" s="64" t="s">
        <v>392</v>
      </c>
      <c r="D100" s="59" t="s">
        <v>411</v>
      </c>
      <c r="E100" s="60" t="s">
        <v>412</v>
      </c>
      <c r="F100" s="61" t="s">
        <v>413</v>
      </c>
      <c r="G100" s="62" t="n">
        <v>1</v>
      </c>
      <c r="H100" s="62" t="n">
        <v>5</v>
      </c>
    </row>
    <row r="101" customFormat="false" ht="15.75" hidden="false" customHeight="true" outlineLevel="0" collapsed="false">
      <c r="A101" s="58" t="s">
        <v>417</v>
      </c>
      <c r="B101" s="63" t="s">
        <v>415</v>
      </c>
      <c r="C101" s="64" t="s">
        <v>416</v>
      </c>
      <c r="D101" s="59" t="s">
        <v>418</v>
      </c>
      <c r="E101" s="60" t="s">
        <v>419</v>
      </c>
      <c r="F101" s="61" t="s">
        <v>420</v>
      </c>
      <c r="G101" s="62" t="n">
        <v>1</v>
      </c>
      <c r="H101" s="62" t="n">
        <v>50</v>
      </c>
    </row>
    <row r="102" customFormat="false" ht="15.75" hidden="false" customHeight="true" outlineLevel="0" collapsed="false">
      <c r="A102" s="58" t="s">
        <v>421</v>
      </c>
      <c r="B102" s="63" t="s">
        <v>415</v>
      </c>
      <c r="C102" s="64" t="s">
        <v>416</v>
      </c>
      <c r="D102" s="59" t="s">
        <v>422</v>
      </c>
      <c r="E102" s="60" t="s">
        <v>423</v>
      </c>
      <c r="F102" s="61" t="s">
        <v>420</v>
      </c>
      <c r="G102" s="62" t="n">
        <v>1</v>
      </c>
      <c r="H102" s="62" t="n">
        <v>50</v>
      </c>
    </row>
    <row r="103" customFormat="false" ht="15.75" hidden="false" customHeight="true" outlineLevel="0" collapsed="false">
      <c r="A103" s="58" t="s">
        <v>424</v>
      </c>
      <c r="B103" s="63" t="s">
        <v>415</v>
      </c>
      <c r="C103" s="64" t="s">
        <v>416</v>
      </c>
      <c r="D103" s="59" t="s">
        <v>425</v>
      </c>
      <c r="E103" s="60" t="s">
        <v>426</v>
      </c>
      <c r="F103" s="61" t="s">
        <v>420</v>
      </c>
      <c r="G103" s="62" t="n">
        <v>1</v>
      </c>
      <c r="H103" s="62" t="n">
        <v>50</v>
      </c>
    </row>
    <row r="104" customFormat="false" ht="15.75" hidden="false" customHeight="true" outlineLevel="0" collapsed="false">
      <c r="A104" s="58" t="s">
        <v>430</v>
      </c>
      <c r="B104" s="63" t="s">
        <v>428</v>
      </c>
      <c r="C104" s="64" t="s">
        <v>429</v>
      </c>
      <c r="D104" s="59" t="s">
        <v>431</v>
      </c>
      <c r="E104" s="60" t="s">
        <v>432</v>
      </c>
      <c r="F104" s="61" t="s">
        <v>90</v>
      </c>
      <c r="G104" s="62" t="n">
        <v>1</v>
      </c>
      <c r="H104" s="62" t="n">
        <v>1000</v>
      </c>
    </row>
    <row r="105" customFormat="false" ht="15.75" hidden="false" customHeight="true" outlineLevel="0" collapsed="false">
      <c r="A105" s="58" t="s">
        <v>433</v>
      </c>
      <c r="B105" s="63" t="s">
        <v>428</v>
      </c>
      <c r="C105" s="64" t="s">
        <v>429</v>
      </c>
      <c r="D105" s="59" t="s">
        <v>434</v>
      </c>
      <c r="E105" s="60" t="s">
        <v>435</v>
      </c>
      <c r="F105" s="61" t="s">
        <v>90</v>
      </c>
      <c r="G105" s="62" t="n">
        <v>1</v>
      </c>
      <c r="H105" s="62" t="n">
        <v>500</v>
      </c>
    </row>
    <row r="106" customFormat="false" ht="15.75" hidden="false" customHeight="true" outlineLevel="0" collapsed="false">
      <c r="A106" s="58" t="s">
        <v>436</v>
      </c>
      <c r="B106" s="63" t="s">
        <v>428</v>
      </c>
      <c r="C106" s="64" t="s">
        <v>429</v>
      </c>
      <c r="D106" s="59" t="s">
        <v>437</v>
      </c>
      <c r="E106" s="60" t="s">
        <v>438</v>
      </c>
      <c r="F106" s="61" t="s">
        <v>90</v>
      </c>
      <c r="G106" s="62" t="n">
        <v>1</v>
      </c>
      <c r="H106" s="62" t="n">
        <v>1000</v>
      </c>
    </row>
    <row r="107" customFormat="false" ht="15.75" hidden="false" customHeight="true" outlineLevel="0" collapsed="false">
      <c r="A107" s="58" t="s">
        <v>439</v>
      </c>
      <c r="B107" s="63" t="s">
        <v>428</v>
      </c>
      <c r="C107" s="64" t="s">
        <v>429</v>
      </c>
      <c r="D107" s="59" t="s">
        <v>440</v>
      </c>
      <c r="E107" s="60" t="s">
        <v>441</v>
      </c>
      <c r="F107" s="61" t="s">
        <v>90</v>
      </c>
      <c r="G107" s="62" t="n">
        <v>1</v>
      </c>
      <c r="H107" s="62" t="n">
        <v>500</v>
      </c>
    </row>
    <row r="108" customFormat="false" ht="15.75" hidden="false" customHeight="true" outlineLevel="0" collapsed="false">
      <c r="A108" s="58" t="s">
        <v>442</v>
      </c>
      <c r="B108" s="63" t="s">
        <v>428</v>
      </c>
      <c r="C108" s="64" t="s">
        <v>429</v>
      </c>
      <c r="D108" s="59" t="s">
        <v>443</v>
      </c>
      <c r="E108" s="60" t="s">
        <v>444</v>
      </c>
      <c r="F108" s="61" t="s">
        <v>90</v>
      </c>
      <c r="G108" s="62" t="n">
        <v>1</v>
      </c>
      <c r="H108" s="62" t="n">
        <v>500</v>
      </c>
    </row>
    <row r="109" customFormat="false" ht="15.75" hidden="false" customHeight="true" outlineLevel="0" collapsed="false">
      <c r="A109" s="58" t="s">
        <v>445</v>
      </c>
      <c r="B109" s="63" t="s">
        <v>428</v>
      </c>
      <c r="C109" s="64" t="s">
        <v>429</v>
      </c>
      <c r="D109" s="59" t="s">
        <v>446</v>
      </c>
      <c r="E109" s="60" t="s">
        <v>447</v>
      </c>
      <c r="F109" s="61" t="s">
        <v>90</v>
      </c>
      <c r="G109" s="62" t="n">
        <v>1</v>
      </c>
      <c r="H109" s="62" t="n">
        <v>300</v>
      </c>
    </row>
    <row r="110" customFormat="false" ht="15.75" hidden="false" customHeight="true" outlineLevel="0" collapsed="false">
      <c r="A110" s="58" t="s">
        <v>448</v>
      </c>
      <c r="B110" s="63" t="s">
        <v>428</v>
      </c>
      <c r="C110" s="64" t="s">
        <v>429</v>
      </c>
      <c r="D110" s="59" t="s">
        <v>449</v>
      </c>
      <c r="E110" s="60" t="s">
        <v>450</v>
      </c>
      <c r="F110" s="61" t="s">
        <v>90</v>
      </c>
      <c r="G110" s="62" t="n">
        <v>1</v>
      </c>
      <c r="H110" s="62" t="n">
        <v>2000</v>
      </c>
    </row>
    <row r="111" customFormat="false" ht="15.75" hidden="false" customHeight="true" outlineLevel="0" collapsed="false">
      <c r="A111" s="58" t="s">
        <v>451</v>
      </c>
      <c r="B111" s="63" t="s">
        <v>428</v>
      </c>
      <c r="C111" s="64" t="s">
        <v>429</v>
      </c>
      <c r="D111" s="59" t="s">
        <v>452</v>
      </c>
      <c r="E111" s="60" t="s">
        <v>453</v>
      </c>
      <c r="F111" s="61" t="s">
        <v>90</v>
      </c>
      <c r="G111" s="62" t="n">
        <v>1</v>
      </c>
      <c r="H111" s="62" t="n">
        <v>1000</v>
      </c>
    </row>
    <row r="112" customFormat="false" ht="15.75" hidden="false" customHeight="true" outlineLevel="0" collapsed="false">
      <c r="A112" s="58" t="s">
        <v>454</v>
      </c>
      <c r="B112" s="63" t="s">
        <v>428</v>
      </c>
      <c r="C112" s="64" t="s">
        <v>429</v>
      </c>
      <c r="D112" s="59" t="s">
        <v>455</v>
      </c>
      <c r="E112" s="60" t="s">
        <v>456</v>
      </c>
      <c r="F112" s="61" t="s">
        <v>90</v>
      </c>
      <c r="G112" s="62" t="n">
        <v>1</v>
      </c>
      <c r="H112" s="62" t="n">
        <v>1000</v>
      </c>
    </row>
    <row r="113" customFormat="false" ht="15.75" hidden="false" customHeight="true" outlineLevel="0" collapsed="false">
      <c r="A113" s="58" t="s">
        <v>457</v>
      </c>
      <c r="B113" s="63" t="s">
        <v>428</v>
      </c>
      <c r="C113" s="64" t="s">
        <v>429</v>
      </c>
      <c r="D113" s="59" t="s">
        <v>458</v>
      </c>
      <c r="E113" s="60" t="s">
        <v>459</v>
      </c>
      <c r="F113" s="61" t="s">
        <v>90</v>
      </c>
      <c r="G113" s="62" t="n">
        <v>1</v>
      </c>
      <c r="H113" s="62" t="n">
        <v>1000</v>
      </c>
    </row>
    <row r="114" customFormat="false" ht="15.75" hidden="false" customHeight="true" outlineLevel="0" collapsed="false">
      <c r="A114" s="58" t="s">
        <v>460</v>
      </c>
      <c r="B114" s="63" t="s">
        <v>428</v>
      </c>
      <c r="C114" s="64" t="s">
        <v>429</v>
      </c>
      <c r="D114" s="59" t="s">
        <v>461</v>
      </c>
      <c r="E114" s="60" t="s">
        <v>462</v>
      </c>
      <c r="F114" s="61" t="s">
        <v>90</v>
      </c>
      <c r="G114" s="62" t="n">
        <v>1</v>
      </c>
      <c r="H114" s="62" t="n">
        <v>500</v>
      </c>
      <c r="L114" s="65"/>
    </row>
    <row r="115" customFormat="false" ht="15.75" hidden="false" customHeight="true" outlineLevel="0" collapsed="false">
      <c r="A115" s="58" t="s">
        <v>463</v>
      </c>
      <c r="B115" s="63" t="s">
        <v>428</v>
      </c>
      <c r="C115" s="64" t="s">
        <v>429</v>
      </c>
      <c r="D115" s="59" t="s">
        <v>464</v>
      </c>
      <c r="E115" s="60" t="s">
        <v>465</v>
      </c>
      <c r="F115" s="61" t="s">
        <v>90</v>
      </c>
      <c r="G115" s="62" t="n">
        <v>1</v>
      </c>
      <c r="H115" s="62" t="n">
        <v>500</v>
      </c>
    </row>
    <row r="116" customFormat="false" ht="15.75" hidden="false" customHeight="true" outlineLevel="0" collapsed="false">
      <c r="A116" s="58" t="s">
        <v>466</v>
      </c>
      <c r="B116" s="63" t="s">
        <v>428</v>
      </c>
      <c r="C116" s="64" t="s">
        <v>429</v>
      </c>
      <c r="D116" s="59" t="s">
        <v>467</v>
      </c>
      <c r="E116" s="60" t="s">
        <v>468</v>
      </c>
      <c r="F116" s="61" t="s">
        <v>90</v>
      </c>
      <c r="G116" s="62" t="n">
        <v>1</v>
      </c>
      <c r="H116" s="62" t="n">
        <v>500</v>
      </c>
    </row>
    <row r="117" customFormat="false" ht="15.75" hidden="false" customHeight="true" outlineLevel="0" collapsed="false">
      <c r="A117" s="58" t="s">
        <v>469</v>
      </c>
      <c r="B117" s="63" t="s">
        <v>428</v>
      </c>
      <c r="C117" s="64" t="s">
        <v>429</v>
      </c>
      <c r="D117" s="59" t="s">
        <v>470</v>
      </c>
      <c r="E117" s="60" t="s">
        <v>471</v>
      </c>
      <c r="F117" s="61" t="s">
        <v>90</v>
      </c>
      <c r="G117" s="62" t="n">
        <v>1</v>
      </c>
      <c r="H117" s="62" t="n">
        <v>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1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0" activeCellId="0" sqref="G20"/>
    </sheetView>
  </sheetViews>
  <sheetFormatPr defaultColWidth="8.890625" defaultRowHeight="14.25" zeroHeight="false" outlineLevelRow="0" outlineLevelCol="0"/>
  <cols>
    <col collapsed="false" customWidth="true" hidden="false" outlineLevel="0" max="1" min="1" style="33" width="12.78"/>
    <col collapsed="false" customWidth="true" hidden="false" outlineLevel="0" max="2" min="2" style="66" width="13.56"/>
    <col collapsed="false" customWidth="true" hidden="false" outlineLevel="0" max="3" min="3" style="67" width="10.34"/>
    <col collapsed="false" customWidth="true" hidden="false" outlineLevel="0" max="5" min="4" style="67" width="18.11"/>
    <col collapsed="false" customWidth="true" hidden="false" outlineLevel="0" max="6" min="6" style="33" width="12.33"/>
    <col collapsed="false" customWidth="true" hidden="false" outlineLevel="0" max="7" min="7" style="33" width="24.55"/>
    <col collapsed="false" customWidth="true" hidden="false" outlineLevel="0" max="8" min="8" style="33" width="19.78"/>
    <col collapsed="false" customWidth="true" hidden="false" outlineLevel="0" max="9" min="9" style="33" width="14.44"/>
    <col collapsed="false" customWidth="true" hidden="false" outlineLevel="0" max="10" min="10" style="68" width="33.11"/>
    <col collapsed="false" customWidth="true" hidden="false" outlineLevel="0" max="11" min="11" style="69" width="33.11"/>
    <col collapsed="false" customWidth="true" hidden="false" outlineLevel="0" max="12" min="12" style="68" width="42.89"/>
    <col collapsed="false" customWidth="true" hidden="false" outlineLevel="0" max="13" min="13" style="33" width="10.67"/>
    <col collapsed="false" customWidth="true" hidden="false" outlineLevel="0" max="14" min="14" style="33" width="9.66"/>
    <col collapsed="false" customWidth="true" hidden="false" outlineLevel="0" max="15" min="15" style="33" width="14.8"/>
    <col collapsed="false" customWidth="true" hidden="true" outlineLevel="0" max="16" min="16" style="33" width="9.22"/>
    <col collapsed="false" customWidth="true" hidden="false" outlineLevel="0" max="17" min="17" style="33" width="13.08"/>
    <col collapsed="false" customWidth="true" hidden="false" outlineLevel="0" max="18" min="18" style="33" width="9.22"/>
    <col collapsed="false" customWidth="true" hidden="false" outlineLevel="0" max="19" min="19" style="33" width="28.45"/>
    <col collapsed="false" customWidth="true" hidden="false" outlineLevel="0" max="20" min="20" style="33" width="10.44"/>
    <col collapsed="false" customWidth="true" hidden="false" outlineLevel="0" max="21" min="21" style="33" width="14.67"/>
    <col collapsed="false" customWidth="false" hidden="false" outlineLevel="0" max="16384" min="22" style="33" width="8.89"/>
  </cols>
  <sheetData>
    <row r="1" s="76" customFormat="true" ht="31.5" hidden="false" customHeight="true" outlineLevel="0" collapsed="false">
      <c r="A1" s="70" t="s">
        <v>483</v>
      </c>
      <c r="B1" s="70" t="s">
        <v>484</v>
      </c>
      <c r="C1" s="71" t="s">
        <v>0</v>
      </c>
      <c r="D1" s="71" t="s">
        <v>2</v>
      </c>
      <c r="E1" s="71" t="s">
        <v>3</v>
      </c>
      <c r="F1" s="71" t="s">
        <v>1</v>
      </c>
      <c r="G1" s="71" t="s">
        <v>5</v>
      </c>
      <c r="H1" s="71" t="s">
        <v>4</v>
      </c>
      <c r="I1" s="72" t="s">
        <v>472</v>
      </c>
      <c r="J1" s="71" t="s">
        <v>475</v>
      </c>
      <c r="K1" s="73" t="s">
        <v>476</v>
      </c>
      <c r="L1" s="71" t="s">
        <v>485</v>
      </c>
      <c r="M1" s="71" t="s">
        <v>420</v>
      </c>
      <c r="N1" s="71" t="s">
        <v>478</v>
      </c>
      <c r="O1" s="71" t="s">
        <v>486</v>
      </c>
      <c r="P1" s="74" t="s">
        <v>487</v>
      </c>
      <c r="Q1" s="71" t="s">
        <v>488</v>
      </c>
      <c r="R1" s="71" t="s">
        <v>489</v>
      </c>
      <c r="S1" s="75" t="s">
        <v>490</v>
      </c>
    </row>
    <row r="2" customFormat="false" ht="16.85" hidden="false" customHeight="false" outlineLevel="0" collapsed="false">
      <c r="A2" s="77" t="n">
        <v>46000</v>
      </c>
      <c r="B2" s="78" t="s">
        <v>491</v>
      </c>
      <c r="C2" s="79" t="n">
        <v>35</v>
      </c>
      <c r="D2" s="79" t="str">
        <f aca="false">_xlfn.IFNA(VLOOKUP(C2,'بيانات الآليات '!A:G,3,FALSE()),"")</f>
        <v>Compactor</v>
      </c>
      <c r="E2" s="80" t="str">
        <f aca="false">_xlfn.IFNA(VLOOKUP(C2,'بيانات الآليات '!A:G,4,FALSE()),"")</f>
        <v>ضاغطة نفايات</v>
      </c>
      <c r="F2" s="81" t="n">
        <f aca="false">_xlfn.IFNA(VLOOKUP(C2,'بيانات الآليات '!A:G,2,FALSE()),"")</f>
        <v>3114655</v>
      </c>
      <c r="G2" s="81" t="str">
        <f aca="false">_xlfn.IFNA(VLOOKUP(C2,'بيانات الآليات '!A:G,6,FALSE()),"")</f>
        <v>فولفو-FM64R موديل 2016</v>
      </c>
      <c r="H2" s="81" t="str">
        <f aca="false">_xlfn.IFNA(VLOOKUP(C2,'بيانات الآليات '!A:G,5,FALSE()),"")</f>
        <v>Volvo-FM64R, 2016</v>
      </c>
      <c r="I2" s="82" t="s">
        <v>397</v>
      </c>
      <c r="J2" s="83" t="str">
        <f aca="false">_xlfn.IFNA(VLOOKUP(I2,Table14543[],2,FALSE()),"")</f>
        <v>زيت هيدروليك</v>
      </c>
      <c r="K2" s="84" t="str">
        <f aca="false">_xlfn.IFNA(VLOOKUP(I2,Table14543[],3,FALSE()),"")</f>
        <v>ISO 68</v>
      </c>
      <c r="L2" s="83" t="str">
        <f aca="false">CONCATENATE("",I2,""," ",J2," ",K2)</f>
        <v>9.2 زيت هيدروليك ISO 68</v>
      </c>
      <c r="M2" s="85" t="s">
        <v>492</v>
      </c>
      <c r="N2" s="86" t="n">
        <v>100</v>
      </c>
      <c r="O2" s="86" t="n">
        <v>15</v>
      </c>
      <c r="P2" s="86" t="n">
        <f aca="false">N2*O2</f>
        <v>1500</v>
      </c>
      <c r="Q2" s="81" t="n">
        <v>500</v>
      </c>
      <c r="R2" s="87" t="n">
        <f aca="false">(O2*N2)+Q2</f>
        <v>2000</v>
      </c>
      <c r="S2" s="88"/>
      <c r="T2" s="89"/>
      <c r="U2" s="90"/>
    </row>
    <row r="3" customFormat="false" ht="16.85" hidden="false" customHeight="false" outlineLevel="0" collapsed="false">
      <c r="A3" s="77" t="n">
        <v>46000</v>
      </c>
      <c r="B3" s="78" t="s">
        <v>491</v>
      </c>
      <c r="C3" s="79" t="n">
        <v>35</v>
      </c>
      <c r="D3" s="79" t="str">
        <f aca="false">_xlfn.IFNA(VLOOKUP(C3,'بيانات الآليات '!A:G,3,FALSE()),"")</f>
        <v>Compactor</v>
      </c>
      <c r="E3" s="80" t="str">
        <f aca="false">_xlfn.IFNA(VLOOKUP(C3,'بيانات الآليات '!A:G,4,FALSE()),"")</f>
        <v>ضاغطة نفايات</v>
      </c>
      <c r="F3" s="81" t="n">
        <f aca="false">_xlfn.IFNA(VLOOKUP(C3,'بيانات الآليات '!A:G,2,FALSE()),"")</f>
        <v>3114655</v>
      </c>
      <c r="G3" s="81" t="str">
        <f aca="false">_xlfn.IFNA(VLOOKUP(C3,'بيانات الآليات '!A:G,6,FALSE()),"")</f>
        <v>فولفو-FM64R موديل 2016</v>
      </c>
      <c r="H3" s="81" t="str">
        <f aca="false">_xlfn.IFNA(VLOOKUP(C3,'بيانات الآليات '!A:G,5,FALSE()),"")</f>
        <v>Volvo-FM64R, 2016</v>
      </c>
      <c r="I3" s="82" t="s">
        <v>264</v>
      </c>
      <c r="J3" s="83" t="str">
        <f aca="false">_xlfn.IFNA(VLOOKUP(I3,Table14543[],2,FALSE()),"")</f>
        <v>استبدال أنظمة الإضاءة</v>
      </c>
      <c r="K3" s="84" t="str">
        <f aca="false">_xlfn.IFNA(VLOOKUP(I3,Table14543[],3,FALSE()),"")</f>
        <v>replacement of lighting systems</v>
      </c>
      <c r="L3" s="83" t="str">
        <f aca="false">CONCATENATE("",I3,""," ",J3," ",K3)</f>
        <v>6.7 استبدال أنظمة الإضاءة replacement of lighting systems</v>
      </c>
      <c r="M3" s="85" t="s">
        <v>493</v>
      </c>
      <c r="N3" s="86" t="n">
        <v>1</v>
      </c>
      <c r="O3" s="86"/>
      <c r="P3" s="86" t="n">
        <f aca="false">N3*O3</f>
        <v>0</v>
      </c>
      <c r="Q3" s="86" t="n">
        <v>300</v>
      </c>
      <c r="R3" s="87" t="n">
        <f aca="false">(O3*N3)+Q3</f>
        <v>300</v>
      </c>
      <c r="S3" s="91"/>
    </row>
    <row r="4" customFormat="false" ht="16.85" hidden="false" customHeight="false" outlineLevel="0" collapsed="false">
      <c r="A4" s="77" t="n">
        <v>46000</v>
      </c>
      <c r="B4" s="78" t="s">
        <v>491</v>
      </c>
      <c r="C4" s="79" t="n">
        <v>35</v>
      </c>
      <c r="D4" s="79" t="str">
        <f aca="false">_xlfn.IFNA(VLOOKUP(C4,'بيانات الآليات '!A:G,3,FALSE()),"")</f>
        <v>Compactor</v>
      </c>
      <c r="E4" s="80" t="str">
        <f aca="false">_xlfn.IFNA(VLOOKUP(C4,'بيانات الآليات '!A:G,4,FALSE()),"")</f>
        <v>ضاغطة نفايات</v>
      </c>
      <c r="F4" s="81" t="n">
        <f aca="false">_xlfn.IFNA(VLOOKUP(C4,'بيانات الآليات '!A:G,2,FALSE()),"")</f>
        <v>3114655</v>
      </c>
      <c r="G4" s="81" t="str">
        <f aca="false">_xlfn.IFNA(VLOOKUP(C4,'بيانات الآليات '!A:G,6,FALSE()),"")</f>
        <v>فولفو-FM64R موديل 2016</v>
      </c>
      <c r="H4" s="81" t="str">
        <f aca="false">_xlfn.IFNA(VLOOKUP(C4,'بيانات الآليات '!A:G,5,FALSE()),"")</f>
        <v>Volvo-FM64R, 2016</v>
      </c>
      <c r="I4" s="82" t="s">
        <v>270</v>
      </c>
      <c r="J4" s="83" t="str">
        <f aca="false">_xlfn.IFNA(VLOOKUP(I4,Table14543[],2,FALSE()),"")</f>
        <v>اصلاح لوحة كهربائية</v>
      </c>
      <c r="K4" s="84" t="str">
        <f aca="false">_xlfn.IFNA(VLOOKUP(I4,Table14543[],3,FALSE()),"")</f>
        <v>control modules repair</v>
      </c>
      <c r="L4" s="83" t="str">
        <f aca="false">CONCATENATE("",I4,""," ",J4," ",K4)</f>
        <v>6.9 اصلاح لوحة كهربائية control modules repair</v>
      </c>
      <c r="M4" s="85" t="s">
        <v>493</v>
      </c>
      <c r="N4" s="86" t="n">
        <v>1</v>
      </c>
      <c r="O4" s="86"/>
      <c r="P4" s="86" t="n">
        <f aca="false">N4*O4</f>
        <v>0</v>
      </c>
      <c r="Q4" s="86" t="n">
        <v>100</v>
      </c>
      <c r="R4" s="87" t="n">
        <f aca="false">(O4*N4)+Q4</f>
        <v>100</v>
      </c>
      <c r="S4" s="91"/>
    </row>
    <row r="5" customFormat="false" ht="16.85" hidden="false" customHeight="false" outlineLevel="0" collapsed="false">
      <c r="A5" s="77" t="n">
        <v>46000</v>
      </c>
      <c r="B5" s="78" t="s">
        <v>491</v>
      </c>
      <c r="C5" s="79" t="n">
        <v>35</v>
      </c>
      <c r="D5" s="79" t="str">
        <f aca="false">_xlfn.IFNA(VLOOKUP(C5,'بيانات الآليات '!A:G,3,FALSE()),"")</f>
        <v>Compactor</v>
      </c>
      <c r="E5" s="80" t="str">
        <f aca="false">_xlfn.IFNA(VLOOKUP(C5,'بيانات الآليات '!A:G,4,FALSE()),"")</f>
        <v>ضاغطة نفايات</v>
      </c>
      <c r="F5" s="81" t="n">
        <f aca="false">_xlfn.IFNA(VLOOKUP(C5,'بيانات الآليات '!A:G,2,FALSE()),"")</f>
        <v>3114655</v>
      </c>
      <c r="G5" s="81" t="str">
        <f aca="false">_xlfn.IFNA(VLOOKUP(C5,'بيانات الآليات '!A:G,6,FALSE()),"")</f>
        <v>فولفو-FM64R موديل 2016</v>
      </c>
      <c r="H5" s="81" t="str">
        <f aca="false">_xlfn.IFNA(VLOOKUP(C5,'بيانات الآليات '!A:G,5,FALSE()),"")</f>
        <v>Volvo-FM64R, 2016</v>
      </c>
      <c r="I5" s="82" t="s">
        <v>393</v>
      </c>
      <c r="J5" s="83" t="str">
        <f aca="false">_xlfn.IFNA(VLOOKUP(I5,Table14543[],2,FALSE()),"")</f>
        <v>زيت محرك بكر</v>
      </c>
      <c r="K5" s="84" t="str">
        <f aca="false">_xlfn.IFNA(VLOOKUP(I5,Table14543[],3,FALSE()),"")</f>
        <v>SAE 15W 40 API-Ci4-85102464</v>
      </c>
      <c r="L5" s="83" t="str">
        <f aca="false">CONCATENATE("",I5,""," ",J5," ",K5)</f>
        <v>9.1 زيت محرك بكر SAE 15W 40 API-Ci4-85102464</v>
      </c>
      <c r="M5" s="85" t="s">
        <v>492</v>
      </c>
      <c r="N5" s="86" t="n">
        <v>30</v>
      </c>
      <c r="O5" s="86" t="n">
        <v>15</v>
      </c>
      <c r="P5" s="86" t="e">
        <f aca="false">#REF!*O5</f>
        <v>#REF!</v>
      </c>
      <c r="Q5" s="86" t="n">
        <v>150</v>
      </c>
      <c r="R5" s="87" t="n">
        <f aca="false">(O5*N5)+Q5</f>
        <v>600</v>
      </c>
      <c r="S5" s="91"/>
    </row>
    <row r="6" customFormat="false" ht="16.85" hidden="false" customHeight="false" outlineLevel="0" collapsed="false">
      <c r="A6" s="77" t="n">
        <v>46000</v>
      </c>
      <c r="B6" s="78" t="s">
        <v>491</v>
      </c>
      <c r="C6" s="79" t="n">
        <v>35</v>
      </c>
      <c r="D6" s="79" t="str">
        <f aca="false">_xlfn.IFNA(VLOOKUP(C6,'بيانات الآليات '!A:G,3,FALSE()),"")</f>
        <v>Compactor</v>
      </c>
      <c r="E6" s="80" t="str">
        <f aca="false">_xlfn.IFNA(VLOOKUP(C6,'بيانات الآليات '!A:G,4,FALSE()),"")</f>
        <v>ضاغطة نفايات</v>
      </c>
      <c r="F6" s="81" t="n">
        <f aca="false">_xlfn.IFNA(VLOOKUP(C6,'بيانات الآليات '!A:G,2,FALSE()),"")</f>
        <v>3114655</v>
      </c>
      <c r="G6" s="81" t="str">
        <f aca="false">_xlfn.IFNA(VLOOKUP(C6,'بيانات الآليات '!A:G,6,FALSE()),"")</f>
        <v>فولفو-FM64R موديل 2016</v>
      </c>
      <c r="H6" s="81" t="str">
        <f aca="false">_xlfn.IFNA(VLOOKUP(C6,'بيانات الآليات '!A:G,5,FALSE()),"")</f>
        <v>Volvo-FM64R, 2016</v>
      </c>
      <c r="I6" s="82" t="s">
        <v>107</v>
      </c>
      <c r="J6" s="83" t="str">
        <f aca="false">_xlfn.IFNA(VLOOKUP(I6,Table14543[],2,FALSE()),"")</f>
        <v>فلتر ميابيش</v>
      </c>
      <c r="K6" s="84" t="str">
        <f aca="false">_xlfn.IFNA(VLOOKUP(I6,Table14543[],3,FALSE()),"")</f>
        <v>Air Dryer Filter</v>
      </c>
      <c r="L6" s="83" t="str">
        <f aca="false">CONCATENATE("",I6,""," ",J6," ",K6)</f>
        <v>1.7 فلتر ميابيش Air Dryer Filter</v>
      </c>
      <c r="M6" s="85" t="s">
        <v>493</v>
      </c>
      <c r="N6" s="86" t="n">
        <v>1</v>
      </c>
      <c r="O6" s="86" t="n">
        <v>400</v>
      </c>
      <c r="P6" s="86" t="n">
        <f aca="false">N6*O6</f>
        <v>400</v>
      </c>
      <c r="Q6" s="86" t="n">
        <v>20</v>
      </c>
      <c r="R6" s="87" t="n">
        <f aca="false">(O6*N6)+Q6</f>
        <v>420</v>
      </c>
      <c r="S6" s="91"/>
    </row>
    <row r="7" customFormat="false" ht="16.85" hidden="false" customHeight="false" outlineLevel="0" collapsed="false">
      <c r="A7" s="77" t="n">
        <v>46000</v>
      </c>
      <c r="B7" s="78" t="s">
        <v>491</v>
      </c>
      <c r="C7" s="79" t="n">
        <v>35</v>
      </c>
      <c r="D7" s="79" t="str">
        <f aca="false">_xlfn.IFNA(VLOOKUP(C7,'بيانات الآليات '!A:G,3,FALSE()),"")</f>
        <v>Compactor</v>
      </c>
      <c r="E7" s="80" t="str">
        <f aca="false">_xlfn.IFNA(VLOOKUP(C7,'بيانات الآليات '!A:G,4,FALSE()),"")</f>
        <v>ضاغطة نفايات</v>
      </c>
      <c r="F7" s="81" t="n">
        <f aca="false">_xlfn.IFNA(VLOOKUP(C7,'بيانات الآليات '!A:G,2,FALSE()),"")</f>
        <v>3114655</v>
      </c>
      <c r="G7" s="81" t="str">
        <f aca="false">_xlfn.IFNA(VLOOKUP(C7,'بيانات الآليات '!A:G,6,FALSE()),"")</f>
        <v>فولفو-FM64R موديل 2016</v>
      </c>
      <c r="H7" s="81" t="str">
        <f aca="false">_xlfn.IFNA(VLOOKUP(C7,'بيانات الآليات '!A:G,5,FALSE()),"")</f>
        <v>Volvo-FM64R, 2016</v>
      </c>
      <c r="I7" s="82" t="s">
        <v>110</v>
      </c>
      <c r="J7" s="83" t="str">
        <f aca="false">_xlfn.IFNA(VLOOKUP(I7,Table14543[],2,FALSE()),"")</f>
        <v>فلتر هواء</v>
      </c>
      <c r="K7" s="84" t="str">
        <f aca="false">_xlfn.IFNA(VLOOKUP(I7,Table14543[],3,FALSE()),"")</f>
        <v>AIR Filter</v>
      </c>
      <c r="L7" s="83" t="str">
        <f aca="false">CONCATENATE("",I7,""," ",J7," ",K7)</f>
        <v>1.8 فلتر هواء AIR Filter</v>
      </c>
      <c r="M7" s="85" t="s">
        <v>493</v>
      </c>
      <c r="N7" s="86" t="n">
        <v>1</v>
      </c>
      <c r="O7" s="86" t="n">
        <v>600</v>
      </c>
      <c r="P7" s="86" t="n">
        <f aca="false">N7*O7</f>
        <v>600</v>
      </c>
      <c r="Q7" s="86" t="n">
        <v>20</v>
      </c>
      <c r="R7" s="87" t="n">
        <f aca="false">(O7*N7)+Q7</f>
        <v>620</v>
      </c>
      <c r="S7" s="91"/>
    </row>
    <row r="8" customFormat="false" ht="16.85" hidden="false" customHeight="false" outlineLevel="0" collapsed="false">
      <c r="A8" s="77" t="n">
        <v>46000</v>
      </c>
      <c r="B8" s="78" t="s">
        <v>491</v>
      </c>
      <c r="C8" s="79" t="n">
        <v>56</v>
      </c>
      <c r="D8" s="79" t="str">
        <f aca="false">_xlfn.IFNA(VLOOKUP(C8,'بيانات الآليات '!A:G,3,FALSE()),"")</f>
        <v>Compactor</v>
      </c>
      <c r="E8" s="80" t="str">
        <f aca="false">_xlfn.IFNA(VLOOKUP(C8,'بيانات الآليات '!A:G,4,FALSE()),"")</f>
        <v>ضاغطة نفايات</v>
      </c>
      <c r="F8" s="81" t="n">
        <f aca="false">_xlfn.IFNA(VLOOKUP(C8,'بيانات الآليات '!A:G,2,FALSE()),"")</f>
        <v>3129055</v>
      </c>
      <c r="G8" s="81" t="str">
        <f aca="false">_xlfn.IFNA(VLOOKUP(C8,'بيانات الآليات '!A:G,6,FALSE()),"")</f>
        <v>إيفيكو ML180E28، موديل 2022</v>
      </c>
      <c r="H8" s="81" t="str">
        <f aca="false">_xlfn.IFNA(VLOOKUP(C8,'بيانات الآليات '!A:G,5,FALSE()),"")</f>
        <v>Iveco ML180E28, 2022</v>
      </c>
      <c r="I8" s="82" t="s">
        <v>397</v>
      </c>
      <c r="J8" s="83" t="str">
        <f aca="false">_xlfn.IFNA(VLOOKUP(I8,Table14543[],2,FALSE()),"")</f>
        <v>زيت هيدروليك</v>
      </c>
      <c r="K8" s="84" t="str">
        <f aca="false">_xlfn.IFNA(VLOOKUP(I8,Table14543[],3,FALSE()),"")</f>
        <v>ISO 68</v>
      </c>
      <c r="L8" s="83" t="str">
        <f aca="false">CONCATENATE("",I8,""," ",J8," ",K8)</f>
        <v>9.2 زيت هيدروليك ISO 68</v>
      </c>
      <c r="M8" s="85" t="s">
        <v>492</v>
      </c>
      <c r="N8" s="86" t="n">
        <v>80</v>
      </c>
      <c r="O8" s="86" t="n">
        <v>15</v>
      </c>
      <c r="P8" s="86" t="n">
        <f aca="false">N8*O8</f>
        <v>1200</v>
      </c>
      <c r="Q8" s="86" t="n">
        <v>400</v>
      </c>
      <c r="R8" s="87" t="n">
        <f aca="false">(O8*N8)+Q8</f>
        <v>1600</v>
      </c>
      <c r="S8" s="91"/>
    </row>
    <row r="9" customFormat="false" ht="16.85" hidden="false" customHeight="false" outlineLevel="0" collapsed="false">
      <c r="A9" s="77" t="n">
        <v>46000</v>
      </c>
      <c r="B9" s="78" t="s">
        <v>491</v>
      </c>
      <c r="C9" s="79" t="n">
        <v>56</v>
      </c>
      <c r="D9" s="79" t="str">
        <f aca="false">_xlfn.IFNA(VLOOKUP(C9,'بيانات الآليات '!A:G,3,FALSE()),"")</f>
        <v>Compactor</v>
      </c>
      <c r="E9" s="80" t="str">
        <f aca="false">_xlfn.IFNA(VLOOKUP(C9,'بيانات الآليات '!A:G,4,FALSE()),"")</f>
        <v>ضاغطة نفايات</v>
      </c>
      <c r="F9" s="81" t="n">
        <f aca="false">_xlfn.IFNA(VLOOKUP(C9,'بيانات الآليات '!A:G,2,FALSE()),"")</f>
        <v>3129055</v>
      </c>
      <c r="G9" s="81" t="str">
        <f aca="false">_xlfn.IFNA(VLOOKUP(C9,'بيانات الآليات '!A:G,6,FALSE()),"")</f>
        <v>إيفيكو ML180E28، موديل 2022</v>
      </c>
      <c r="H9" s="81" t="str">
        <f aca="false">_xlfn.IFNA(VLOOKUP(C9,'بيانات الآليات '!A:G,5,FALSE()),"")</f>
        <v>Iveco ML180E28, 2022</v>
      </c>
      <c r="I9" s="82" t="s">
        <v>264</v>
      </c>
      <c r="J9" s="83" t="str">
        <f aca="false">_xlfn.IFNA(VLOOKUP(I9,Table14543[],2,FALSE()),"")</f>
        <v>استبدال أنظمة الإضاءة</v>
      </c>
      <c r="K9" s="84" t="str">
        <f aca="false">_xlfn.IFNA(VLOOKUP(I9,Table14543[],3,FALSE()),"")</f>
        <v>replacement of lighting systems</v>
      </c>
      <c r="L9" s="83" t="str">
        <f aca="false">CONCATENATE("",I9,""," ",J9," ",K9)</f>
        <v>6.7 استبدال أنظمة الإضاءة replacement of lighting systems</v>
      </c>
      <c r="M9" s="85" t="s">
        <v>493</v>
      </c>
      <c r="N9" s="86" t="n">
        <v>1</v>
      </c>
      <c r="O9" s="86"/>
      <c r="P9" s="86" t="n">
        <f aca="false">N9*O9</f>
        <v>0</v>
      </c>
      <c r="Q9" s="86" t="n">
        <v>300</v>
      </c>
      <c r="R9" s="87" t="n">
        <f aca="false">(O9*N9)+Q9</f>
        <v>300</v>
      </c>
      <c r="S9" s="91"/>
    </row>
    <row r="10" customFormat="false" ht="16.85" hidden="false" customHeight="false" outlineLevel="0" collapsed="false">
      <c r="A10" s="77" t="n">
        <v>46000</v>
      </c>
      <c r="B10" s="78" t="s">
        <v>491</v>
      </c>
      <c r="C10" s="79" t="n">
        <v>56</v>
      </c>
      <c r="D10" s="79" t="str">
        <f aca="false">_xlfn.IFNA(VLOOKUP(C10,'بيانات الآليات '!A:G,3,FALSE()),"")</f>
        <v>Compactor</v>
      </c>
      <c r="E10" s="80" t="str">
        <f aca="false">_xlfn.IFNA(VLOOKUP(C10,'بيانات الآليات '!A:G,4,FALSE()),"")</f>
        <v>ضاغطة نفايات</v>
      </c>
      <c r="F10" s="81" t="n">
        <f aca="false">_xlfn.IFNA(VLOOKUP(C10,'بيانات الآليات '!A:G,2,FALSE()),"")</f>
        <v>3129055</v>
      </c>
      <c r="G10" s="81" t="str">
        <f aca="false">_xlfn.IFNA(VLOOKUP(C10,'بيانات الآليات '!A:G,6,FALSE()),"")</f>
        <v>إيفيكو ML180E28، موديل 2022</v>
      </c>
      <c r="H10" s="81" t="str">
        <f aca="false">_xlfn.IFNA(VLOOKUP(C10,'بيانات الآليات '!A:G,5,FALSE()),"")</f>
        <v>Iveco ML180E28, 2022</v>
      </c>
      <c r="I10" s="82" t="s">
        <v>454</v>
      </c>
      <c r="J10" s="83" t="str">
        <f aca="false">_xlfn.IFNA(VLOOKUP(I10,Table14543[],2,FALSE()),"")</f>
        <v>إعادة لحام دعامات الأبواب الخلفية أو الجانبية</v>
      </c>
      <c r="K10" s="84" t="str">
        <f aca="false">_xlfn.IFNA(VLOOKUP(I10,Table14543[],3,FALSE()),"")</f>
        <v>Re-welding tailgate or side door supports</v>
      </c>
      <c r="L10" s="83" t="str">
        <f aca="false">CONCATENATE("",I10,""," ",J10," ",K10)</f>
        <v>11.9 إعادة لحام دعامات الأبواب الخلفية أو الجانبية Re-welding tailgate or side door supports</v>
      </c>
      <c r="M10" s="85" t="s">
        <v>493</v>
      </c>
      <c r="N10" s="86" t="n">
        <v>1</v>
      </c>
      <c r="O10" s="86"/>
      <c r="P10" s="86" t="n">
        <f aca="false">N10*O10</f>
        <v>0</v>
      </c>
      <c r="Q10" s="86" t="n">
        <v>100</v>
      </c>
      <c r="R10" s="87" t="n">
        <f aca="false">(O10*N10)+Q10</f>
        <v>100</v>
      </c>
      <c r="S10" s="91"/>
    </row>
    <row r="11" customFormat="false" ht="16.85" hidden="false" customHeight="false" outlineLevel="0" collapsed="false">
      <c r="A11" s="77" t="n">
        <v>46000</v>
      </c>
      <c r="B11" s="78" t="s">
        <v>491</v>
      </c>
      <c r="C11" s="79" t="n">
        <v>56</v>
      </c>
      <c r="D11" s="79" t="str">
        <f aca="false">_xlfn.IFNA(VLOOKUP(C11,'بيانات الآليات '!A:G,3,FALSE()),"")</f>
        <v>Compactor</v>
      </c>
      <c r="E11" s="80" t="str">
        <f aca="false">_xlfn.IFNA(VLOOKUP(C11,'بيانات الآليات '!A:G,4,FALSE()),"")</f>
        <v>ضاغطة نفايات</v>
      </c>
      <c r="F11" s="81" t="n">
        <f aca="false">_xlfn.IFNA(VLOOKUP(C11,'بيانات الآليات '!A:G,2,FALSE()),"")</f>
        <v>3129055</v>
      </c>
      <c r="G11" s="81" t="str">
        <f aca="false">_xlfn.IFNA(VLOOKUP(C11,'بيانات الآليات '!A:G,6,FALSE()),"")</f>
        <v>إيفيكو ML180E28، موديل 2022</v>
      </c>
      <c r="H11" s="81" t="str">
        <f aca="false">_xlfn.IFNA(VLOOKUP(C11,'بيانات الآليات '!A:G,5,FALSE()),"")</f>
        <v>Iveco ML180E28, 2022</v>
      </c>
      <c r="I11" s="82" t="s">
        <v>393</v>
      </c>
      <c r="J11" s="83" t="str">
        <f aca="false">_xlfn.IFNA(VLOOKUP(I11,Table14543[],2,FALSE()),"")</f>
        <v>زيت محرك بكر</v>
      </c>
      <c r="K11" s="84" t="str">
        <f aca="false">_xlfn.IFNA(VLOOKUP(I11,Table14543[],3,FALSE()),"")</f>
        <v>SAE 15W 40 API-Ci4-85102464</v>
      </c>
      <c r="L11" s="83" t="str">
        <f aca="false">CONCATENATE("",I11,""," ",J11," ",K11)</f>
        <v>9.1 زيت محرك بكر SAE 15W 40 API-Ci4-85102464</v>
      </c>
      <c r="M11" s="85" t="s">
        <v>492</v>
      </c>
      <c r="N11" s="86" t="n">
        <v>15</v>
      </c>
      <c r="O11" s="86" t="n">
        <v>15</v>
      </c>
      <c r="P11" s="86" t="n">
        <f aca="false">N11*O11</f>
        <v>225</v>
      </c>
      <c r="Q11" s="86" t="n">
        <v>75</v>
      </c>
      <c r="R11" s="87" t="n">
        <f aca="false">(O11*N11)+Q11</f>
        <v>300</v>
      </c>
      <c r="S11" s="91"/>
    </row>
    <row r="12" customFormat="false" ht="16.85" hidden="false" customHeight="false" outlineLevel="0" collapsed="false">
      <c r="A12" s="77" t="n">
        <v>46000</v>
      </c>
      <c r="B12" s="78" t="s">
        <v>491</v>
      </c>
      <c r="C12" s="79" t="n">
        <v>56</v>
      </c>
      <c r="D12" s="79" t="str">
        <f aca="false">_xlfn.IFNA(VLOOKUP(C12,'بيانات الآليات '!A:G,3,FALSE()),"")</f>
        <v>Compactor</v>
      </c>
      <c r="E12" s="80" t="str">
        <f aca="false">_xlfn.IFNA(VLOOKUP(C12,'بيانات الآليات '!A:G,4,FALSE()),"")</f>
        <v>ضاغطة نفايات</v>
      </c>
      <c r="F12" s="81" t="n">
        <f aca="false">_xlfn.IFNA(VLOOKUP(C12,'بيانات الآليات '!A:G,2,FALSE()),"")</f>
        <v>3129055</v>
      </c>
      <c r="G12" s="81" t="str">
        <f aca="false">_xlfn.IFNA(VLOOKUP(C12,'بيانات الآليات '!A:G,6,FALSE()),"")</f>
        <v>إيفيكو ML180E28، موديل 2022</v>
      </c>
      <c r="H12" s="81" t="str">
        <f aca="false">_xlfn.IFNA(VLOOKUP(C12,'بيانات الآليات '!A:G,5,FALSE()),"")</f>
        <v>Iveco ML180E28, 2022</v>
      </c>
      <c r="I12" s="82" t="s">
        <v>110</v>
      </c>
      <c r="J12" s="83" t="str">
        <f aca="false">_xlfn.IFNA(VLOOKUP(I12,Table14543[],2,FALSE()),"")</f>
        <v>فلتر هواء</v>
      </c>
      <c r="K12" s="84" t="str">
        <f aca="false">_xlfn.IFNA(VLOOKUP(I12,Table14543[],3,FALSE()),"")</f>
        <v>AIR Filter</v>
      </c>
      <c r="L12" s="83" t="str">
        <f aca="false">CONCATENATE("",I12,""," ",J12," ",K12)</f>
        <v>1.8 فلتر هواء AIR Filter</v>
      </c>
      <c r="M12" s="85" t="s">
        <v>493</v>
      </c>
      <c r="N12" s="86" t="n">
        <v>1</v>
      </c>
      <c r="O12" s="86" t="n">
        <v>450</v>
      </c>
      <c r="P12" s="86" t="n">
        <f aca="false">N12*O12</f>
        <v>450</v>
      </c>
      <c r="Q12" s="86" t="n">
        <v>20</v>
      </c>
      <c r="R12" s="87" t="n">
        <f aca="false">(O12*N12)+Q12</f>
        <v>470</v>
      </c>
      <c r="S12" s="91"/>
    </row>
    <row r="13" customFormat="false" ht="16.85" hidden="false" customHeight="false" outlineLevel="0" collapsed="false">
      <c r="A13" s="77" t="n">
        <v>46000</v>
      </c>
      <c r="B13" s="78" t="s">
        <v>491</v>
      </c>
      <c r="C13" s="79" t="n">
        <v>400</v>
      </c>
      <c r="D13" s="79" t="str">
        <f aca="false">_xlfn.IFNA(VLOOKUP(C13,'بيانات الآليات '!A:G,3,FALSE()),"")</f>
        <v>Roll on/off</v>
      </c>
      <c r="E13" s="80" t="str">
        <f aca="false">_xlfn.IFNA(VLOOKUP(C13,'بيانات الآليات '!A:G,4,FALSE()),"")</f>
        <v>رمثة - شاحنة كبيرة</v>
      </c>
      <c r="F13" s="81" t="n">
        <f aca="false">_xlfn.IFNA(VLOOKUP(C13,'بيانات الآليات '!A:G,2,FALSE()),"")</f>
        <v>3113855</v>
      </c>
      <c r="G13" s="81" t="str">
        <f aca="false">_xlfn.IFNA(VLOOKUP(C13,'بيانات الآليات '!A:G,6,FALSE()),"")</f>
        <v>فولفو FM84FR، موديل ٢٠١٦</v>
      </c>
      <c r="H13" s="81" t="str">
        <f aca="false">_xlfn.IFNA(VLOOKUP(C13,'بيانات الآليات '!A:G,5,FALSE()),"")</f>
        <v>Volvo-FM84FR, 2016</v>
      </c>
      <c r="I13" s="82" t="s">
        <v>397</v>
      </c>
      <c r="J13" s="83" t="str">
        <f aca="false">_xlfn.IFNA(VLOOKUP(I13,Table14543[],2,FALSE()),"")</f>
        <v>زيت هيدروليك</v>
      </c>
      <c r="K13" s="84" t="str">
        <f aca="false">_xlfn.IFNA(VLOOKUP(I13,Table14543[],3,FALSE()),"")</f>
        <v>ISO 68</v>
      </c>
      <c r="L13" s="83" t="str">
        <f aca="false">CONCATENATE("",I13,""," ",J13," ",K13)</f>
        <v>9.2 زيت هيدروليك ISO 68</v>
      </c>
      <c r="M13" s="85" t="s">
        <v>492</v>
      </c>
      <c r="N13" s="86" t="n">
        <v>50</v>
      </c>
      <c r="O13" s="86" t="n">
        <v>15</v>
      </c>
      <c r="P13" s="86" t="n">
        <f aca="false">N13*O13</f>
        <v>750</v>
      </c>
      <c r="Q13" s="86" t="n">
        <v>250</v>
      </c>
      <c r="R13" s="87" t="n">
        <f aca="false">(O13*N13)+Q13</f>
        <v>1000</v>
      </c>
      <c r="S13" s="91"/>
    </row>
    <row r="14" customFormat="false" ht="16.85" hidden="false" customHeight="false" outlineLevel="0" collapsed="false">
      <c r="A14" s="77" t="n">
        <v>46000</v>
      </c>
      <c r="B14" s="78" t="s">
        <v>491</v>
      </c>
      <c r="C14" s="79" t="n">
        <v>400</v>
      </c>
      <c r="D14" s="79" t="str">
        <f aca="false">_xlfn.IFNA(VLOOKUP(C14,'بيانات الآليات '!A:G,3,FALSE()),"")</f>
        <v>Roll on/off</v>
      </c>
      <c r="E14" s="80" t="str">
        <f aca="false">_xlfn.IFNA(VLOOKUP(C14,'بيانات الآليات '!A:G,4,FALSE()),"")</f>
        <v>رمثة - شاحنة كبيرة</v>
      </c>
      <c r="F14" s="81" t="n">
        <f aca="false">_xlfn.IFNA(VLOOKUP(C14,'بيانات الآليات '!A:G,2,FALSE()),"")</f>
        <v>3113855</v>
      </c>
      <c r="G14" s="81" t="str">
        <f aca="false">_xlfn.IFNA(VLOOKUP(C14,'بيانات الآليات '!A:G,6,FALSE()),"")</f>
        <v>فولفو FM84FR، موديل ٢٠١٦</v>
      </c>
      <c r="H14" s="81" t="str">
        <f aca="false">_xlfn.IFNA(VLOOKUP(C14,'بيانات الآليات '!A:G,5,FALSE()),"")</f>
        <v>Volvo-FM84FR, 2016</v>
      </c>
      <c r="I14" s="82" t="s">
        <v>264</v>
      </c>
      <c r="J14" s="83" t="str">
        <f aca="false">_xlfn.IFNA(VLOOKUP(I14,Table14543[],2,FALSE()),"")</f>
        <v>استبدال أنظمة الإضاءة</v>
      </c>
      <c r="K14" s="84" t="str">
        <f aca="false">_xlfn.IFNA(VLOOKUP(I14,Table14543[],3,FALSE()),"")</f>
        <v>replacement of lighting systems</v>
      </c>
      <c r="L14" s="83" t="str">
        <f aca="false">CONCATENATE("",I14,""," ",J14," ",K14)</f>
        <v>6.7 استبدال أنظمة الإضاءة replacement of lighting systems</v>
      </c>
      <c r="M14" s="85" t="s">
        <v>493</v>
      </c>
      <c r="N14" s="86" t="n">
        <v>1</v>
      </c>
      <c r="O14" s="86"/>
      <c r="P14" s="86" t="n">
        <f aca="false">N14*O14</f>
        <v>0</v>
      </c>
      <c r="Q14" s="86" t="n">
        <v>300</v>
      </c>
      <c r="R14" s="87" t="n">
        <f aca="false">(O14*N14)+Q14</f>
        <v>300</v>
      </c>
      <c r="S14" s="91"/>
    </row>
    <row r="15" customFormat="false" ht="16.85" hidden="false" customHeight="false" outlineLevel="0" collapsed="false">
      <c r="A15" s="77" t="n">
        <v>46000</v>
      </c>
      <c r="B15" s="78" t="s">
        <v>491</v>
      </c>
      <c r="C15" s="79" t="n">
        <v>400</v>
      </c>
      <c r="D15" s="79" t="str">
        <f aca="false">_xlfn.IFNA(VLOOKUP(C15,'بيانات الآليات '!A:G,3,FALSE()),"")</f>
        <v>Roll on/off</v>
      </c>
      <c r="E15" s="80" t="str">
        <f aca="false">_xlfn.IFNA(VLOOKUP(C15,'بيانات الآليات '!A:G,4,FALSE()),"")</f>
        <v>رمثة - شاحنة كبيرة</v>
      </c>
      <c r="F15" s="81" t="n">
        <f aca="false">_xlfn.IFNA(VLOOKUP(C15,'بيانات الآليات '!A:G,2,FALSE()),"")</f>
        <v>3113855</v>
      </c>
      <c r="G15" s="81" t="str">
        <f aca="false">_xlfn.IFNA(VLOOKUP(C15,'بيانات الآليات '!A:G,6,FALSE()),"")</f>
        <v>فولفو FM84FR، موديل ٢٠١٦</v>
      </c>
      <c r="H15" s="81" t="str">
        <f aca="false">_xlfn.IFNA(VLOOKUP(C15,'بيانات الآليات '!A:G,5,FALSE()),"")</f>
        <v>Volvo-FM84FR, 2016</v>
      </c>
      <c r="I15" s="82" t="s">
        <v>107</v>
      </c>
      <c r="J15" s="83" t="str">
        <f aca="false">_xlfn.IFNA(VLOOKUP(I15,Table14543[],2,FALSE()),"")</f>
        <v>فلتر ميابيش</v>
      </c>
      <c r="K15" s="84" t="str">
        <f aca="false">_xlfn.IFNA(VLOOKUP(I15,Table14543[],3,FALSE()),"")</f>
        <v>Air Dryer Filter</v>
      </c>
      <c r="L15" s="83" t="str">
        <f aca="false">CONCATENATE("",I15,""," ",J15," ",K15)</f>
        <v>1.7 فلتر ميابيش Air Dryer Filter</v>
      </c>
      <c r="M15" s="85" t="s">
        <v>493</v>
      </c>
      <c r="N15" s="86" t="n">
        <v>1</v>
      </c>
      <c r="O15" s="86" t="n">
        <v>400</v>
      </c>
      <c r="P15" s="86" t="n">
        <f aca="false">N15*O15</f>
        <v>400</v>
      </c>
      <c r="Q15" s="86" t="n">
        <v>20</v>
      </c>
      <c r="R15" s="87" t="n">
        <f aca="false">(O15*N15)+Q15</f>
        <v>420</v>
      </c>
      <c r="S15" s="91"/>
    </row>
    <row r="16" customFormat="false" ht="16.85" hidden="false" customHeight="false" outlineLevel="0" collapsed="false">
      <c r="A16" s="77" t="n">
        <v>46000</v>
      </c>
      <c r="B16" s="78" t="s">
        <v>491</v>
      </c>
      <c r="C16" s="79" t="n">
        <v>400</v>
      </c>
      <c r="D16" s="79" t="str">
        <f aca="false">_xlfn.IFNA(VLOOKUP(C16,'بيانات الآليات '!A:G,3,FALSE()),"")</f>
        <v>Roll on/off</v>
      </c>
      <c r="E16" s="80" t="str">
        <f aca="false">_xlfn.IFNA(VLOOKUP(C16,'بيانات الآليات '!A:G,4,FALSE()),"")</f>
        <v>رمثة - شاحنة كبيرة</v>
      </c>
      <c r="F16" s="81" t="n">
        <f aca="false">_xlfn.IFNA(VLOOKUP(C16,'بيانات الآليات '!A:G,2,FALSE()),"")</f>
        <v>3113855</v>
      </c>
      <c r="G16" s="81" t="str">
        <f aca="false">_xlfn.IFNA(VLOOKUP(C16,'بيانات الآليات '!A:G,6,FALSE()),"")</f>
        <v>فولفو FM84FR، موديل ٢٠١٦</v>
      </c>
      <c r="H16" s="81" t="str">
        <f aca="false">_xlfn.IFNA(VLOOKUP(C16,'بيانات الآليات '!A:G,5,FALSE()),"")</f>
        <v>Volvo-FM84FR, 2016</v>
      </c>
      <c r="I16" s="82" t="s">
        <v>393</v>
      </c>
      <c r="J16" s="83" t="str">
        <f aca="false">_xlfn.IFNA(VLOOKUP(I16,Table14543[],2,FALSE()),"")</f>
        <v>زيت محرك بكر</v>
      </c>
      <c r="K16" s="84" t="str">
        <f aca="false">_xlfn.IFNA(VLOOKUP(I16,Table14543[],3,FALSE()),"")</f>
        <v>SAE 15W 40 API-Ci4-85102464</v>
      </c>
      <c r="L16" s="83" t="str">
        <f aca="false">CONCATENATE("",I16,""," ",J16," ",K16)</f>
        <v>9.1 زيت محرك بكر SAE 15W 40 API-Ci4-85102464</v>
      </c>
      <c r="M16" s="85" t="s">
        <v>492</v>
      </c>
      <c r="N16" s="86" t="n">
        <v>30</v>
      </c>
      <c r="O16" s="86" t="n">
        <v>15</v>
      </c>
      <c r="P16" s="86" t="n">
        <f aca="false">N16*O16</f>
        <v>450</v>
      </c>
      <c r="Q16" s="86" t="n">
        <v>150</v>
      </c>
      <c r="R16" s="87" t="n">
        <f aca="false">(O16*N16)+Q16</f>
        <v>600</v>
      </c>
      <c r="S16" s="91"/>
    </row>
    <row r="17" customFormat="false" ht="16.85" hidden="false" customHeight="false" outlineLevel="0" collapsed="false">
      <c r="A17" s="77" t="n">
        <v>46000</v>
      </c>
      <c r="B17" s="78" t="s">
        <v>491</v>
      </c>
      <c r="C17" s="79" t="n">
        <v>400</v>
      </c>
      <c r="D17" s="79" t="str">
        <f aca="false">_xlfn.IFNA(VLOOKUP(C17,'بيانات الآليات '!A:G,3,FALSE()),"")</f>
        <v>Roll on/off</v>
      </c>
      <c r="E17" s="80" t="str">
        <f aca="false">_xlfn.IFNA(VLOOKUP(C17,'بيانات الآليات '!A:G,4,FALSE()),"")</f>
        <v>رمثة - شاحنة كبيرة</v>
      </c>
      <c r="F17" s="81" t="n">
        <f aca="false">_xlfn.IFNA(VLOOKUP(C17,'بيانات الآليات '!A:G,2,FALSE()),"")</f>
        <v>3113855</v>
      </c>
      <c r="G17" s="81" t="str">
        <f aca="false">_xlfn.IFNA(VLOOKUP(C17,'بيانات الآليات '!A:G,6,FALSE()),"")</f>
        <v>فولفو FM84FR، موديل ٢٠١٦</v>
      </c>
      <c r="H17" s="81" t="str">
        <f aca="false">_xlfn.IFNA(VLOOKUP(C17,'بيانات الآليات '!A:G,5,FALSE()),"")</f>
        <v>Volvo-FM84FR, 2016</v>
      </c>
      <c r="I17" s="82" t="s">
        <v>110</v>
      </c>
      <c r="J17" s="83" t="str">
        <f aca="false">_xlfn.IFNA(VLOOKUP(I17,Table14543[],2,FALSE()),"")</f>
        <v>فلتر هواء</v>
      </c>
      <c r="K17" s="84" t="str">
        <f aca="false">_xlfn.IFNA(VLOOKUP(I17,Table14543[],3,FALSE()),"")</f>
        <v>AIR Filter</v>
      </c>
      <c r="L17" s="83" t="str">
        <f aca="false">CONCATENATE("",I17,""," ",J17," ",K17)</f>
        <v>1.8 فلتر هواء AIR Filter</v>
      </c>
      <c r="M17" s="85" t="s">
        <v>493</v>
      </c>
      <c r="N17" s="86" t="n">
        <v>1</v>
      </c>
      <c r="O17" s="86" t="n">
        <v>600</v>
      </c>
      <c r="P17" s="86" t="n">
        <f aca="false">N17*O17</f>
        <v>600</v>
      </c>
      <c r="Q17" s="86" t="n">
        <v>20</v>
      </c>
      <c r="R17" s="87" t="n">
        <f aca="false">(O17*N17)+Q17</f>
        <v>620</v>
      </c>
      <c r="S17" s="91"/>
    </row>
    <row r="18" customFormat="false" ht="16.85" hidden="false" customHeight="false" outlineLevel="0" collapsed="false">
      <c r="A18" s="77" t="n">
        <v>46002</v>
      </c>
      <c r="B18" s="78" t="s">
        <v>494</v>
      </c>
      <c r="C18" s="79" t="n">
        <v>16</v>
      </c>
      <c r="D18" s="79" t="str">
        <f aca="false">_xlfn.IFNA(VLOOKUP(C18,'بيانات الآليات '!A:G,3,FALSE()),"")</f>
        <v>Tipper Crane</v>
      </c>
      <c r="E18" s="80" t="str">
        <f aca="false">_xlfn.IFNA(VLOOKUP(C18,'بيانات الآليات '!A:G,4,FALSE()),"")</f>
        <v>رافعة قلاب</v>
      </c>
      <c r="F18" s="81" t="n">
        <f aca="false">_xlfn.IFNA(VLOOKUP(C18,'بيانات الآليات '!A:G,2,FALSE()),"")</f>
        <v>3065055</v>
      </c>
      <c r="G18" s="81" t="str">
        <f aca="false">_xlfn.IFNA(VLOOKUP(C18,'بيانات الآليات '!A:G,6,FALSE()),"")</f>
        <v>فولفو FL 619 موديل 1995</v>
      </c>
      <c r="H18" s="81" t="str">
        <f aca="false">_xlfn.IFNA(VLOOKUP(C18,'بيانات الآليات '!A:G,5,FALSE()),"")</f>
        <v>Volvo FL 619, 1995</v>
      </c>
      <c r="I18" s="92" t="s">
        <v>393</v>
      </c>
      <c r="J18" s="83" t="str">
        <f aca="false">_xlfn.IFNA(VLOOKUP(I18,Table14543[],2,FALSE()),"")</f>
        <v>زيت محرك بكر</v>
      </c>
      <c r="K18" s="84" t="str">
        <f aca="false">_xlfn.IFNA(VLOOKUP(I18,Table14543[],3,FALSE()),"")</f>
        <v>SAE 15W 40 API-Ci4-85102464</v>
      </c>
      <c r="L18" s="83" t="str">
        <f aca="false">CONCATENATE("",I18,""," ",J18," ",K18)</f>
        <v>9.1 زيت محرك بكر SAE 15W 40 API-Ci4-85102464</v>
      </c>
      <c r="M18" s="85" t="s">
        <v>493</v>
      </c>
      <c r="N18" s="86"/>
      <c r="O18" s="86"/>
      <c r="P18" s="86" t="n">
        <f aca="false">N18*O18</f>
        <v>0</v>
      </c>
      <c r="Q18" s="86"/>
      <c r="R18" s="87" t="n">
        <f aca="false">(O18*N18)+Q18</f>
        <v>0</v>
      </c>
      <c r="S18" s="91"/>
    </row>
    <row r="19" customFormat="false" ht="14.25" hidden="false" customHeight="false" outlineLevel="0" collapsed="false">
      <c r="A19" s="77"/>
      <c r="B19" s="78"/>
      <c r="C19" s="79"/>
      <c r="D19" s="79"/>
      <c r="E19" s="80" t="str">
        <f aca="false">_xlfn.IFNA(VLOOKUP(C19,'بيانات الآليات '!A:G,4,FALSE()),"")</f>
        <v/>
      </c>
      <c r="F19" s="81" t="str">
        <f aca="false">_xlfn.IFNA(VLOOKUP(C19,'بيانات الآليات '!A:G,2,FALSE()),"")</f>
        <v/>
      </c>
      <c r="G19" s="81"/>
      <c r="H19" s="81" t="str">
        <f aca="false">_xlfn.IFNA(VLOOKUP(C19,'بيانات الآليات '!A:G,5,FALSE()),"")</f>
        <v/>
      </c>
      <c r="I19" s="82"/>
      <c r="J19" s="83" t="str">
        <f aca="false">_xlfn.IFNA(VLOOKUP(I19,Table14543[],2,FALSE()),"")</f>
        <v/>
      </c>
      <c r="K19" s="84" t="str">
        <f aca="false">_xlfn.IFNA(VLOOKUP(I19,Table14543[],3,FALSE()),"")</f>
        <v/>
      </c>
      <c r="L19" s="83" t="str">
        <f aca="false">CONCATENATE("",I19,""," ",J19," ",K19)</f>
        <v>  </v>
      </c>
      <c r="M19" s="85"/>
      <c r="N19" s="86"/>
      <c r="O19" s="86"/>
      <c r="P19" s="86" t="n">
        <f aca="false">N19*O19</f>
        <v>0</v>
      </c>
      <c r="Q19" s="86"/>
      <c r="R19" s="87" t="n">
        <f aca="false">(O19*N19)+Q19</f>
        <v>0</v>
      </c>
      <c r="S19" s="91"/>
    </row>
    <row r="20" customFormat="false" ht="14.25" hidden="false" customHeight="false" outlineLevel="0" collapsed="false">
      <c r="A20" s="77"/>
      <c r="B20" s="78"/>
      <c r="C20" s="79"/>
      <c r="D20" s="79"/>
      <c r="E20" s="80" t="str">
        <f aca="false">_xlfn.IFNA(VLOOKUP(C20,'بيانات الآليات '!A:G,4,FALSE()),"")</f>
        <v/>
      </c>
      <c r="F20" s="81" t="str">
        <f aca="false">_xlfn.IFNA(VLOOKUP(C20,'بيانات الآليات '!A:G,2,FALSE()),"")</f>
        <v/>
      </c>
      <c r="G20" s="81"/>
      <c r="H20" s="81" t="str">
        <f aca="false">_xlfn.IFNA(VLOOKUP(C20,'بيانات الآليات '!A:G,5,FALSE()),"")</f>
        <v/>
      </c>
      <c r="I20" s="82"/>
      <c r="J20" s="83" t="str">
        <f aca="false">_xlfn.IFNA(VLOOKUP(I20,Table14543[],2,FALSE()),"")</f>
        <v/>
      </c>
      <c r="K20" s="84" t="str">
        <f aca="false">_xlfn.IFNA(VLOOKUP(I20,Table14543[],3,FALSE()),"")</f>
        <v/>
      </c>
      <c r="L20" s="83" t="str">
        <f aca="false">CONCATENATE("",I20,""," ",J20," ",K20)</f>
        <v>  </v>
      </c>
      <c r="M20" s="85"/>
      <c r="N20" s="86"/>
      <c r="O20" s="86"/>
      <c r="P20" s="86" t="n">
        <f aca="false">N20*O20</f>
        <v>0</v>
      </c>
      <c r="Q20" s="86"/>
      <c r="R20" s="87" t="n">
        <f aca="false">(O20*N20)+Q20</f>
        <v>0</v>
      </c>
      <c r="S20" s="91"/>
    </row>
    <row r="21" customFormat="false" ht="14.25" hidden="false" customHeight="false" outlineLevel="0" collapsed="false">
      <c r="A21" s="77"/>
      <c r="B21" s="78"/>
      <c r="C21" s="79"/>
      <c r="D21" s="79"/>
      <c r="E21" s="80" t="str">
        <f aca="false">_xlfn.IFNA(VLOOKUP(C21,'بيانات الآليات '!A:G,4,FALSE()),"")</f>
        <v/>
      </c>
      <c r="F21" s="81" t="str">
        <f aca="false">_xlfn.IFNA(VLOOKUP(C21,'بيانات الآليات '!A:G,2,FALSE()),"")</f>
        <v/>
      </c>
      <c r="G21" s="81"/>
      <c r="H21" s="81" t="str">
        <f aca="false">_xlfn.IFNA(VLOOKUP(C21,'بيانات الآليات '!A:G,5,FALSE()),"")</f>
        <v/>
      </c>
      <c r="I21" s="82"/>
      <c r="J21" s="83" t="str">
        <f aca="false">_xlfn.IFNA(VLOOKUP(I21,Table14543[],2,FALSE()),"")</f>
        <v/>
      </c>
      <c r="K21" s="84" t="str">
        <f aca="false">_xlfn.IFNA(VLOOKUP(I21,Table14543[],3,FALSE()),"")</f>
        <v/>
      </c>
      <c r="L21" s="83" t="str">
        <f aca="false">CONCATENATE("",I21,""," ",J21," ",K21)</f>
        <v>  </v>
      </c>
      <c r="M21" s="85"/>
      <c r="N21" s="86"/>
      <c r="O21" s="86"/>
      <c r="P21" s="86" t="n">
        <f aca="false">N21*O21</f>
        <v>0</v>
      </c>
      <c r="Q21" s="86"/>
      <c r="R21" s="87" t="n">
        <f aca="false">(O21*N21)+Q21</f>
        <v>0</v>
      </c>
      <c r="S21" s="91"/>
    </row>
    <row r="22" customFormat="false" ht="14.25" hidden="false" customHeight="false" outlineLevel="0" collapsed="false">
      <c r="A22" s="77"/>
      <c r="B22" s="78"/>
      <c r="C22" s="79"/>
      <c r="D22" s="79"/>
      <c r="E22" s="80" t="str">
        <f aca="false">_xlfn.IFNA(VLOOKUP(C22,'بيانات الآليات '!A:G,4,FALSE()),"")</f>
        <v/>
      </c>
      <c r="F22" s="81" t="str">
        <f aca="false">_xlfn.IFNA(VLOOKUP(C22,'بيانات الآليات '!A:G,2,FALSE()),"")</f>
        <v/>
      </c>
      <c r="G22" s="81"/>
      <c r="H22" s="81" t="str">
        <f aca="false">_xlfn.IFNA(VLOOKUP(C22,'بيانات الآليات '!A:G,5,FALSE()),"")</f>
        <v/>
      </c>
      <c r="I22" s="82"/>
      <c r="J22" s="83" t="str">
        <f aca="false">_xlfn.IFNA(VLOOKUP(I22,Table14543[],2,FALSE()),"")</f>
        <v/>
      </c>
      <c r="K22" s="84" t="str">
        <f aca="false">_xlfn.IFNA(VLOOKUP(I22,Table14543[],3,FALSE()),"")</f>
        <v/>
      </c>
      <c r="L22" s="83" t="str">
        <f aca="false">CONCATENATE("",I22,""," ",J22," ",K22)</f>
        <v>  </v>
      </c>
      <c r="M22" s="85"/>
      <c r="N22" s="86"/>
      <c r="O22" s="86"/>
      <c r="P22" s="86" t="n">
        <f aca="false">N22*O22</f>
        <v>0</v>
      </c>
      <c r="Q22" s="86"/>
      <c r="R22" s="87" t="n">
        <f aca="false">(O22*N22)+Q22</f>
        <v>0</v>
      </c>
      <c r="S22" s="91"/>
    </row>
    <row r="23" customFormat="false" ht="14.25" hidden="false" customHeight="false" outlineLevel="0" collapsed="false">
      <c r="A23" s="77"/>
      <c r="B23" s="78"/>
      <c r="C23" s="79"/>
      <c r="D23" s="79"/>
      <c r="E23" s="80" t="str">
        <f aca="false">_xlfn.IFNA(VLOOKUP(C23,'بيانات الآليات '!A:G,4,FALSE()),"")</f>
        <v/>
      </c>
      <c r="F23" s="81" t="str">
        <f aca="false">_xlfn.IFNA(VLOOKUP(C23,'بيانات الآليات '!A:G,2,FALSE()),"")</f>
        <v/>
      </c>
      <c r="G23" s="81"/>
      <c r="H23" s="81" t="str">
        <f aca="false">_xlfn.IFNA(VLOOKUP(C23,'بيانات الآليات '!A:G,5,FALSE()),"")</f>
        <v/>
      </c>
      <c r="I23" s="82"/>
      <c r="J23" s="83" t="str">
        <f aca="false">_xlfn.IFNA(VLOOKUP(I23,Table14543[],2,FALSE()),"")</f>
        <v/>
      </c>
      <c r="K23" s="84" t="str">
        <f aca="false">_xlfn.IFNA(VLOOKUP(I23,Table14543[],3,FALSE()),"")</f>
        <v/>
      </c>
      <c r="L23" s="83" t="str">
        <f aca="false">CONCATENATE("",I23,""," ",J23," ",K23)</f>
        <v>  </v>
      </c>
      <c r="M23" s="85"/>
      <c r="N23" s="86"/>
      <c r="O23" s="86"/>
      <c r="P23" s="86" t="n">
        <f aca="false">N23*O23</f>
        <v>0</v>
      </c>
      <c r="Q23" s="86"/>
      <c r="R23" s="87" t="n">
        <f aca="false">(O23*N23)+Q23</f>
        <v>0</v>
      </c>
      <c r="S23" s="91"/>
    </row>
    <row r="24" customFormat="false" ht="14.25" hidden="false" customHeight="false" outlineLevel="0" collapsed="false">
      <c r="A24" s="77"/>
      <c r="B24" s="78"/>
      <c r="C24" s="79"/>
      <c r="D24" s="79"/>
      <c r="E24" s="80" t="str">
        <f aca="false">_xlfn.IFNA(VLOOKUP(C24,'بيانات الآليات '!A:G,4,FALSE()),"")</f>
        <v/>
      </c>
      <c r="F24" s="81" t="str">
        <f aca="false">_xlfn.IFNA(VLOOKUP(C24,'بيانات الآليات '!A:G,2,FALSE()),"")</f>
        <v/>
      </c>
      <c r="G24" s="81"/>
      <c r="H24" s="81" t="str">
        <f aca="false">_xlfn.IFNA(VLOOKUP(C24,'بيانات الآليات '!A:G,5,FALSE()),"")</f>
        <v/>
      </c>
      <c r="I24" s="82"/>
      <c r="J24" s="83" t="str">
        <f aca="false">_xlfn.IFNA(VLOOKUP(I24,Table14543[],2,FALSE()),"")</f>
        <v/>
      </c>
      <c r="K24" s="84" t="str">
        <f aca="false">_xlfn.IFNA(VLOOKUP(I24,Table14543[],3,FALSE()),"")</f>
        <v/>
      </c>
      <c r="L24" s="83" t="str">
        <f aca="false">CONCATENATE("",I24,""," ",J24," ",K24)</f>
        <v>  </v>
      </c>
      <c r="M24" s="85"/>
      <c r="N24" s="86"/>
      <c r="O24" s="86"/>
      <c r="P24" s="86" t="n">
        <f aca="false">N24*O24</f>
        <v>0</v>
      </c>
      <c r="Q24" s="86"/>
      <c r="R24" s="87" t="n">
        <f aca="false">(O24*N24)+Q24</f>
        <v>0</v>
      </c>
      <c r="S24" s="91"/>
    </row>
    <row r="25" customFormat="false" ht="14.25" hidden="false" customHeight="false" outlineLevel="0" collapsed="false">
      <c r="A25" s="77"/>
      <c r="B25" s="78"/>
      <c r="C25" s="79"/>
      <c r="D25" s="79"/>
      <c r="E25" s="80" t="str">
        <f aca="false">_xlfn.IFNA(VLOOKUP(C25,'بيانات الآليات '!A:G,4,FALSE()),"")</f>
        <v/>
      </c>
      <c r="F25" s="81" t="str">
        <f aca="false">_xlfn.IFNA(VLOOKUP(C25,'بيانات الآليات '!A:G,2,FALSE()),"")</f>
        <v/>
      </c>
      <c r="G25" s="81"/>
      <c r="H25" s="81" t="str">
        <f aca="false">_xlfn.IFNA(VLOOKUP(C25,'بيانات الآليات '!A:G,5,FALSE()),"")</f>
        <v/>
      </c>
      <c r="I25" s="82"/>
      <c r="J25" s="83" t="str">
        <f aca="false">_xlfn.IFNA(VLOOKUP(I25,Table14543[],2,FALSE()),"")</f>
        <v/>
      </c>
      <c r="K25" s="84" t="str">
        <f aca="false">_xlfn.IFNA(VLOOKUP(I25,Table14543[],3,FALSE()),"")</f>
        <v/>
      </c>
      <c r="L25" s="83" t="str">
        <f aca="false">CONCATENATE("",I25,""," ",J25," ",K25)</f>
        <v>  </v>
      </c>
      <c r="M25" s="85"/>
      <c r="N25" s="86"/>
      <c r="O25" s="86"/>
      <c r="P25" s="86" t="n">
        <f aca="false">N25*O25</f>
        <v>0</v>
      </c>
      <c r="Q25" s="86"/>
      <c r="R25" s="87" t="n">
        <f aca="false">(O25*N25)+Q25</f>
        <v>0</v>
      </c>
      <c r="S25" s="91"/>
    </row>
    <row r="26" customFormat="false" ht="14.25" hidden="false" customHeight="false" outlineLevel="0" collapsed="false">
      <c r="A26" s="77"/>
      <c r="B26" s="78"/>
      <c r="C26" s="79"/>
      <c r="D26" s="79"/>
      <c r="E26" s="80" t="str">
        <f aca="false">_xlfn.IFNA(VLOOKUP(C26,'بيانات الآليات '!A:G,4,FALSE()),"")</f>
        <v/>
      </c>
      <c r="F26" s="81" t="str">
        <f aca="false">_xlfn.IFNA(VLOOKUP(C26,'بيانات الآليات '!A:G,2,FALSE()),"")</f>
        <v/>
      </c>
      <c r="G26" s="81"/>
      <c r="H26" s="81" t="str">
        <f aca="false">_xlfn.IFNA(VLOOKUP(C26,'بيانات الآليات '!A:G,5,FALSE()),"")</f>
        <v/>
      </c>
      <c r="I26" s="82"/>
      <c r="J26" s="83" t="str">
        <f aca="false">_xlfn.IFNA(VLOOKUP(I26,Table14543[],2,FALSE()),"")</f>
        <v/>
      </c>
      <c r="K26" s="84" t="str">
        <f aca="false">_xlfn.IFNA(VLOOKUP(I26,Table14543[],3,FALSE()),"")</f>
        <v/>
      </c>
      <c r="L26" s="83" t="str">
        <f aca="false">CONCATENATE("",I26,""," ",J26," ",K26)</f>
        <v>  </v>
      </c>
      <c r="M26" s="85"/>
      <c r="N26" s="86"/>
      <c r="O26" s="86"/>
      <c r="P26" s="86" t="n">
        <f aca="false">N26*O26</f>
        <v>0</v>
      </c>
      <c r="Q26" s="86"/>
      <c r="R26" s="87" t="n">
        <f aca="false">(O26*N26)+Q26</f>
        <v>0</v>
      </c>
      <c r="S26" s="91"/>
    </row>
    <row r="27" customFormat="false" ht="14.25" hidden="false" customHeight="false" outlineLevel="0" collapsed="false">
      <c r="A27" s="77"/>
      <c r="B27" s="78"/>
      <c r="C27" s="79"/>
      <c r="D27" s="79"/>
      <c r="E27" s="80" t="str">
        <f aca="false">_xlfn.IFNA(VLOOKUP(C27,'بيانات الآليات '!A:G,4,FALSE()),"")</f>
        <v/>
      </c>
      <c r="F27" s="81" t="str">
        <f aca="false">_xlfn.IFNA(VLOOKUP(C27,'بيانات الآليات '!A:G,2,FALSE()),"")</f>
        <v/>
      </c>
      <c r="G27" s="81"/>
      <c r="H27" s="81" t="str">
        <f aca="false">_xlfn.IFNA(VLOOKUP(C27,'بيانات الآليات '!A:G,5,FALSE()),"")</f>
        <v/>
      </c>
      <c r="I27" s="82"/>
      <c r="J27" s="83" t="str">
        <f aca="false">_xlfn.IFNA(VLOOKUP(I27,Table14543[],2,FALSE()),"")</f>
        <v/>
      </c>
      <c r="K27" s="84" t="str">
        <f aca="false">_xlfn.IFNA(VLOOKUP(I27,Table14543[],3,FALSE()),"")</f>
        <v/>
      </c>
      <c r="L27" s="83" t="str">
        <f aca="false">CONCATENATE("",I27,""," ",J27," ",K27)</f>
        <v>  </v>
      </c>
      <c r="M27" s="85"/>
      <c r="N27" s="86"/>
      <c r="O27" s="86"/>
      <c r="P27" s="86" t="n">
        <f aca="false">N27*O27</f>
        <v>0</v>
      </c>
      <c r="Q27" s="86"/>
      <c r="R27" s="87" t="n">
        <f aca="false">(O27*N27)+Q27</f>
        <v>0</v>
      </c>
      <c r="S27" s="91"/>
    </row>
    <row r="28" customFormat="false" ht="14.25" hidden="false" customHeight="false" outlineLevel="0" collapsed="false">
      <c r="A28" s="77"/>
      <c r="B28" s="78"/>
      <c r="C28" s="79"/>
      <c r="D28" s="79"/>
      <c r="E28" s="80" t="str">
        <f aca="false">_xlfn.IFNA(VLOOKUP(C28,'بيانات الآليات '!A:G,4,FALSE()),"")</f>
        <v/>
      </c>
      <c r="F28" s="81" t="str">
        <f aca="false">_xlfn.IFNA(VLOOKUP(C28,'بيانات الآليات '!A:G,2,FALSE()),"")</f>
        <v/>
      </c>
      <c r="G28" s="81"/>
      <c r="H28" s="81" t="str">
        <f aca="false">_xlfn.IFNA(VLOOKUP(C28,'بيانات الآليات '!A:G,5,FALSE()),"")</f>
        <v/>
      </c>
      <c r="I28" s="82"/>
      <c r="J28" s="83" t="str">
        <f aca="false">_xlfn.IFNA(VLOOKUP(I28,Table14543[],2,FALSE()),"")</f>
        <v/>
      </c>
      <c r="K28" s="84" t="str">
        <f aca="false">_xlfn.IFNA(VLOOKUP(I28,Table14543[],3,FALSE()),"")</f>
        <v/>
      </c>
      <c r="L28" s="83" t="str">
        <f aca="false">CONCATENATE("",I28,""," ",J28," ",K28)</f>
        <v>  </v>
      </c>
      <c r="M28" s="85"/>
      <c r="N28" s="86"/>
      <c r="O28" s="86"/>
      <c r="P28" s="86" t="n">
        <f aca="false">N28*O28</f>
        <v>0</v>
      </c>
      <c r="Q28" s="86"/>
      <c r="R28" s="87" t="n">
        <f aca="false">(O28*N28)+Q28</f>
        <v>0</v>
      </c>
      <c r="S28" s="91"/>
    </row>
    <row r="29" customFormat="false" ht="14.25" hidden="false" customHeight="false" outlineLevel="0" collapsed="false">
      <c r="A29" s="77"/>
      <c r="B29" s="78"/>
      <c r="C29" s="79"/>
      <c r="D29" s="79"/>
      <c r="E29" s="80" t="str">
        <f aca="false">_xlfn.IFNA(VLOOKUP(C29,'بيانات الآليات '!A:G,4,FALSE()),"")</f>
        <v/>
      </c>
      <c r="F29" s="81" t="str">
        <f aca="false">_xlfn.IFNA(VLOOKUP(C29,'بيانات الآليات '!A:G,2,FALSE()),"")</f>
        <v/>
      </c>
      <c r="G29" s="81"/>
      <c r="H29" s="81" t="str">
        <f aca="false">_xlfn.IFNA(VLOOKUP(C29,'بيانات الآليات '!A:G,5,FALSE()),"")</f>
        <v/>
      </c>
      <c r="I29" s="82"/>
      <c r="J29" s="83" t="str">
        <f aca="false">_xlfn.IFNA(VLOOKUP(I29,Table14543[],2,FALSE()),"")</f>
        <v/>
      </c>
      <c r="K29" s="84" t="str">
        <f aca="false">_xlfn.IFNA(VLOOKUP(I29,Table14543[],3,FALSE()),"")</f>
        <v/>
      </c>
      <c r="L29" s="83" t="str">
        <f aca="false">CONCATENATE("",I29,""," ",J29," ",K29)</f>
        <v>  </v>
      </c>
      <c r="M29" s="85"/>
      <c r="N29" s="86"/>
      <c r="O29" s="86"/>
      <c r="P29" s="86" t="n">
        <f aca="false">N29*O29</f>
        <v>0</v>
      </c>
      <c r="Q29" s="86"/>
      <c r="R29" s="87" t="n">
        <f aca="false">(O29*N29)+Q29</f>
        <v>0</v>
      </c>
      <c r="S29" s="91"/>
    </row>
    <row r="30" customFormat="false" ht="14.25" hidden="false" customHeight="false" outlineLevel="0" collapsed="false">
      <c r="A30" s="77"/>
      <c r="B30" s="78"/>
      <c r="C30" s="79"/>
      <c r="D30" s="79"/>
      <c r="E30" s="80" t="str">
        <f aca="false">_xlfn.IFNA(VLOOKUP(C30,'بيانات الآليات '!A:G,4,FALSE()),"")</f>
        <v/>
      </c>
      <c r="F30" s="81" t="str">
        <f aca="false">_xlfn.IFNA(VLOOKUP(C30,'بيانات الآليات '!A:G,2,FALSE()),"")</f>
        <v/>
      </c>
      <c r="G30" s="81"/>
      <c r="H30" s="81" t="str">
        <f aca="false">_xlfn.IFNA(VLOOKUP(C30,'بيانات الآليات '!A:G,5,FALSE()),"")</f>
        <v/>
      </c>
      <c r="I30" s="82"/>
      <c r="J30" s="83" t="str">
        <f aca="false">_xlfn.IFNA(VLOOKUP(I30,Table14543[],2,FALSE()),"")</f>
        <v/>
      </c>
      <c r="K30" s="84" t="str">
        <f aca="false">_xlfn.IFNA(VLOOKUP(I30,Table14543[],3,FALSE()),"")</f>
        <v/>
      </c>
      <c r="L30" s="83" t="str">
        <f aca="false">CONCATENATE("",I30,""," ",J30," ",K30)</f>
        <v>  </v>
      </c>
      <c r="M30" s="85"/>
      <c r="N30" s="86"/>
      <c r="O30" s="86"/>
      <c r="P30" s="86" t="n">
        <f aca="false">N30*O30</f>
        <v>0</v>
      </c>
      <c r="Q30" s="86"/>
      <c r="R30" s="87" t="n">
        <f aca="false">(O30*N30)+Q30</f>
        <v>0</v>
      </c>
      <c r="S30" s="91"/>
    </row>
    <row r="31" customFormat="false" ht="14.25" hidden="false" customHeight="false" outlineLevel="0" collapsed="false">
      <c r="A31" s="77"/>
      <c r="B31" s="78"/>
      <c r="C31" s="79"/>
      <c r="D31" s="79"/>
      <c r="E31" s="80" t="str">
        <f aca="false">_xlfn.IFNA(VLOOKUP(C31,'بيانات الآليات '!A:G,4,FALSE()),"")</f>
        <v/>
      </c>
      <c r="F31" s="81" t="str">
        <f aca="false">_xlfn.IFNA(VLOOKUP(C31,'بيانات الآليات '!A:G,2,FALSE()),"")</f>
        <v/>
      </c>
      <c r="G31" s="81"/>
      <c r="H31" s="81" t="str">
        <f aca="false">_xlfn.IFNA(VLOOKUP(C31,'بيانات الآليات '!A:G,5,FALSE()),"")</f>
        <v/>
      </c>
      <c r="I31" s="82"/>
      <c r="J31" s="83" t="str">
        <f aca="false">_xlfn.IFNA(VLOOKUP(I31,Table14543[],2,FALSE()),"")</f>
        <v/>
      </c>
      <c r="K31" s="84" t="str">
        <f aca="false">_xlfn.IFNA(VLOOKUP(I31,Table14543[],3,FALSE()),"")</f>
        <v/>
      </c>
      <c r="L31" s="83" t="str">
        <f aca="false">CONCATENATE("",I31,""," ",J31," ",K31)</f>
        <v>  </v>
      </c>
      <c r="M31" s="85"/>
      <c r="N31" s="86"/>
      <c r="O31" s="86"/>
      <c r="P31" s="86" t="n">
        <f aca="false">N31*O31</f>
        <v>0</v>
      </c>
      <c r="Q31" s="86"/>
      <c r="R31" s="87" t="n">
        <f aca="false">(O31*N31)+Q31</f>
        <v>0</v>
      </c>
      <c r="S31" s="91"/>
    </row>
    <row r="32" customFormat="false" ht="14.25" hidden="false" customHeight="false" outlineLevel="0" collapsed="false">
      <c r="A32" s="77"/>
      <c r="B32" s="78"/>
      <c r="C32" s="79"/>
      <c r="D32" s="79"/>
      <c r="E32" s="80" t="str">
        <f aca="false">_xlfn.IFNA(VLOOKUP(C32,'بيانات الآليات '!A:G,4,FALSE()),"")</f>
        <v/>
      </c>
      <c r="F32" s="81" t="str">
        <f aca="false">_xlfn.IFNA(VLOOKUP(C32,'بيانات الآليات '!A:G,2,FALSE()),"")</f>
        <v/>
      </c>
      <c r="G32" s="81"/>
      <c r="H32" s="81" t="str">
        <f aca="false">_xlfn.IFNA(VLOOKUP(C32,'بيانات الآليات '!A:G,5,FALSE()),"")</f>
        <v/>
      </c>
      <c r="I32" s="82"/>
      <c r="J32" s="83" t="str">
        <f aca="false">_xlfn.IFNA(VLOOKUP(I32,Table14543[],2,FALSE()),"")</f>
        <v/>
      </c>
      <c r="K32" s="84" t="str">
        <f aca="false">_xlfn.IFNA(VLOOKUP(I32,Table14543[],3,FALSE()),"")</f>
        <v/>
      </c>
      <c r="L32" s="83" t="str">
        <f aca="false">CONCATENATE("",I32,""," ",J32," ",K32)</f>
        <v>  </v>
      </c>
      <c r="M32" s="85"/>
      <c r="N32" s="86"/>
      <c r="O32" s="86"/>
      <c r="P32" s="86" t="n">
        <f aca="false">N32*O32</f>
        <v>0</v>
      </c>
      <c r="Q32" s="86"/>
      <c r="R32" s="87" t="n">
        <f aca="false">(O32*N32)+Q32</f>
        <v>0</v>
      </c>
      <c r="S32" s="91"/>
    </row>
    <row r="33" customFormat="false" ht="14.25" hidden="false" customHeight="false" outlineLevel="0" collapsed="false">
      <c r="A33" s="77"/>
      <c r="B33" s="78"/>
      <c r="C33" s="79"/>
      <c r="D33" s="79"/>
      <c r="E33" s="80" t="str">
        <f aca="false">_xlfn.IFNA(VLOOKUP(C33,'بيانات الآليات '!A:G,4,FALSE()),"")</f>
        <v/>
      </c>
      <c r="F33" s="81" t="str">
        <f aca="false">_xlfn.IFNA(VLOOKUP(C33,'بيانات الآليات '!A:G,2,FALSE()),"")</f>
        <v/>
      </c>
      <c r="G33" s="81"/>
      <c r="H33" s="81" t="str">
        <f aca="false">_xlfn.IFNA(VLOOKUP(C33,'بيانات الآليات '!A:G,5,FALSE()),"")</f>
        <v/>
      </c>
      <c r="I33" s="82"/>
      <c r="J33" s="83" t="str">
        <f aca="false">_xlfn.IFNA(VLOOKUP(I33,Table14543[],2,FALSE()),"")</f>
        <v/>
      </c>
      <c r="K33" s="84" t="str">
        <f aca="false">_xlfn.IFNA(VLOOKUP(I33,Table14543[],3,FALSE()),"")</f>
        <v/>
      </c>
      <c r="L33" s="83" t="str">
        <f aca="false">CONCATENATE("",I33,""," ",J33," ",K33)</f>
        <v>  </v>
      </c>
      <c r="M33" s="85"/>
      <c r="N33" s="86"/>
      <c r="O33" s="86"/>
      <c r="P33" s="86" t="n">
        <f aca="false">N33*O33</f>
        <v>0</v>
      </c>
      <c r="Q33" s="86"/>
      <c r="R33" s="87" t="n">
        <f aca="false">(O33*N33)+Q33</f>
        <v>0</v>
      </c>
      <c r="S33" s="91"/>
    </row>
    <row r="34" customFormat="false" ht="14.25" hidden="false" customHeight="false" outlineLevel="0" collapsed="false">
      <c r="A34" s="77"/>
      <c r="B34" s="78"/>
      <c r="C34" s="79"/>
      <c r="D34" s="79"/>
      <c r="E34" s="80" t="str">
        <f aca="false">_xlfn.IFNA(VLOOKUP(C34,'بيانات الآليات '!A:G,4,FALSE()),"")</f>
        <v/>
      </c>
      <c r="F34" s="81" t="str">
        <f aca="false">_xlfn.IFNA(VLOOKUP(C34,'بيانات الآليات '!A:G,2,FALSE()),"")</f>
        <v/>
      </c>
      <c r="G34" s="81"/>
      <c r="H34" s="81" t="str">
        <f aca="false">_xlfn.IFNA(VLOOKUP(C34,'بيانات الآليات '!A:G,5,FALSE()),"")</f>
        <v/>
      </c>
      <c r="I34" s="82"/>
      <c r="J34" s="83" t="str">
        <f aca="false">_xlfn.IFNA(VLOOKUP(I34,Table14543[],2,FALSE()),"")</f>
        <v/>
      </c>
      <c r="K34" s="84" t="str">
        <f aca="false">_xlfn.IFNA(VLOOKUP(I34,Table14543[],3,FALSE()),"")</f>
        <v/>
      </c>
      <c r="L34" s="83" t="str">
        <f aca="false">CONCATENATE("",I34,""," ",J34," ",K34)</f>
        <v>  </v>
      </c>
      <c r="M34" s="85"/>
      <c r="N34" s="86"/>
      <c r="O34" s="86"/>
      <c r="P34" s="86" t="n">
        <f aca="false">N34*O34</f>
        <v>0</v>
      </c>
      <c r="Q34" s="86"/>
      <c r="R34" s="87" t="n">
        <f aca="false">(O34*N34)+Q34</f>
        <v>0</v>
      </c>
      <c r="S34" s="91"/>
    </row>
    <row r="35" customFormat="false" ht="14.25" hidden="false" customHeight="false" outlineLevel="0" collapsed="false">
      <c r="A35" s="77"/>
      <c r="B35" s="78"/>
      <c r="C35" s="79"/>
      <c r="D35" s="79"/>
      <c r="E35" s="80" t="str">
        <f aca="false">_xlfn.IFNA(VLOOKUP(C35,'بيانات الآليات '!A:G,4,FALSE()),"")</f>
        <v/>
      </c>
      <c r="F35" s="81" t="str">
        <f aca="false">_xlfn.IFNA(VLOOKUP(C35,'بيانات الآليات '!A:G,2,FALSE()),"")</f>
        <v/>
      </c>
      <c r="G35" s="81"/>
      <c r="H35" s="81" t="str">
        <f aca="false">_xlfn.IFNA(VLOOKUP(C35,'بيانات الآليات '!A:G,5,FALSE()),"")</f>
        <v/>
      </c>
      <c r="I35" s="82"/>
      <c r="J35" s="83" t="str">
        <f aca="false">_xlfn.IFNA(VLOOKUP(I35,Table14543[],2,FALSE()),"")</f>
        <v/>
      </c>
      <c r="K35" s="84" t="str">
        <f aca="false">_xlfn.IFNA(VLOOKUP(I35,Table14543[],3,FALSE()),"")</f>
        <v/>
      </c>
      <c r="L35" s="83" t="str">
        <f aca="false">CONCATENATE("",I35,""," ",J35," ",K35)</f>
        <v>  </v>
      </c>
      <c r="M35" s="85"/>
      <c r="N35" s="86"/>
      <c r="O35" s="86"/>
      <c r="P35" s="86" t="n">
        <f aca="false">N35*O35</f>
        <v>0</v>
      </c>
      <c r="Q35" s="86"/>
      <c r="R35" s="87" t="n">
        <f aca="false">(O35*N35)+Q35</f>
        <v>0</v>
      </c>
      <c r="S35" s="91"/>
    </row>
    <row r="36" customFormat="false" ht="14.25" hidden="false" customHeight="false" outlineLevel="0" collapsed="false">
      <c r="A36" s="77"/>
      <c r="B36" s="78"/>
      <c r="C36" s="79"/>
      <c r="D36" s="79"/>
      <c r="E36" s="80" t="str">
        <f aca="false">_xlfn.IFNA(VLOOKUP(C36,'بيانات الآليات '!A:G,4,FALSE()),"")</f>
        <v/>
      </c>
      <c r="F36" s="81" t="str">
        <f aca="false">_xlfn.IFNA(VLOOKUP(C36,'بيانات الآليات '!A:G,2,FALSE()),"")</f>
        <v/>
      </c>
      <c r="G36" s="81"/>
      <c r="H36" s="81" t="str">
        <f aca="false">_xlfn.IFNA(VLOOKUP(C36,'بيانات الآليات '!A:G,5,FALSE()),"")</f>
        <v/>
      </c>
      <c r="I36" s="82"/>
      <c r="J36" s="83" t="str">
        <f aca="false">_xlfn.IFNA(VLOOKUP(I36,Table14543[],2,FALSE()),"")</f>
        <v/>
      </c>
      <c r="K36" s="84" t="str">
        <f aca="false">_xlfn.IFNA(VLOOKUP(I36,Table14543[],3,FALSE()),"")</f>
        <v/>
      </c>
      <c r="L36" s="83" t="str">
        <f aca="false">CONCATENATE("",I36,""," ",J36," ",K36)</f>
        <v>  </v>
      </c>
      <c r="M36" s="85"/>
      <c r="N36" s="86"/>
      <c r="O36" s="86"/>
      <c r="P36" s="86" t="n">
        <f aca="false">N36*O36</f>
        <v>0</v>
      </c>
      <c r="Q36" s="86"/>
      <c r="R36" s="87" t="n">
        <f aca="false">(O36*N36)+Q36</f>
        <v>0</v>
      </c>
      <c r="S36" s="91"/>
    </row>
    <row r="37" customFormat="false" ht="14.25" hidden="false" customHeight="false" outlineLevel="0" collapsed="false">
      <c r="A37" s="77"/>
      <c r="B37" s="78"/>
      <c r="C37" s="79"/>
      <c r="D37" s="79"/>
      <c r="E37" s="80" t="str">
        <f aca="false">_xlfn.IFNA(VLOOKUP(C37,'بيانات الآليات '!A:G,4,FALSE()),"")</f>
        <v/>
      </c>
      <c r="F37" s="81" t="str">
        <f aca="false">_xlfn.IFNA(VLOOKUP(C37,'بيانات الآليات '!A:G,2,FALSE()),"")</f>
        <v/>
      </c>
      <c r="G37" s="81"/>
      <c r="H37" s="81" t="str">
        <f aca="false">_xlfn.IFNA(VLOOKUP(C37,'بيانات الآليات '!A:G,5,FALSE()),"")</f>
        <v/>
      </c>
      <c r="I37" s="82"/>
      <c r="J37" s="83" t="str">
        <f aca="false">_xlfn.IFNA(VLOOKUP(I37,Table14543[],2,FALSE()),"")</f>
        <v/>
      </c>
      <c r="K37" s="84" t="str">
        <f aca="false">_xlfn.IFNA(VLOOKUP(I37,Table14543[],3,FALSE()),"")</f>
        <v/>
      </c>
      <c r="L37" s="83" t="str">
        <f aca="false">CONCATENATE("",I37,""," ",J37," ",K37)</f>
        <v>  </v>
      </c>
      <c r="M37" s="85"/>
      <c r="N37" s="86"/>
      <c r="O37" s="86"/>
      <c r="P37" s="86" t="n">
        <f aca="false">N37*O37</f>
        <v>0</v>
      </c>
      <c r="Q37" s="86"/>
      <c r="R37" s="87" t="n">
        <f aca="false">(O37*N37)+Q37</f>
        <v>0</v>
      </c>
      <c r="S37" s="91"/>
    </row>
    <row r="38" customFormat="false" ht="14.25" hidden="false" customHeight="false" outlineLevel="0" collapsed="false">
      <c r="A38" s="77"/>
      <c r="B38" s="78"/>
      <c r="C38" s="79"/>
      <c r="D38" s="79"/>
      <c r="E38" s="80" t="str">
        <f aca="false">_xlfn.IFNA(VLOOKUP(C38,'بيانات الآليات '!A:G,4,FALSE()),"")</f>
        <v/>
      </c>
      <c r="F38" s="81" t="str">
        <f aca="false">_xlfn.IFNA(VLOOKUP(C38,'بيانات الآليات '!A:G,2,FALSE()),"")</f>
        <v/>
      </c>
      <c r="G38" s="81"/>
      <c r="H38" s="81" t="str">
        <f aca="false">_xlfn.IFNA(VLOOKUP(C38,'بيانات الآليات '!A:G,5,FALSE()),"")</f>
        <v/>
      </c>
      <c r="I38" s="82"/>
      <c r="J38" s="83" t="str">
        <f aca="false">_xlfn.IFNA(VLOOKUP(I38,Table14543[],2,FALSE()),"")</f>
        <v/>
      </c>
      <c r="K38" s="84" t="str">
        <f aca="false">_xlfn.IFNA(VLOOKUP(I38,Table14543[],3,FALSE()),"")</f>
        <v/>
      </c>
      <c r="L38" s="83" t="str">
        <f aca="false">CONCATENATE("",I38,""," ",J38," ",K38)</f>
        <v>  </v>
      </c>
      <c r="M38" s="85"/>
      <c r="N38" s="86"/>
      <c r="O38" s="86"/>
      <c r="P38" s="86" t="n">
        <f aca="false">N38*O38</f>
        <v>0</v>
      </c>
      <c r="Q38" s="86"/>
      <c r="R38" s="87" t="n">
        <f aca="false">(O38*N38)+Q38</f>
        <v>0</v>
      </c>
      <c r="S38" s="91"/>
    </row>
    <row r="39" customFormat="false" ht="14.25" hidden="false" customHeight="false" outlineLevel="0" collapsed="false">
      <c r="A39" s="77"/>
      <c r="B39" s="78"/>
      <c r="C39" s="79"/>
      <c r="D39" s="79"/>
      <c r="E39" s="80" t="str">
        <f aca="false">_xlfn.IFNA(VLOOKUP(C39,'بيانات الآليات '!A:G,4,FALSE()),"")</f>
        <v/>
      </c>
      <c r="F39" s="81" t="str">
        <f aca="false">_xlfn.IFNA(VLOOKUP(C39,'بيانات الآليات '!A:G,2,FALSE()),"")</f>
        <v/>
      </c>
      <c r="G39" s="81"/>
      <c r="H39" s="81" t="str">
        <f aca="false">_xlfn.IFNA(VLOOKUP(C39,'بيانات الآليات '!A:G,5,FALSE()),"")</f>
        <v/>
      </c>
      <c r="I39" s="82"/>
      <c r="J39" s="83" t="str">
        <f aca="false">_xlfn.IFNA(VLOOKUP(I39,Table14543[],2,FALSE()),"")</f>
        <v/>
      </c>
      <c r="K39" s="84" t="str">
        <f aca="false">_xlfn.IFNA(VLOOKUP(I39,Table14543[],3,FALSE()),"")</f>
        <v/>
      </c>
      <c r="L39" s="83" t="str">
        <f aca="false">CONCATENATE("",I39,""," ",J39," ",K39)</f>
        <v>  </v>
      </c>
      <c r="M39" s="85"/>
      <c r="N39" s="86"/>
      <c r="O39" s="86"/>
      <c r="P39" s="86" t="n">
        <f aca="false">N39*O39</f>
        <v>0</v>
      </c>
      <c r="Q39" s="86"/>
      <c r="R39" s="87" t="n">
        <f aca="false">(O39*N39)+Q39</f>
        <v>0</v>
      </c>
      <c r="S39" s="91"/>
    </row>
    <row r="40" customFormat="false" ht="14.25" hidden="false" customHeight="false" outlineLevel="0" collapsed="false">
      <c r="A40" s="77"/>
      <c r="B40" s="78"/>
      <c r="C40" s="79"/>
      <c r="D40" s="79"/>
      <c r="E40" s="80" t="str">
        <f aca="false">_xlfn.IFNA(VLOOKUP(C40,'بيانات الآليات '!A:G,4,FALSE()),"")</f>
        <v/>
      </c>
      <c r="F40" s="81" t="str">
        <f aca="false">_xlfn.IFNA(VLOOKUP(C40,'بيانات الآليات '!A:G,2,FALSE()),"")</f>
        <v/>
      </c>
      <c r="G40" s="81"/>
      <c r="H40" s="81" t="str">
        <f aca="false">_xlfn.IFNA(VLOOKUP(C40,'بيانات الآليات '!A:G,5,FALSE()),"")</f>
        <v/>
      </c>
      <c r="I40" s="82"/>
      <c r="J40" s="83" t="str">
        <f aca="false">_xlfn.IFNA(VLOOKUP(I40,Table14543[],2,FALSE()),"")</f>
        <v/>
      </c>
      <c r="K40" s="84" t="str">
        <f aca="false">_xlfn.IFNA(VLOOKUP(I40,Table14543[],3,FALSE()),"")</f>
        <v/>
      </c>
      <c r="L40" s="83" t="str">
        <f aca="false">CONCATENATE("",I40,""," ",J40," ",K40)</f>
        <v>  </v>
      </c>
      <c r="M40" s="85"/>
      <c r="N40" s="86"/>
      <c r="O40" s="86"/>
      <c r="P40" s="86" t="n">
        <f aca="false">N40*O40</f>
        <v>0</v>
      </c>
      <c r="Q40" s="86"/>
      <c r="R40" s="87" t="n">
        <f aca="false">(O40*N40)+Q40</f>
        <v>0</v>
      </c>
      <c r="S40" s="91"/>
    </row>
    <row r="41" customFormat="false" ht="14.25" hidden="false" customHeight="false" outlineLevel="0" collapsed="false">
      <c r="A41" s="77"/>
      <c r="B41" s="78"/>
      <c r="C41" s="79"/>
      <c r="D41" s="79"/>
      <c r="E41" s="80" t="str">
        <f aca="false">_xlfn.IFNA(VLOOKUP(C41,'بيانات الآليات '!A:G,4,FALSE()),"")</f>
        <v/>
      </c>
      <c r="F41" s="81" t="str">
        <f aca="false">_xlfn.IFNA(VLOOKUP(C41,'بيانات الآليات '!A:G,2,FALSE()),"")</f>
        <v/>
      </c>
      <c r="G41" s="81"/>
      <c r="H41" s="81" t="str">
        <f aca="false">_xlfn.IFNA(VLOOKUP(C41,'بيانات الآليات '!A:G,5,FALSE()),"")</f>
        <v/>
      </c>
      <c r="I41" s="82"/>
      <c r="J41" s="83" t="str">
        <f aca="false">_xlfn.IFNA(VLOOKUP(I41,Table14543[],2,FALSE()),"")</f>
        <v/>
      </c>
      <c r="K41" s="84" t="str">
        <f aca="false">_xlfn.IFNA(VLOOKUP(I41,Table14543[],3,FALSE()),"")</f>
        <v/>
      </c>
      <c r="L41" s="83" t="str">
        <f aca="false">CONCATENATE("",I41,""," ",J41," ",K41)</f>
        <v>  </v>
      </c>
      <c r="M41" s="85"/>
      <c r="N41" s="86"/>
      <c r="O41" s="86"/>
      <c r="P41" s="86" t="n">
        <f aca="false">N41*O41</f>
        <v>0</v>
      </c>
      <c r="Q41" s="86"/>
      <c r="R41" s="87" t="n">
        <f aca="false">(O41*N41)+Q41</f>
        <v>0</v>
      </c>
      <c r="S41" s="91"/>
    </row>
    <row r="42" customFormat="false" ht="14.25" hidden="false" customHeight="false" outlineLevel="0" collapsed="false">
      <c r="A42" s="77"/>
      <c r="B42" s="78"/>
      <c r="C42" s="79"/>
      <c r="D42" s="79"/>
      <c r="E42" s="80" t="str">
        <f aca="false">_xlfn.IFNA(VLOOKUP(C42,'بيانات الآليات '!A:G,4,FALSE()),"")</f>
        <v/>
      </c>
      <c r="F42" s="81" t="str">
        <f aca="false">_xlfn.IFNA(VLOOKUP(C42,'بيانات الآليات '!A:G,2,FALSE()),"")</f>
        <v/>
      </c>
      <c r="G42" s="81"/>
      <c r="H42" s="81" t="str">
        <f aca="false">_xlfn.IFNA(VLOOKUP(C42,'بيانات الآليات '!A:G,5,FALSE()),"")</f>
        <v/>
      </c>
      <c r="I42" s="82"/>
      <c r="J42" s="83" t="str">
        <f aca="false">_xlfn.IFNA(VLOOKUP(I42,Table14543[],2,FALSE()),"")</f>
        <v/>
      </c>
      <c r="K42" s="84" t="str">
        <f aca="false">_xlfn.IFNA(VLOOKUP(I42,Table14543[],3,FALSE()),"")</f>
        <v/>
      </c>
      <c r="L42" s="83" t="str">
        <f aca="false">CONCATENATE("",I42,""," ",J42," ",K42)</f>
        <v>  </v>
      </c>
      <c r="M42" s="85"/>
      <c r="N42" s="86"/>
      <c r="O42" s="86"/>
      <c r="P42" s="86" t="n">
        <f aca="false">N42*O42</f>
        <v>0</v>
      </c>
      <c r="Q42" s="86"/>
      <c r="R42" s="87" t="n">
        <f aca="false">(O42*N42)+Q42</f>
        <v>0</v>
      </c>
      <c r="S42" s="91"/>
    </row>
    <row r="43" customFormat="false" ht="14.25" hidden="false" customHeight="false" outlineLevel="0" collapsed="false">
      <c r="A43" s="77"/>
      <c r="B43" s="78"/>
      <c r="C43" s="79"/>
      <c r="D43" s="79"/>
      <c r="E43" s="80" t="str">
        <f aca="false">_xlfn.IFNA(VLOOKUP(C43,'بيانات الآليات '!A:G,4,FALSE()),"")</f>
        <v/>
      </c>
      <c r="F43" s="81" t="str">
        <f aca="false">_xlfn.IFNA(VLOOKUP(C43,'بيانات الآليات '!A:G,2,FALSE()),"")</f>
        <v/>
      </c>
      <c r="G43" s="81"/>
      <c r="H43" s="81" t="str">
        <f aca="false">_xlfn.IFNA(VLOOKUP(C43,'بيانات الآليات '!A:G,5,FALSE()),"")</f>
        <v/>
      </c>
      <c r="I43" s="82"/>
      <c r="J43" s="83" t="str">
        <f aca="false">_xlfn.IFNA(VLOOKUP(I43,Table14543[],2,FALSE()),"")</f>
        <v/>
      </c>
      <c r="K43" s="84" t="str">
        <f aca="false">_xlfn.IFNA(VLOOKUP(I43,Table14543[],3,FALSE()),"")</f>
        <v/>
      </c>
      <c r="L43" s="83" t="str">
        <f aca="false">CONCATENATE("",I43,""," ",J43," ",K43)</f>
        <v>  </v>
      </c>
      <c r="M43" s="85"/>
      <c r="N43" s="86"/>
      <c r="O43" s="86"/>
      <c r="P43" s="86" t="n">
        <f aca="false">N43*O43</f>
        <v>0</v>
      </c>
      <c r="Q43" s="86"/>
      <c r="R43" s="87" t="n">
        <f aca="false">(O43*N43)+Q43</f>
        <v>0</v>
      </c>
      <c r="S43" s="91"/>
    </row>
    <row r="44" customFormat="false" ht="14.25" hidden="false" customHeight="false" outlineLevel="0" collapsed="false">
      <c r="A44" s="77"/>
      <c r="B44" s="78"/>
      <c r="C44" s="79"/>
      <c r="D44" s="79"/>
      <c r="E44" s="80" t="str">
        <f aca="false">_xlfn.IFNA(VLOOKUP(C44,'بيانات الآليات '!A:G,4,FALSE()),"")</f>
        <v/>
      </c>
      <c r="F44" s="81" t="str">
        <f aca="false">_xlfn.IFNA(VLOOKUP(C44,'بيانات الآليات '!A:G,2,FALSE()),"")</f>
        <v/>
      </c>
      <c r="G44" s="81"/>
      <c r="H44" s="81" t="str">
        <f aca="false">_xlfn.IFNA(VLOOKUP(C44,'بيانات الآليات '!A:G,5,FALSE()),"")</f>
        <v/>
      </c>
      <c r="I44" s="82"/>
      <c r="J44" s="83" t="str">
        <f aca="false">_xlfn.IFNA(VLOOKUP(I44,Table14543[],2,FALSE()),"")</f>
        <v/>
      </c>
      <c r="K44" s="84" t="str">
        <f aca="false">_xlfn.IFNA(VLOOKUP(I44,Table14543[],3,FALSE()),"")</f>
        <v/>
      </c>
      <c r="L44" s="83" t="str">
        <f aca="false">CONCATENATE("",I44,""," ",J44," ",K44)</f>
        <v>  </v>
      </c>
      <c r="M44" s="85"/>
      <c r="N44" s="86"/>
      <c r="O44" s="86"/>
      <c r="P44" s="86" t="n">
        <f aca="false">N44*O44</f>
        <v>0</v>
      </c>
      <c r="Q44" s="86"/>
      <c r="R44" s="87" t="n">
        <f aca="false">(O44*N44)+Q44</f>
        <v>0</v>
      </c>
      <c r="S44" s="91"/>
    </row>
    <row r="45" customFormat="false" ht="14.25" hidden="false" customHeight="false" outlineLevel="0" collapsed="false">
      <c r="A45" s="77"/>
      <c r="B45" s="78"/>
      <c r="C45" s="79"/>
      <c r="D45" s="79"/>
      <c r="E45" s="80" t="str">
        <f aca="false">_xlfn.IFNA(VLOOKUP(C45,'بيانات الآليات '!A:G,4,FALSE()),"")</f>
        <v/>
      </c>
      <c r="F45" s="81" t="str">
        <f aca="false">_xlfn.IFNA(VLOOKUP(C45,'بيانات الآليات '!A:G,2,FALSE()),"")</f>
        <v/>
      </c>
      <c r="G45" s="81"/>
      <c r="H45" s="81" t="str">
        <f aca="false">_xlfn.IFNA(VLOOKUP(C45,'بيانات الآليات '!A:G,5,FALSE()),"")</f>
        <v/>
      </c>
      <c r="I45" s="82"/>
      <c r="J45" s="83" t="str">
        <f aca="false">_xlfn.IFNA(VLOOKUP(I45,Table14543[],2,FALSE()),"")</f>
        <v/>
      </c>
      <c r="K45" s="84" t="str">
        <f aca="false">_xlfn.IFNA(VLOOKUP(I45,Table14543[],3,FALSE()),"")</f>
        <v/>
      </c>
      <c r="L45" s="83" t="str">
        <f aca="false">CONCATENATE("",I45,""," ",J45," ",K45)</f>
        <v>  </v>
      </c>
      <c r="M45" s="85"/>
      <c r="N45" s="86"/>
      <c r="O45" s="86"/>
      <c r="P45" s="86" t="n">
        <f aca="false">N45*O45</f>
        <v>0</v>
      </c>
      <c r="Q45" s="86"/>
      <c r="R45" s="87" t="n">
        <f aca="false">(O45*N45)+Q45</f>
        <v>0</v>
      </c>
      <c r="S45" s="91"/>
    </row>
    <row r="46" customFormat="false" ht="14.25" hidden="false" customHeight="false" outlineLevel="0" collapsed="false">
      <c r="A46" s="77"/>
      <c r="B46" s="78"/>
      <c r="C46" s="79"/>
      <c r="D46" s="79"/>
      <c r="E46" s="80" t="str">
        <f aca="false">_xlfn.IFNA(VLOOKUP(C46,'بيانات الآليات '!A:G,4,FALSE()),"")</f>
        <v/>
      </c>
      <c r="F46" s="81" t="str">
        <f aca="false">_xlfn.IFNA(VLOOKUP(C46,'بيانات الآليات '!A:G,2,FALSE()),"")</f>
        <v/>
      </c>
      <c r="G46" s="81"/>
      <c r="H46" s="81" t="str">
        <f aca="false">_xlfn.IFNA(VLOOKUP(C46,'بيانات الآليات '!A:G,5,FALSE()),"")</f>
        <v/>
      </c>
      <c r="I46" s="82"/>
      <c r="J46" s="83" t="str">
        <f aca="false">_xlfn.IFNA(VLOOKUP(I46,Table14543[],2,FALSE()),"")</f>
        <v/>
      </c>
      <c r="K46" s="84" t="str">
        <f aca="false">_xlfn.IFNA(VLOOKUP(I46,Table14543[],3,FALSE()),"")</f>
        <v/>
      </c>
      <c r="L46" s="83" t="str">
        <f aca="false">CONCATENATE("",I46,""," ",J46," ",K46)</f>
        <v>  </v>
      </c>
      <c r="M46" s="85"/>
      <c r="N46" s="86"/>
      <c r="O46" s="86"/>
      <c r="P46" s="86" t="n">
        <f aca="false">N46*O46</f>
        <v>0</v>
      </c>
      <c r="Q46" s="86"/>
      <c r="R46" s="87" t="n">
        <f aca="false">(O46*N46)+Q46</f>
        <v>0</v>
      </c>
      <c r="S46" s="91"/>
    </row>
    <row r="47" customFormat="false" ht="14.25" hidden="false" customHeight="false" outlineLevel="0" collapsed="false">
      <c r="A47" s="77"/>
      <c r="B47" s="78"/>
      <c r="C47" s="79"/>
      <c r="D47" s="79"/>
      <c r="E47" s="80" t="str">
        <f aca="false">_xlfn.IFNA(VLOOKUP(C47,'بيانات الآليات '!A:G,4,FALSE()),"")</f>
        <v/>
      </c>
      <c r="F47" s="81" t="str">
        <f aca="false">_xlfn.IFNA(VLOOKUP(C47,'بيانات الآليات '!A:G,2,FALSE()),"")</f>
        <v/>
      </c>
      <c r="G47" s="81"/>
      <c r="H47" s="81" t="str">
        <f aca="false">_xlfn.IFNA(VLOOKUP(C47,'بيانات الآليات '!A:G,5,FALSE()),"")</f>
        <v/>
      </c>
      <c r="I47" s="82"/>
      <c r="J47" s="83" t="str">
        <f aca="false">_xlfn.IFNA(VLOOKUP(I47,Table14543[],2,FALSE()),"")</f>
        <v/>
      </c>
      <c r="K47" s="84" t="str">
        <f aca="false">_xlfn.IFNA(VLOOKUP(I47,Table14543[],3,FALSE()),"")</f>
        <v/>
      </c>
      <c r="L47" s="83" t="str">
        <f aca="false">CONCATENATE("",I47,""," ",J47," ",K47)</f>
        <v>  </v>
      </c>
      <c r="M47" s="85"/>
      <c r="N47" s="86"/>
      <c r="O47" s="86"/>
      <c r="P47" s="86" t="n">
        <f aca="false">N47*O47</f>
        <v>0</v>
      </c>
      <c r="Q47" s="86"/>
      <c r="R47" s="87" t="n">
        <f aca="false">(O47*N47)+Q47</f>
        <v>0</v>
      </c>
      <c r="S47" s="91"/>
    </row>
    <row r="48" customFormat="false" ht="14.25" hidden="false" customHeight="false" outlineLevel="0" collapsed="false">
      <c r="A48" s="77"/>
      <c r="B48" s="78"/>
      <c r="C48" s="79"/>
      <c r="D48" s="79"/>
      <c r="E48" s="80" t="str">
        <f aca="false">_xlfn.IFNA(VLOOKUP(C48,'بيانات الآليات '!A:G,4,FALSE()),"")</f>
        <v/>
      </c>
      <c r="F48" s="81" t="str">
        <f aca="false">_xlfn.IFNA(VLOOKUP(C48,'بيانات الآليات '!A:G,2,FALSE()),"")</f>
        <v/>
      </c>
      <c r="G48" s="81"/>
      <c r="H48" s="81" t="str">
        <f aca="false">_xlfn.IFNA(VLOOKUP(C48,'بيانات الآليات '!A:G,5,FALSE()),"")</f>
        <v/>
      </c>
      <c r="I48" s="82"/>
      <c r="J48" s="83" t="str">
        <f aca="false">_xlfn.IFNA(VLOOKUP(I48,Table14543[],2,FALSE()),"")</f>
        <v/>
      </c>
      <c r="K48" s="84" t="str">
        <f aca="false">_xlfn.IFNA(VLOOKUP(I48,Table14543[],3,FALSE()),"")</f>
        <v/>
      </c>
      <c r="L48" s="83" t="str">
        <f aca="false">CONCATENATE("",I48,""," ",J48," ",K48)</f>
        <v>  </v>
      </c>
      <c r="M48" s="85"/>
      <c r="N48" s="86"/>
      <c r="O48" s="86"/>
      <c r="P48" s="86" t="n">
        <f aca="false">N48*O48</f>
        <v>0</v>
      </c>
      <c r="Q48" s="86"/>
      <c r="R48" s="87" t="n">
        <f aca="false">(O48*N48)+Q48</f>
        <v>0</v>
      </c>
      <c r="S48" s="91"/>
    </row>
    <row r="49" customFormat="false" ht="14.25" hidden="false" customHeight="false" outlineLevel="0" collapsed="false">
      <c r="A49" s="77"/>
      <c r="B49" s="78"/>
      <c r="C49" s="79"/>
      <c r="D49" s="79"/>
      <c r="E49" s="80" t="str">
        <f aca="false">_xlfn.IFNA(VLOOKUP(C49,'بيانات الآليات '!A:G,4,FALSE()),"")</f>
        <v/>
      </c>
      <c r="F49" s="81" t="str">
        <f aca="false">_xlfn.IFNA(VLOOKUP(C49,'بيانات الآليات '!A:G,2,FALSE()),"")</f>
        <v/>
      </c>
      <c r="G49" s="81"/>
      <c r="H49" s="81" t="str">
        <f aca="false">_xlfn.IFNA(VLOOKUP(C49,'بيانات الآليات '!A:G,5,FALSE()),"")</f>
        <v/>
      </c>
      <c r="I49" s="82"/>
      <c r="J49" s="83" t="str">
        <f aca="false">_xlfn.IFNA(VLOOKUP(I49,Table14543[],2,FALSE()),"")</f>
        <v/>
      </c>
      <c r="K49" s="84" t="str">
        <f aca="false">_xlfn.IFNA(VLOOKUP(I49,Table14543[],3,FALSE()),"")</f>
        <v/>
      </c>
      <c r="L49" s="83" t="str">
        <f aca="false">CONCATENATE("",I49,""," ",J49," ",K49)</f>
        <v>  </v>
      </c>
      <c r="M49" s="85"/>
      <c r="N49" s="86"/>
      <c r="O49" s="86"/>
      <c r="P49" s="86" t="n">
        <f aca="false">N49*O49</f>
        <v>0</v>
      </c>
      <c r="Q49" s="86"/>
      <c r="R49" s="87" t="n">
        <f aca="false">(O49*N49)+Q49</f>
        <v>0</v>
      </c>
      <c r="S49" s="91"/>
    </row>
    <row r="50" customFormat="false" ht="14.25" hidden="false" customHeight="false" outlineLevel="0" collapsed="false">
      <c r="A50" s="77"/>
      <c r="B50" s="78"/>
      <c r="C50" s="79"/>
      <c r="D50" s="79"/>
      <c r="E50" s="80" t="str">
        <f aca="false">_xlfn.IFNA(VLOOKUP(C50,'بيانات الآليات '!A:G,4,FALSE()),"")</f>
        <v/>
      </c>
      <c r="F50" s="81" t="str">
        <f aca="false">_xlfn.IFNA(VLOOKUP(C50,'بيانات الآليات '!A:G,2,FALSE()),"")</f>
        <v/>
      </c>
      <c r="G50" s="81"/>
      <c r="H50" s="81" t="str">
        <f aca="false">_xlfn.IFNA(VLOOKUP(C50,'بيانات الآليات '!A:G,5,FALSE()),"")</f>
        <v/>
      </c>
      <c r="I50" s="82"/>
      <c r="J50" s="83" t="str">
        <f aca="false">_xlfn.IFNA(VLOOKUP(I50,Table14543[],2,FALSE()),"")</f>
        <v/>
      </c>
      <c r="K50" s="84" t="str">
        <f aca="false">_xlfn.IFNA(VLOOKUP(I50,Table14543[],3,FALSE()),"")</f>
        <v/>
      </c>
      <c r="L50" s="83" t="str">
        <f aca="false">CONCATENATE("",I50,""," ",J50," ",K50)</f>
        <v>  </v>
      </c>
      <c r="M50" s="85"/>
      <c r="N50" s="86"/>
      <c r="O50" s="86"/>
      <c r="P50" s="86" t="n">
        <f aca="false">N50*O50</f>
        <v>0</v>
      </c>
      <c r="Q50" s="86"/>
      <c r="R50" s="87" t="n">
        <f aca="false">(O50*N50)+Q50</f>
        <v>0</v>
      </c>
      <c r="S50" s="91"/>
    </row>
    <row r="51" customFormat="false" ht="14.25" hidden="false" customHeight="false" outlineLevel="0" collapsed="false">
      <c r="A51" s="77"/>
      <c r="B51" s="78"/>
      <c r="C51" s="79"/>
      <c r="D51" s="79"/>
      <c r="E51" s="80" t="str">
        <f aca="false">_xlfn.IFNA(VLOOKUP(C51,'بيانات الآليات '!A:G,4,FALSE()),"")</f>
        <v/>
      </c>
      <c r="F51" s="81" t="str">
        <f aca="false">_xlfn.IFNA(VLOOKUP(C51,'بيانات الآليات '!A:G,2,FALSE()),"")</f>
        <v/>
      </c>
      <c r="G51" s="81"/>
      <c r="H51" s="81" t="str">
        <f aca="false">_xlfn.IFNA(VLOOKUP(C51,'بيانات الآليات '!A:G,5,FALSE()),"")</f>
        <v/>
      </c>
      <c r="I51" s="82"/>
      <c r="J51" s="83" t="str">
        <f aca="false">_xlfn.IFNA(VLOOKUP(I51,Table14543[],2,FALSE()),"")</f>
        <v/>
      </c>
      <c r="K51" s="84" t="str">
        <f aca="false">_xlfn.IFNA(VLOOKUP(I51,Table14543[],3,FALSE()),"")</f>
        <v/>
      </c>
      <c r="L51" s="83" t="str">
        <f aca="false">CONCATENATE("",I51,""," ",J51," ",K51)</f>
        <v>  </v>
      </c>
      <c r="M51" s="85"/>
      <c r="N51" s="86"/>
      <c r="O51" s="86"/>
      <c r="P51" s="86" t="n">
        <f aca="false">N51*O51</f>
        <v>0</v>
      </c>
      <c r="Q51" s="86"/>
      <c r="R51" s="87" t="n">
        <f aca="false">(O51*N51)+Q51</f>
        <v>0</v>
      </c>
      <c r="S51" s="91"/>
    </row>
    <row r="52" customFormat="false" ht="14.25" hidden="false" customHeight="false" outlineLevel="0" collapsed="false">
      <c r="A52" s="77"/>
      <c r="B52" s="78"/>
      <c r="C52" s="79"/>
      <c r="D52" s="79"/>
      <c r="E52" s="80" t="str">
        <f aca="false">_xlfn.IFNA(VLOOKUP(C52,'بيانات الآليات '!A:G,4,FALSE()),"")</f>
        <v/>
      </c>
      <c r="F52" s="81" t="str">
        <f aca="false">_xlfn.IFNA(VLOOKUP(C52,'بيانات الآليات '!A:G,2,FALSE()),"")</f>
        <v/>
      </c>
      <c r="G52" s="81"/>
      <c r="H52" s="81" t="str">
        <f aca="false">_xlfn.IFNA(VLOOKUP(C52,'بيانات الآليات '!A:G,5,FALSE()),"")</f>
        <v/>
      </c>
      <c r="I52" s="82"/>
      <c r="J52" s="83" t="str">
        <f aca="false">_xlfn.IFNA(VLOOKUP(I52,Table14543[],2,FALSE()),"")</f>
        <v/>
      </c>
      <c r="K52" s="84" t="str">
        <f aca="false">_xlfn.IFNA(VLOOKUP(I52,Table14543[],3,FALSE()),"")</f>
        <v/>
      </c>
      <c r="L52" s="83" t="str">
        <f aca="false">CONCATENATE("",I52,""," ",J52," ",K52)</f>
        <v>  </v>
      </c>
      <c r="M52" s="85"/>
      <c r="N52" s="86"/>
      <c r="O52" s="86"/>
      <c r="P52" s="86" t="n">
        <f aca="false">N52*O52</f>
        <v>0</v>
      </c>
      <c r="Q52" s="86"/>
      <c r="R52" s="87" t="n">
        <f aca="false">(O52*N52)+Q52</f>
        <v>0</v>
      </c>
      <c r="S52" s="91"/>
    </row>
    <row r="53" customFormat="false" ht="14.25" hidden="false" customHeight="false" outlineLevel="0" collapsed="false">
      <c r="A53" s="77"/>
      <c r="B53" s="78"/>
      <c r="C53" s="79"/>
      <c r="D53" s="79"/>
      <c r="E53" s="80" t="str">
        <f aca="false">_xlfn.IFNA(VLOOKUP(C53,'بيانات الآليات '!A:G,4,FALSE()),"")</f>
        <v/>
      </c>
      <c r="F53" s="81" t="str">
        <f aca="false">_xlfn.IFNA(VLOOKUP(C53,'بيانات الآليات '!A:G,2,FALSE()),"")</f>
        <v/>
      </c>
      <c r="G53" s="81"/>
      <c r="H53" s="81" t="str">
        <f aca="false">_xlfn.IFNA(VLOOKUP(C53,'بيانات الآليات '!A:G,5,FALSE()),"")</f>
        <v/>
      </c>
      <c r="I53" s="82"/>
      <c r="J53" s="83" t="str">
        <f aca="false">_xlfn.IFNA(VLOOKUP(I53,Table14543[],2,FALSE()),"")</f>
        <v/>
      </c>
      <c r="K53" s="84" t="str">
        <f aca="false">_xlfn.IFNA(VLOOKUP(I53,Table14543[],3,FALSE()),"")</f>
        <v/>
      </c>
      <c r="L53" s="83" t="str">
        <f aca="false">CONCATENATE("",I53,""," ",J53," ",K53)</f>
        <v>  </v>
      </c>
      <c r="M53" s="85"/>
      <c r="N53" s="86"/>
      <c r="O53" s="86"/>
      <c r="P53" s="86" t="n">
        <f aca="false">N53*O53</f>
        <v>0</v>
      </c>
      <c r="Q53" s="86"/>
      <c r="R53" s="87" t="n">
        <f aca="false">(O53*N53)+Q53</f>
        <v>0</v>
      </c>
      <c r="S53" s="91"/>
    </row>
    <row r="54" customFormat="false" ht="14.25" hidden="false" customHeight="false" outlineLevel="0" collapsed="false">
      <c r="A54" s="77"/>
      <c r="B54" s="78"/>
      <c r="C54" s="79"/>
      <c r="D54" s="79"/>
      <c r="E54" s="80" t="str">
        <f aca="false">_xlfn.IFNA(VLOOKUP(C54,'بيانات الآليات '!A:G,4,FALSE()),"")</f>
        <v/>
      </c>
      <c r="F54" s="81" t="str">
        <f aca="false">_xlfn.IFNA(VLOOKUP(C54,'بيانات الآليات '!A:G,2,FALSE()),"")</f>
        <v/>
      </c>
      <c r="G54" s="81"/>
      <c r="H54" s="81" t="str">
        <f aca="false">_xlfn.IFNA(VLOOKUP(C54,'بيانات الآليات '!A:G,5,FALSE()),"")</f>
        <v/>
      </c>
      <c r="I54" s="82"/>
      <c r="J54" s="83" t="str">
        <f aca="false">_xlfn.IFNA(VLOOKUP(I54,Table14543[],2,FALSE()),"")</f>
        <v/>
      </c>
      <c r="K54" s="84" t="str">
        <f aca="false">_xlfn.IFNA(VLOOKUP(I54,Table14543[],3,FALSE()),"")</f>
        <v/>
      </c>
      <c r="L54" s="83" t="str">
        <f aca="false">CONCATENATE("",I54,""," ",J54," ",K54)</f>
        <v>  </v>
      </c>
      <c r="M54" s="85"/>
      <c r="N54" s="86"/>
      <c r="O54" s="86"/>
      <c r="P54" s="86" t="n">
        <f aca="false">N54*O54</f>
        <v>0</v>
      </c>
      <c r="Q54" s="86"/>
      <c r="R54" s="87" t="n">
        <f aca="false">(O54*N54)+Q54</f>
        <v>0</v>
      </c>
      <c r="S54" s="91"/>
    </row>
    <row r="55" customFormat="false" ht="14.25" hidden="false" customHeight="false" outlineLevel="0" collapsed="false">
      <c r="A55" s="77"/>
      <c r="B55" s="78"/>
      <c r="C55" s="79"/>
      <c r="D55" s="79"/>
      <c r="E55" s="80" t="str">
        <f aca="false">_xlfn.IFNA(VLOOKUP(C55,'بيانات الآليات '!A:G,4,FALSE()),"")</f>
        <v/>
      </c>
      <c r="F55" s="81" t="str">
        <f aca="false">_xlfn.IFNA(VLOOKUP(C55,'بيانات الآليات '!A:G,2,FALSE()),"")</f>
        <v/>
      </c>
      <c r="G55" s="81"/>
      <c r="H55" s="81" t="str">
        <f aca="false">_xlfn.IFNA(VLOOKUP(C55,'بيانات الآليات '!A:G,5,FALSE()),"")</f>
        <v/>
      </c>
      <c r="I55" s="82"/>
      <c r="J55" s="83" t="str">
        <f aca="false">_xlfn.IFNA(VLOOKUP(I55,Table14543[],2,FALSE()),"")</f>
        <v/>
      </c>
      <c r="K55" s="84" t="str">
        <f aca="false">_xlfn.IFNA(VLOOKUP(I55,Table14543[],3,FALSE()),"")</f>
        <v/>
      </c>
      <c r="L55" s="83" t="str">
        <f aca="false">CONCATENATE("",I55,""," ",J55," ",K55)</f>
        <v>  </v>
      </c>
      <c r="M55" s="85"/>
      <c r="N55" s="86"/>
      <c r="O55" s="86"/>
      <c r="P55" s="86" t="n">
        <f aca="false">N55*O55</f>
        <v>0</v>
      </c>
      <c r="Q55" s="86"/>
      <c r="R55" s="87" t="n">
        <f aca="false">(O55*N55)+Q55</f>
        <v>0</v>
      </c>
      <c r="S55" s="91"/>
    </row>
    <row r="56" customFormat="false" ht="14.25" hidden="false" customHeight="false" outlineLevel="0" collapsed="false">
      <c r="A56" s="77"/>
      <c r="B56" s="78"/>
      <c r="C56" s="79"/>
      <c r="D56" s="79"/>
      <c r="E56" s="80" t="str">
        <f aca="false">_xlfn.IFNA(VLOOKUP(C56,'بيانات الآليات '!A:G,4,FALSE()),"")</f>
        <v/>
      </c>
      <c r="F56" s="81" t="str">
        <f aca="false">_xlfn.IFNA(VLOOKUP(C56,'بيانات الآليات '!A:G,2,FALSE()),"")</f>
        <v/>
      </c>
      <c r="G56" s="81"/>
      <c r="H56" s="81" t="str">
        <f aca="false">_xlfn.IFNA(VLOOKUP(C56,'بيانات الآليات '!A:G,5,FALSE()),"")</f>
        <v/>
      </c>
      <c r="I56" s="82"/>
      <c r="J56" s="83" t="str">
        <f aca="false">_xlfn.IFNA(VLOOKUP(I56,Table14543[],2,FALSE()),"")</f>
        <v/>
      </c>
      <c r="K56" s="84" t="str">
        <f aca="false">_xlfn.IFNA(VLOOKUP(I56,Table14543[],3,FALSE()),"")</f>
        <v/>
      </c>
      <c r="L56" s="83" t="str">
        <f aca="false">CONCATENATE("",I56,""," ",J56," ",K56)</f>
        <v>  </v>
      </c>
      <c r="M56" s="85"/>
      <c r="N56" s="86"/>
      <c r="O56" s="86"/>
      <c r="P56" s="86" t="n">
        <f aca="false">N56*O56</f>
        <v>0</v>
      </c>
      <c r="Q56" s="86"/>
      <c r="R56" s="87" t="n">
        <f aca="false">(O56*N56)+Q56</f>
        <v>0</v>
      </c>
      <c r="S56" s="91"/>
    </row>
    <row r="57" customFormat="false" ht="14.25" hidden="false" customHeight="false" outlineLevel="0" collapsed="false">
      <c r="A57" s="77"/>
      <c r="B57" s="78"/>
      <c r="C57" s="79"/>
      <c r="D57" s="79"/>
      <c r="E57" s="80" t="str">
        <f aca="false">_xlfn.IFNA(VLOOKUP(C57,'بيانات الآليات '!A:G,4,FALSE()),"")</f>
        <v/>
      </c>
      <c r="F57" s="81" t="str">
        <f aca="false">_xlfn.IFNA(VLOOKUP(C57,'بيانات الآليات '!A:G,2,FALSE()),"")</f>
        <v/>
      </c>
      <c r="G57" s="81"/>
      <c r="H57" s="81" t="str">
        <f aca="false">_xlfn.IFNA(VLOOKUP(C57,'بيانات الآليات '!A:G,5,FALSE()),"")</f>
        <v/>
      </c>
      <c r="I57" s="82"/>
      <c r="J57" s="83" t="str">
        <f aca="false">_xlfn.IFNA(VLOOKUP(I57,Table14543[],2,FALSE()),"")</f>
        <v/>
      </c>
      <c r="K57" s="84" t="str">
        <f aca="false">_xlfn.IFNA(VLOOKUP(I57,Table14543[],3,FALSE()),"")</f>
        <v/>
      </c>
      <c r="L57" s="83" t="str">
        <f aca="false">CONCATENATE("",I57,""," ",J57," ",K57)</f>
        <v>  </v>
      </c>
      <c r="M57" s="85"/>
      <c r="N57" s="86"/>
      <c r="O57" s="86"/>
      <c r="P57" s="86" t="n">
        <f aca="false">N57*O57</f>
        <v>0</v>
      </c>
      <c r="Q57" s="86"/>
      <c r="R57" s="87" t="n">
        <f aca="false">(O57*N57)+Q57</f>
        <v>0</v>
      </c>
      <c r="S57" s="91"/>
    </row>
    <row r="58" customFormat="false" ht="14.25" hidden="false" customHeight="false" outlineLevel="0" collapsed="false">
      <c r="A58" s="77"/>
      <c r="B58" s="78"/>
      <c r="C58" s="79"/>
      <c r="D58" s="79"/>
      <c r="E58" s="80" t="str">
        <f aca="false">_xlfn.IFNA(VLOOKUP(C58,'بيانات الآليات '!A:G,4,FALSE()),"")</f>
        <v/>
      </c>
      <c r="F58" s="81" t="str">
        <f aca="false">_xlfn.IFNA(VLOOKUP(C58,'بيانات الآليات '!A:G,2,FALSE()),"")</f>
        <v/>
      </c>
      <c r="G58" s="81"/>
      <c r="H58" s="81" t="str">
        <f aca="false">_xlfn.IFNA(VLOOKUP(C58,'بيانات الآليات '!A:G,5,FALSE()),"")</f>
        <v/>
      </c>
      <c r="I58" s="82"/>
      <c r="J58" s="83" t="str">
        <f aca="false">_xlfn.IFNA(VLOOKUP(I58,Table14543[],2,FALSE()),"")</f>
        <v/>
      </c>
      <c r="K58" s="84" t="str">
        <f aca="false">_xlfn.IFNA(VLOOKUP(I58,Table14543[],3,FALSE()),"")</f>
        <v/>
      </c>
      <c r="L58" s="83" t="str">
        <f aca="false">CONCATENATE("",I58,""," ",J58," ",K58)</f>
        <v>  </v>
      </c>
      <c r="M58" s="85"/>
      <c r="N58" s="86"/>
      <c r="O58" s="86"/>
      <c r="P58" s="86" t="n">
        <f aca="false">N58*O58</f>
        <v>0</v>
      </c>
      <c r="Q58" s="86"/>
      <c r="R58" s="87" t="n">
        <f aca="false">(O58*N58)+Q58</f>
        <v>0</v>
      </c>
      <c r="S58" s="91"/>
    </row>
    <row r="59" customFormat="false" ht="14.25" hidden="false" customHeight="false" outlineLevel="0" collapsed="false">
      <c r="A59" s="77"/>
      <c r="B59" s="78"/>
      <c r="C59" s="79"/>
      <c r="D59" s="79"/>
      <c r="E59" s="80" t="str">
        <f aca="false">_xlfn.IFNA(VLOOKUP(C59,'بيانات الآليات '!A:G,4,FALSE()),"")</f>
        <v/>
      </c>
      <c r="F59" s="81" t="str">
        <f aca="false">_xlfn.IFNA(VLOOKUP(C59,'بيانات الآليات '!A:G,2,FALSE()),"")</f>
        <v/>
      </c>
      <c r="G59" s="81"/>
      <c r="H59" s="81" t="str">
        <f aca="false">_xlfn.IFNA(VLOOKUP(C59,'بيانات الآليات '!A:G,5,FALSE()),"")</f>
        <v/>
      </c>
      <c r="I59" s="82"/>
      <c r="J59" s="83" t="str">
        <f aca="false">_xlfn.IFNA(VLOOKUP(I59,Table14543[],2,FALSE()),"")</f>
        <v/>
      </c>
      <c r="K59" s="84" t="str">
        <f aca="false">_xlfn.IFNA(VLOOKUP(I59,Table14543[],3,FALSE()),"")</f>
        <v/>
      </c>
      <c r="L59" s="83" t="str">
        <f aca="false">CONCATENATE("",I59,""," ",J59," ",K59)</f>
        <v>  </v>
      </c>
      <c r="M59" s="85"/>
      <c r="N59" s="86"/>
      <c r="O59" s="86"/>
      <c r="P59" s="86" t="n">
        <f aca="false">N59*O59</f>
        <v>0</v>
      </c>
      <c r="Q59" s="86"/>
      <c r="R59" s="87" t="n">
        <f aca="false">(O59*N59)+Q59</f>
        <v>0</v>
      </c>
      <c r="S59" s="91"/>
    </row>
    <row r="60" customFormat="false" ht="14.25" hidden="false" customHeight="false" outlineLevel="0" collapsed="false">
      <c r="A60" s="77"/>
      <c r="B60" s="78"/>
      <c r="C60" s="79"/>
      <c r="D60" s="79"/>
      <c r="E60" s="80" t="str">
        <f aca="false">_xlfn.IFNA(VLOOKUP(C60,'بيانات الآليات '!A:G,4,FALSE()),"")</f>
        <v/>
      </c>
      <c r="F60" s="81" t="str">
        <f aca="false">_xlfn.IFNA(VLOOKUP(C60,'بيانات الآليات '!A:G,2,FALSE()),"")</f>
        <v/>
      </c>
      <c r="G60" s="81"/>
      <c r="H60" s="81" t="str">
        <f aca="false">_xlfn.IFNA(VLOOKUP(C60,'بيانات الآليات '!A:G,5,FALSE()),"")</f>
        <v/>
      </c>
      <c r="I60" s="82"/>
      <c r="J60" s="83" t="str">
        <f aca="false">_xlfn.IFNA(VLOOKUP(I60,Table14543[],2,FALSE()),"")</f>
        <v/>
      </c>
      <c r="K60" s="84" t="str">
        <f aca="false">_xlfn.IFNA(VLOOKUP(I60,Table14543[],3,FALSE()),"")</f>
        <v/>
      </c>
      <c r="L60" s="83" t="str">
        <f aca="false">CONCATENATE("",I60,""," ",J60," ",K60)</f>
        <v>  </v>
      </c>
      <c r="M60" s="85"/>
      <c r="N60" s="86"/>
      <c r="O60" s="86"/>
      <c r="P60" s="86" t="n">
        <f aca="false">N60*O60</f>
        <v>0</v>
      </c>
      <c r="Q60" s="86"/>
      <c r="R60" s="87" t="n">
        <f aca="false">(O60*N60)+Q60</f>
        <v>0</v>
      </c>
      <c r="S60" s="91"/>
    </row>
    <row r="61" customFormat="false" ht="14.25" hidden="false" customHeight="false" outlineLevel="0" collapsed="false">
      <c r="A61" s="77"/>
      <c r="B61" s="78"/>
      <c r="C61" s="79"/>
      <c r="D61" s="79"/>
      <c r="E61" s="80" t="str">
        <f aca="false">_xlfn.IFNA(VLOOKUP(C61,'بيانات الآليات '!A:G,4,FALSE()),"")</f>
        <v/>
      </c>
      <c r="F61" s="81" t="str">
        <f aca="false">_xlfn.IFNA(VLOOKUP(C61,'بيانات الآليات '!A:G,2,FALSE()),"")</f>
        <v/>
      </c>
      <c r="G61" s="81"/>
      <c r="H61" s="81" t="str">
        <f aca="false">_xlfn.IFNA(VLOOKUP(C61,'بيانات الآليات '!A:G,5,FALSE()),"")</f>
        <v/>
      </c>
      <c r="I61" s="82"/>
      <c r="J61" s="83" t="str">
        <f aca="false">_xlfn.IFNA(VLOOKUP(I61,Table14543[],2,FALSE()),"")</f>
        <v/>
      </c>
      <c r="K61" s="84" t="str">
        <f aca="false">_xlfn.IFNA(VLOOKUP(I61,Table14543[],3,FALSE()),"")</f>
        <v/>
      </c>
      <c r="L61" s="83" t="str">
        <f aca="false">CONCATENATE("",I61,""," ",J61," ",K61)</f>
        <v>  </v>
      </c>
      <c r="M61" s="85"/>
      <c r="N61" s="86"/>
      <c r="O61" s="86"/>
      <c r="P61" s="86" t="n">
        <f aca="false">N61*O61</f>
        <v>0</v>
      </c>
      <c r="Q61" s="86"/>
      <c r="R61" s="87" t="n">
        <f aca="false">(O61*N61)+Q61</f>
        <v>0</v>
      </c>
      <c r="S61" s="91"/>
    </row>
    <row r="62" customFormat="false" ht="14.25" hidden="false" customHeight="false" outlineLevel="0" collapsed="false">
      <c r="A62" s="77"/>
      <c r="B62" s="78"/>
      <c r="C62" s="79"/>
      <c r="D62" s="79"/>
      <c r="E62" s="80" t="str">
        <f aca="false">_xlfn.IFNA(VLOOKUP(C62,'بيانات الآليات '!A:G,4,FALSE()),"")</f>
        <v/>
      </c>
      <c r="F62" s="81" t="str">
        <f aca="false">_xlfn.IFNA(VLOOKUP(C62,'بيانات الآليات '!A:G,2,FALSE()),"")</f>
        <v/>
      </c>
      <c r="G62" s="81"/>
      <c r="H62" s="81" t="str">
        <f aca="false">_xlfn.IFNA(VLOOKUP(C62,'بيانات الآليات '!A:G,5,FALSE()),"")</f>
        <v/>
      </c>
      <c r="I62" s="82"/>
      <c r="J62" s="83" t="str">
        <f aca="false">_xlfn.IFNA(VLOOKUP(I62,Table14543[],2,FALSE()),"")</f>
        <v/>
      </c>
      <c r="K62" s="84" t="str">
        <f aca="false">_xlfn.IFNA(VLOOKUP(I62,Table14543[],3,FALSE()),"")</f>
        <v/>
      </c>
      <c r="L62" s="83" t="str">
        <f aca="false">CONCATENATE("",I62,""," ",J62," ",K62)</f>
        <v>  </v>
      </c>
      <c r="M62" s="85"/>
      <c r="N62" s="86"/>
      <c r="O62" s="86"/>
      <c r="P62" s="86" t="n">
        <f aca="false">N62*O62</f>
        <v>0</v>
      </c>
      <c r="Q62" s="86"/>
      <c r="R62" s="87" t="n">
        <f aca="false">(O62*N62)+Q62</f>
        <v>0</v>
      </c>
      <c r="S62" s="91"/>
    </row>
    <row r="63" customFormat="false" ht="14.25" hidden="false" customHeight="false" outlineLevel="0" collapsed="false">
      <c r="A63" s="77"/>
      <c r="B63" s="78"/>
      <c r="C63" s="79"/>
      <c r="D63" s="79"/>
      <c r="E63" s="80" t="str">
        <f aca="false">_xlfn.IFNA(VLOOKUP(C63,'بيانات الآليات '!A:G,4,FALSE()),"")</f>
        <v/>
      </c>
      <c r="F63" s="81" t="str">
        <f aca="false">_xlfn.IFNA(VLOOKUP(C63,'بيانات الآليات '!A:G,2,FALSE()),"")</f>
        <v/>
      </c>
      <c r="G63" s="81"/>
      <c r="H63" s="81" t="str">
        <f aca="false">_xlfn.IFNA(VLOOKUP(C63,'بيانات الآليات '!A:G,5,FALSE()),"")</f>
        <v/>
      </c>
      <c r="I63" s="82"/>
      <c r="J63" s="83" t="str">
        <f aca="false">_xlfn.IFNA(VLOOKUP(I63,Table14543[],2,FALSE()),"")</f>
        <v/>
      </c>
      <c r="K63" s="84" t="str">
        <f aca="false">_xlfn.IFNA(VLOOKUP(I63,Table14543[],3,FALSE()),"")</f>
        <v/>
      </c>
      <c r="L63" s="83" t="str">
        <f aca="false">CONCATENATE("",I63,""," ",J63," ",K63)</f>
        <v>  </v>
      </c>
      <c r="M63" s="85"/>
      <c r="N63" s="86"/>
      <c r="O63" s="86"/>
      <c r="P63" s="86" t="n">
        <f aca="false">N63*O63</f>
        <v>0</v>
      </c>
      <c r="Q63" s="86"/>
      <c r="R63" s="87" t="n">
        <f aca="false">(O63*N63)+Q63</f>
        <v>0</v>
      </c>
      <c r="S63" s="91"/>
    </row>
    <row r="64" customFormat="false" ht="14.25" hidden="false" customHeight="false" outlineLevel="0" collapsed="false">
      <c r="A64" s="77"/>
      <c r="B64" s="78"/>
      <c r="C64" s="79"/>
      <c r="D64" s="79"/>
      <c r="E64" s="80" t="str">
        <f aca="false">_xlfn.IFNA(VLOOKUP(C64,'بيانات الآليات '!A:G,4,FALSE()),"")</f>
        <v/>
      </c>
      <c r="F64" s="81" t="str">
        <f aca="false">_xlfn.IFNA(VLOOKUP(C64,'بيانات الآليات '!A:G,2,FALSE()),"")</f>
        <v/>
      </c>
      <c r="G64" s="81"/>
      <c r="H64" s="81" t="str">
        <f aca="false">_xlfn.IFNA(VLOOKUP(C64,'بيانات الآليات '!A:G,5,FALSE()),"")</f>
        <v/>
      </c>
      <c r="I64" s="82"/>
      <c r="J64" s="83" t="str">
        <f aca="false">_xlfn.IFNA(VLOOKUP(I64,Table14543[],2,FALSE()),"")</f>
        <v/>
      </c>
      <c r="K64" s="84" t="str">
        <f aca="false">_xlfn.IFNA(VLOOKUP(I64,Table14543[],3,FALSE()),"")</f>
        <v/>
      </c>
      <c r="L64" s="83" t="str">
        <f aca="false">CONCATENATE("",I64,""," ",J64," ",K64)</f>
        <v>  </v>
      </c>
      <c r="M64" s="85"/>
      <c r="N64" s="86"/>
      <c r="O64" s="86"/>
      <c r="P64" s="86" t="n">
        <f aca="false">N64*O64</f>
        <v>0</v>
      </c>
      <c r="Q64" s="86"/>
      <c r="R64" s="87" t="n">
        <f aca="false">(O64*N64)+Q64</f>
        <v>0</v>
      </c>
      <c r="S64" s="91"/>
    </row>
    <row r="65" customFormat="false" ht="14.25" hidden="false" customHeight="false" outlineLevel="0" collapsed="false">
      <c r="A65" s="77"/>
      <c r="B65" s="78"/>
      <c r="C65" s="79"/>
      <c r="D65" s="79"/>
      <c r="E65" s="80" t="str">
        <f aca="false">_xlfn.IFNA(VLOOKUP(C65,'بيانات الآليات '!A:G,4,FALSE()),"")</f>
        <v/>
      </c>
      <c r="F65" s="81" t="str">
        <f aca="false">_xlfn.IFNA(VLOOKUP(C65,'بيانات الآليات '!A:G,2,FALSE()),"")</f>
        <v/>
      </c>
      <c r="G65" s="81"/>
      <c r="H65" s="81" t="str">
        <f aca="false">_xlfn.IFNA(VLOOKUP(C65,'بيانات الآليات '!A:G,5,FALSE()),"")</f>
        <v/>
      </c>
      <c r="I65" s="82"/>
      <c r="J65" s="83" t="str">
        <f aca="false">_xlfn.IFNA(VLOOKUP(I65,Table14543[],2,FALSE()),"")</f>
        <v/>
      </c>
      <c r="K65" s="84" t="str">
        <f aca="false">_xlfn.IFNA(VLOOKUP(I65,Table14543[],3,FALSE()),"")</f>
        <v/>
      </c>
      <c r="L65" s="83" t="str">
        <f aca="false">CONCATENATE("",I65,""," ",J65," ",K65)</f>
        <v>  </v>
      </c>
      <c r="M65" s="85"/>
      <c r="N65" s="86"/>
      <c r="O65" s="86"/>
      <c r="P65" s="86" t="n">
        <f aca="false">N65*O65</f>
        <v>0</v>
      </c>
      <c r="Q65" s="86"/>
      <c r="R65" s="87" t="n">
        <f aca="false">(O65*N65)+Q65</f>
        <v>0</v>
      </c>
      <c r="S65" s="91"/>
    </row>
    <row r="66" customFormat="false" ht="14.25" hidden="false" customHeight="false" outlineLevel="0" collapsed="false">
      <c r="A66" s="77"/>
      <c r="B66" s="78"/>
      <c r="C66" s="79"/>
      <c r="D66" s="79"/>
      <c r="E66" s="80" t="str">
        <f aca="false">_xlfn.IFNA(VLOOKUP(C66,'بيانات الآليات '!A:G,4,FALSE()),"")</f>
        <v/>
      </c>
      <c r="F66" s="81" t="str">
        <f aca="false">_xlfn.IFNA(VLOOKUP(C66,'بيانات الآليات '!A:G,2,FALSE()),"")</f>
        <v/>
      </c>
      <c r="G66" s="81"/>
      <c r="H66" s="81" t="str">
        <f aca="false">_xlfn.IFNA(VLOOKUP(C66,'بيانات الآليات '!A:G,5,FALSE()),"")</f>
        <v/>
      </c>
      <c r="I66" s="82"/>
      <c r="J66" s="83" t="str">
        <f aca="false">_xlfn.IFNA(VLOOKUP(I66,Table14543[],2,FALSE()),"")</f>
        <v/>
      </c>
      <c r="K66" s="84" t="str">
        <f aca="false">_xlfn.IFNA(VLOOKUP(I66,Table14543[],3,FALSE()),"")</f>
        <v/>
      </c>
      <c r="L66" s="83" t="str">
        <f aca="false">CONCATENATE("",I66,""," ",J66," ",K66)</f>
        <v>  </v>
      </c>
      <c r="M66" s="85"/>
      <c r="N66" s="86"/>
      <c r="O66" s="86"/>
      <c r="P66" s="86" t="n">
        <f aca="false">N66*O66</f>
        <v>0</v>
      </c>
      <c r="Q66" s="86"/>
      <c r="R66" s="87" t="n">
        <f aca="false">(O66*N66)+Q66</f>
        <v>0</v>
      </c>
      <c r="S66" s="91"/>
    </row>
    <row r="67" customFormat="false" ht="14.25" hidden="false" customHeight="false" outlineLevel="0" collapsed="false">
      <c r="A67" s="77"/>
      <c r="B67" s="78"/>
      <c r="C67" s="79"/>
      <c r="D67" s="79"/>
      <c r="E67" s="80" t="str">
        <f aca="false">_xlfn.IFNA(VLOOKUP(C67,'بيانات الآليات '!A:G,4,FALSE()),"")</f>
        <v/>
      </c>
      <c r="F67" s="81" t="str">
        <f aca="false">_xlfn.IFNA(VLOOKUP(C67,'بيانات الآليات '!A:G,2,FALSE()),"")</f>
        <v/>
      </c>
      <c r="G67" s="81"/>
      <c r="H67" s="81" t="str">
        <f aca="false">_xlfn.IFNA(VLOOKUP(C67,'بيانات الآليات '!A:G,5,FALSE()),"")</f>
        <v/>
      </c>
      <c r="I67" s="82"/>
      <c r="J67" s="83" t="str">
        <f aca="false">_xlfn.IFNA(VLOOKUP(I67,Table14543[],2,FALSE()),"")</f>
        <v/>
      </c>
      <c r="K67" s="84" t="str">
        <f aca="false">_xlfn.IFNA(VLOOKUP(I67,Table14543[],3,FALSE()),"")</f>
        <v/>
      </c>
      <c r="L67" s="83" t="str">
        <f aca="false">CONCATENATE("",I67,""," ",J67," ",K67)</f>
        <v>  </v>
      </c>
      <c r="M67" s="85"/>
      <c r="N67" s="86"/>
      <c r="O67" s="86"/>
      <c r="P67" s="86" t="n">
        <f aca="false">N67*O67</f>
        <v>0</v>
      </c>
      <c r="Q67" s="86"/>
      <c r="R67" s="87" t="n">
        <f aca="false">(O67*N67)+Q67</f>
        <v>0</v>
      </c>
      <c r="S67" s="91"/>
    </row>
    <row r="68" customFormat="false" ht="14.25" hidden="false" customHeight="false" outlineLevel="0" collapsed="false">
      <c r="A68" s="77"/>
      <c r="B68" s="78"/>
      <c r="C68" s="79"/>
      <c r="D68" s="79"/>
      <c r="E68" s="80" t="str">
        <f aca="false">_xlfn.IFNA(VLOOKUP(C68,'بيانات الآليات '!A:G,4,FALSE()),"")</f>
        <v/>
      </c>
      <c r="F68" s="81" t="str">
        <f aca="false">_xlfn.IFNA(VLOOKUP(C68,'بيانات الآليات '!A:G,2,FALSE()),"")</f>
        <v/>
      </c>
      <c r="G68" s="81"/>
      <c r="H68" s="81" t="str">
        <f aca="false">_xlfn.IFNA(VLOOKUP(C68,'بيانات الآليات '!A:G,5,FALSE()),"")</f>
        <v/>
      </c>
      <c r="I68" s="82"/>
      <c r="J68" s="83" t="str">
        <f aca="false">_xlfn.IFNA(VLOOKUP(I68,Table14543[],2,FALSE()),"")</f>
        <v/>
      </c>
      <c r="K68" s="84" t="str">
        <f aca="false">_xlfn.IFNA(VLOOKUP(I68,Table14543[],3,FALSE()),"")</f>
        <v/>
      </c>
      <c r="L68" s="83" t="str">
        <f aca="false">CONCATENATE("",I68,""," ",J68," ",K68)</f>
        <v>  </v>
      </c>
      <c r="M68" s="85"/>
      <c r="N68" s="86"/>
      <c r="O68" s="86"/>
      <c r="P68" s="86" t="n">
        <f aca="false">N68*O68</f>
        <v>0</v>
      </c>
      <c r="Q68" s="86"/>
      <c r="R68" s="87" t="n">
        <f aca="false">(O68*N68)+Q68</f>
        <v>0</v>
      </c>
      <c r="S68" s="91"/>
    </row>
    <row r="69" customFormat="false" ht="14.25" hidden="false" customHeight="false" outlineLevel="0" collapsed="false">
      <c r="A69" s="77"/>
      <c r="B69" s="78"/>
      <c r="C69" s="79"/>
      <c r="D69" s="79"/>
      <c r="E69" s="80" t="str">
        <f aca="false">_xlfn.IFNA(VLOOKUP(C69,'بيانات الآليات '!A:G,4,FALSE()),"")</f>
        <v/>
      </c>
      <c r="F69" s="81" t="str">
        <f aca="false">_xlfn.IFNA(VLOOKUP(C69,'بيانات الآليات '!A:G,2,FALSE()),"")</f>
        <v/>
      </c>
      <c r="G69" s="81"/>
      <c r="H69" s="81" t="str">
        <f aca="false">_xlfn.IFNA(VLOOKUP(C69,'بيانات الآليات '!A:G,5,FALSE()),"")</f>
        <v/>
      </c>
      <c r="I69" s="82"/>
      <c r="J69" s="83" t="str">
        <f aca="false">_xlfn.IFNA(VLOOKUP(I69,Table14543[],2,FALSE()),"")</f>
        <v/>
      </c>
      <c r="K69" s="84" t="str">
        <f aca="false">_xlfn.IFNA(VLOOKUP(I69,Table14543[],3,FALSE()),"")</f>
        <v/>
      </c>
      <c r="L69" s="83" t="str">
        <f aca="false">CONCATENATE("",I69,""," ",J69," ",K69)</f>
        <v>  </v>
      </c>
      <c r="M69" s="85"/>
      <c r="N69" s="86"/>
      <c r="O69" s="86"/>
      <c r="P69" s="86" t="n">
        <f aca="false">N69*O69</f>
        <v>0</v>
      </c>
      <c r="Q69" s="86"/>
      <c r="R69" s="87" t="n">
        <f aca="false">(O69*N69)+Q69</f>
        <v>0</v>
      </c>
      <c r="S69" s="91"/>
    </row>
    <row r="70" customFormat="false" ht="14.25" hidden="false" customHeight="false" outlineLevel="0" collapsed="false">
      <c r="A70" s="77"/>
      <c r="B70" s="78"/>
      <c r="C70" s="79"/>
      <c r="D70" s="79"/>
      <c r="E70" s="80" t="str">
        <f aca="false">_xlfn.IFNA(VLOOKUP(C70,'بيانات الآليات '!A:G,4,FALSE()),"")</f>
        <v/>
      </c>
      <c r="F70" s="81" t="str">
        <f aca="false">_xlfn.IFNA(VLOOKUP(C70,'بيانات الآليات '!A:G,2,FALSE()),"")</f>
        <v/>
      </c>
      <c r="G70" s="81"/>
      <c r="H70" s="81" t="str">
        <f aca="false">_xlfn.IFNA(VLOOKUP(C70,'بيانات الآليات '!A:G,5,FALSE()),"")</f>
        <v/>
      </c>
      <c r="I70" s="82"/>
      <c r="J70" s="83" t="str">
        <f aca="false">_xlfn.IFNA(VLOOKUP(I70,Table14543[],2,FALSE()),"")</f>
        <v/>
      </c>
      <c r="K70" s="84" t="str">
        <f aca="false">_xlfn.IFNA(VLOOKUP(I70,Table14543[],3,FALSE()),"")</f>
        <v/>
      </c>
      <c r="L70" s="83" t="str">
        <f aca="false">CONCATENATE("",I70,""," ",J70," ",K70)</f>
        <v>  </v>
      </c>
      <c r="M70" s="85"/>
      <c r="N70" s="86"/>
      <c r="O70" s="86"/>
      <c r="P70" s="86" t="n">
        <f aca="false">N70*O70</f>
        <v>0</v>
      </c>
      <c r="Q70" s="86"/>
      <c r="R70" s="87" t="n">
        <f aca="false">(O70*N70)+Q70</f>
        <v>0</v>
      </c>
      <c r="S70" s="91"/>
    </row>
    <row r="71" customFormat="false" ht="14.25" hidden="false" customHeight="false" outlineLevel="0" collapsed="false">
      <c r="A71" s="77"/>
      <c r="B71" s="78"/>
      <c r="C71" s="79"/>
      <c r="D71" s="79"/>
      <c r="E71" s="80" t="str">
        <f aca="false">_xlfn.IFNA(VLOOKUP(C71,'بيانات الآليات '!A:G,4,FALSE()),"")</f>
        <v/>
      </c>
      <c r="F71" s="81" t="str">
        <f aca="false">_xlfn.IFNA(VLOOKUP(C71,'بيانات الآليات '!A:G,2,FALSE()),"")</f>
        <v/>
      </c>
      <c r="G71" s="81"/>
      <c r="H71" s="81" t="str">
        <f aca="false">_xlfn.IFNA(VLOOKUP(C71,'بيانات الآليات '!A:G,5,FALSE()),"")</f>
        <v/>
      </c>
      <c r="I71" s="82"/>
      <c r="J71" s="83" t="str">
        <f aca="false">_xlfn.IFNA(VLOOKUP(I71,Table14543[],2,FALSE()),"")</f>
        <v/>
      </c>
      <c r="K71" s="84" t="str">
        <f aca="false">_xlfn.IFNA(VLOOKUP(I71,Table14543[],3,FALSE()),"")</f>
        <v/>
      </c>
      <c r="L71" s="83" t="str">
        <f aca="false">CONCATENATE("",I71,""," ",J71," ",K71)</f>
        <v>  </v>
      </c>
      <c r="M71" s="85"/>
      <c r="N71" s="86"/>
      <c r="O71" s="86"/>
      <c r="P71" s="86" t="n">
        <f aca="false">N71*O71</f>
        <v>0</v>
      </c>
      <c r="Q71" s="86"/>
      <c r="R71" s="87" t="n">
        <f aca="false">(O71*N71)+Q71</f>
        <v>0</v>
      </c>
      <c r="S71" s="91"/>
    </row>
    <row r="72" customFormat="false" ht="14.25" hidden="false" customHeight="false" outlineLevel="0" collapsed="false">
      <c r="A72" s="77"/>
      <c r="B72" s="78"/>
      <c r="C72" s="79"/>
      <c r="D72" s="79"/>
      <c r="E72" s="80" t="str">
        <f aca="false">_xlfn.IFNA(VLOOKUP(C72,'بيانات الآليات '!A:G,4,FALSE()),"")</f>
        <v/>
      </c>
      <c r="F72" s="81" t="str">
        <f aca="false">_xlfn.IFNA(VLOOKUP(C72,'بيانات الآليات '!A:G,2,FALSE()),"")</f>
        <v/>
      </c>
      <c r="G72" s="81"/>
      <c r="H72" s="81" t="str">
        <f aca="false">_xlfn.IFNA(VLOOKUP(C72,'بيانات الآليات '!A:G,5,FALSE()),"")</f>
        <v/>
      </c>
      <c r="I72" s="82"/>
      <c r="J72" s="83" t="str">
        <f aca="false">_xlfn.IFNA(VLOOKUP(I72,Table14543[],2,FALSE()),"")</f>
        <v/>
      </c>
      <c r="K72" s="84" t="str">
        <f aca="false">_xlfn.IFNA(VLOOKUP(I72,Table14543[],3,FALSE()),"")</f>
        <v/>
      </c>
      <c r="L72" s="83" t="str">
        <f aca="false">CONCATENATE("",I72,""," ",J72," ",K72)</f>
        <v>  </v>
      </c>
      <c r="M72" s="85"/>
      <c r="N72" s="86"/>
      <c r="O72" s="86"/>
      <c r="P72" s="86" t="n">
        <f aca="false">N72*O72</f>
        <v>0</v>
      </c>
      <c r="Q72" s="86"/>
      <c r="R72" s="87" t="n">
        <f aca="false">(O72*N72)+Q72</f>
        <v>0</v>
      </c>
      <c r="S72" s="91"/>
    </row>
    <row r="73" customFormat="false" ht="14.25" hidden="false" customHeight="false" outlineLevel="0" collapsed="false">
      <c r="A73" s="77"/>
      <c r="B73" s="78"/>
      <c r="C73" s="79"/>
      <c r="D73" s="79"/>
      <c r="E73" s="80" t="str">
        <f aca="false">_xlfn.IFNA(VLOOKUP(C73,'بيانات الآليات '!A:G,4,FALSE()),"")</f>
        <v/>
      </c>
      <c r="F73" s="81" t="str">
        <f aca="false">_xlfn.IFNA(VLOOKUP(C73,'بيانات الآليات '!A:G,2,FALSE()),"")</f>
        <v/>
      </c>
      <c r="G73" s="81"/>
      <c r="H73" s="81" t="str">
        <f aca="false">_xlfn.IFNA(VLOOKUP(C73,'بيانات الآليات '!A:G,5,FALSE()),"")</f>
        <v/>
      </c>
      <c r="I73" s="82"/>
      <c r="J73" s="83" t="str">
        <f aca="false">_xlfn.IFNA(VLOOKUP(I73,Table14543[],2,FALSE()),"")</f>
        <v/>
      </c>
      <c r="K73" s="84" t="str">
        <f aca="false">_xlfn.IFNA(VLOOKUP(I73,Table14543[],3,FALSE()),"")</f>
        <v/>
      </c>
      <c r="L73" s="83" t="str">
        <f aca="false">CONCATENATE("",I73,""," ",J73," ",K73)</f>
        <v>  </v>
      </c>
      <c r="M73" s="85"/>
      <c r="N73" s="86"/>
      <c r="O73" s="86"/>
      <c r="P73" s="86" t="n">
        <f aca="false">N73*O73</f>
        <v>0</v>
      </c>
      <c r="Q73" s="86"/>
      <c r="R73" s="87" t="n">
        <f aca="false">(O73*N73)+Q73</f>
        <v>0</v>
      </c>
      <c r="S73" s="91"/>
    </row>
    <row r="74" customFormat="false" ht="14.25" hidden="false" customHeight="false" outlineLevel="0" collapsed="false">
      <c r="A74" s="77"/>
      <c r="B74" s="78"/>
      <c r="C74" s="79"/>
      <c r="D74" s="79"/>
      <c r="E74" s="80" t="str">
        <f aca="false">_xlfn.IFNA(VLOOKUP(C74,'بيانات الآليات '!A:G,4,FALSE()),"")</f>
        <v/>
      </c>
      <c r="F74" s="81" t="str">
        <f aca="false">_xlfn.IFNA(VLOOKUP(C74,'بيانات الآليات '!A:G,2,FALSE()),"")</f>
        <v/>
      </c>
      <c r="G74" s="81"/>
      <c r="H74" s="81" t="str">
        <f aca="false">_xlfn.IFNA(VLOOKUP(C74,'بيانات الآليات '!A:G,5,FALSE()),"")</f>
        <v/>
      </c>
      <c r="I74" s="82"/>
      <c r="J74" s="83" t="str">
        <f aca="false">_xlfn.IFNA(VLOOKUP(I74,Table14543[],2,FALSE()),"")</f>
        <v/>
      </c>
      <c r="K74" s="84" t="str">
        <f aca="false">_xlfn.IFNA(VLOOKUP(I74,Table14543[],3,FALSE()),"")</f>
        <v/>
      </c>
      <c r="L74" s="83" t="str">
        <f aca="false">CONCATENATE("",I74,""," ",J74," ",K74)</f>
        <v>  </v>
      </c>
      <c r="M74" s="85"/>
      <c r="N74" s="86"/>
      <c r="O74" s="86"/>
      <c r="P74" s="86" t="n">
        <f aca="false">N74*O74</f>
        <v>0</v>
      </c>
      <c r="Q74" s="86"/>
      <c r="R74" s="87" t="n">
        <f aca="false">(O74*N74)+Q74</f>
        <v>0</v>
      </c>
      <c r="S74" s="91"/>
    </row>
    <row r="75" customFormat="false" ht="14.25" hidden="false" customHeight="false" outlineLevel="0" collapsed="false">
      <c r="A75" s="77"/>
      <c r="B75" s="78"/>
      <c r="C75" s="79"/>
      <c r="D75" s="79"/>
      <c r="E75" s="80" t="str">
        <f aca="false">_xlfn.IFNA(VLOOKUP(C75,'بيانات الآليات '!A:G,4,FALSE()),"")</f>
        <v/>
      </c>
      <c r="F75" s="81" t="str">
        <f aca="false">_xlfn.IFNA(VLOOKUP(C75,'بيانات الآليات '!A:G,2,FALSE()),"")</f>
        <v/>
      </c>
      <c r="G75" s="81"/>
      <c r="H75" s="81" t="str">
        <f aca="false">_xlfn.IFNA(VLOOKUP(C75,'بيانات الآليات '!A:G,5,FALSE()),"")</f>
        <v/>
      </c>
      <c r="I75" s="82"/>
      <c r="J75" s="83" t="str">
        <f aca="false">_xlfn.IFNA(VLOOKUP(I75,Table14543[],2,FALSE()),"")</f>
        <v/>
      </c>
      <c r="K75" s="84" t="str">
        <f aca="false">_xlfn.IFNA(VLOOKUP(I75,Table14543[],3,FALSE()),"")</f>
        <v/>
      </c>
      <c r="L75" s="83" t="str">
        <f aca="false">CONCATENATE("",I75,""," ",J75," ",K75)</f>
        <v>  </v>
      </c>
      <c r="M75" s="85"/>
      <c r="N75" s="86"/>
      <c r="O75" s="86"/>
      <c r="P75" s="86" t="n">
        <f aca="false">N75*O75</f>
        <v>0</v>
      </c>
      <c r="Q75" s="86"/>
      <c r="R75" s="87" t="n">
        <f aca="false">(O75*N75)+Q75</f>
        <v>0</v>
      </c>
      <c r="S75" s="91"/>
    </row>
    <row r="76" customFormat="false" ht="14.25" hidden="false" customHeight="false" outlineLevel="0" collapsed="false">
      <c r="A76" s="77"/>
      <c r="B76" s="78"/>
      <c r="C76" s="79"/>
      <c r="D76" s="79"/>
      <c r="E76" s="80" t="str">
        <f aca="false">_xlfn.IFNA(VLOOKUP(C76,'بيانات الآليات '!A:G,4,FALSE()),"")</f>
        <v/>
      </c>
      <c r="F76" s="81" t="str">
        <f aca="false">_xlfn.IFNA(VLOOKUP(C76,'بيانات الآليات '!A:G,2,FALSE()),"")</f>
        <v/>
      </c>
      <c r="G76" s="81"/>
      <c r="H76" s="81" t="str">
        <f aca="false">_xlfn.IFNA(VLOOKUP(C76,'بيانات الآليات '!A:G,5,FALSE()),"")</f>
        <v/>
      </c>
      <c r="I76" s="82"/>
      <c r="J76" s="83" t="str">
        <f aca="false">_xlfn.IFNA(VLOOKUP(I76,Table14543[],2,FALSE()),"")</f>
        <v/>
      </c>
      <c r="K76" s="84" t="str">
        <f aca="false">_xlfn.IFNA(VLOOKUP(I76,Table14543[],3,FALSE()),"")</f>
        <v/>
      </c>
      <c r="L76" s="83" t="str">
        <f aca="false">CONCATENATE("",I76,""," ",J76," ",K76)</f>
        <v>  </v>
      </c>
      <c r="M76" s="85"/>
      <c r="N76" s="86"/>
      <c r="O76" s="86"/>
      <c r="P76" s="86" t="n">
        <f aca="false">N76*O76</f>
        <v>0</v>
      </c>
      <c r="Q76" s="86"/>
      <c r="R76" s="87" t="n">
        <f aca="false">(O76*N76)+Q76</f>
        <v>0</v>
      </c>
      <c r="S76" s="91"/>
    </row>
    <row r="77" customFormat="false" ht="14.25" hidden="false" customHeight="false" outlineLevel="0" collapsed="false">
      <c r="A77" s="77"/>
      <c r="B77" s="78"/>
      <c r="C77" s="79"/>
      <c r="D77" s="79"/>
      <c r="E77" s="80" t="str">
        <f aca="false">_xlfn.IFNA(VLOOKUP(C77,'بيانات الآليات '!A:G,4,FALSE()),"")</f>
        <v/>
      </c>
      <c r="F77" s="81" t="str">
        <f aca="false">_xlfn.IFNA(VLOOKUP(C77,'بيانات الآليات '!A:G,2,FALSE()),"")</f>
        <v/>
      </c>
      <c r="G77" s="81"/>
      <c r="H77" s="81" t="str">
        <f aca="false">_xlfn.IFNA(VLOOKUP(C77,'بيانات الآليات '!A:G,5,FALSE()),"")</f>
        <v/>
      </c>
      <c r="I77" s="82"/>
      <c r="J77" s="83" t="str">
        <f aca="false">_xlfn.IFNA(VLOOKUP(I77,Table14543[],2,FALSE()),"")</f>
        <v/>
      </c>
      <c r="K77" s="84" t="str">
        <f aca="false">_xlfn.IFNA(VLOOKUP(I77,Table14543[],3,FALSE()),"")</f>
        <v/>
      </c>
      <c r="L77" s="83" t="str">
        <f aca="false">CONCATENATE("",I77,""," ",J77," ",K77)</f>
        <v>  </v>
      </c>
      <c r="M77" s="85"/>
      <c r="N77" s="86"/>
      <c r="O77" s="86"/>
      <c r="P77" s="86" t="n">
        <f aca="false">N77*O77</f>
        <v>0</v>
      </c>
      <c r="Q77" s="86"/>
      <c r="R77" s="87" t="n">
        <f aca="false">(O77*N77)+Q77</f>
        <v>0</v>
      </c>
      <c r="S77" s="91"/>
    </row>
    <row r="78" customFormat="false" ht="14.25" hidden="false" customHeight="false" outlineLevel="0" collapsed="false">
      <c r="A78" s="77"/>
      <c r="B78" s="78"/>
      <c r="C78" s="79"/>
      <c r="D78" s="79"/>
      <c r="E78" s="80" t="str">
        <f aca="false">_xlfn.IFNA(VLOOKUP(C78,'بيانات الآليات '!A:G,4,FALSE()),"")</f>
        <v/>
      </c>
      <c r="F78" s="81" t="str">
        <f aca="false">_xlfn.IFNA(VLOOKUP(C78,'بيانات الآليات '!A:G,2,FALSE()),"")</f>
        <v/>
      </c>
      <c r="G78" s="81"/>
      <c r="H78" s="81" t="str">
        <f aca="false">_xlfn.IFNA(VLOOKUP(C78,'بيانات الآليات '!A:G,5,FALSE()),"")</f>
        <v/>
      </c>
      <c r="I78" s="82"/>
      <c r="J78" s="83" t="str">
        <f aca="false">_xlfn.IFNA(VLOOKUP(I78,Table14543[],2,FALSE()),"")</f>
        <v/>
      </c>
      <c r="K78" s="84" t="str">
        <f aca="false">_xlfn.IFNA(VLOOKUP(I78,Table14543[],3,FALSE()),"")</f>
        <v/>
      </c>
      <c r="L78" s="83" t="str">
        <f aca="false">CONCATENATE("",I78,""," ",J78," ",K78)</f>
        <v>  </v>
      </c>
      <c r="M78" s="85"/>
      <c r="N78" s="86"/>
      <c r="O78" s="86"/>
      <c r="P78" s="86" t="n">
        <f aca="false">N78*O78</f>
        <v>0</v>
      </c>
      <c r="Q78" s="86"/>
      <c r="R78" s="87" t="n">
        <f aca="false">(O78*N78)+Q78</f>
        <v>0</v>
      </c>
      <c r="S78" s="91"/>
    </row>
    <row r="79" customFormat="false" ht="14.25" hidden="false" customHeight="false" outlineLevel="0" collapsed="false">
      <c r="A79" s="77"/>
      <c r="B79" s="78"/>
      <c r="C79" s="79"/>
      <c r="D79" s="79"/>
      <c r="E79" s="80" t="str">
        <f aca="false">_xlfn.IFNA(VLOOKUP(C79,'بيانات الآليات '!A:G,4,FALSE()),"")</f>
        <v/>
      </c>
      <c r="F79" s="81" t="str">
        <f aca="false">_xlfn.IFNA(VLOOKUP(C79,'بيانات الآليات '!A:G,2,FALSE()),"")</f>
        <v/>
      </c>
      <c r="G79" s="81"/>
      <c r="H79" s="81" t="str">
        <f aca="false">_xlfn.IFNA(VLOOKUP(C79,'بيانات الآليات '!A:G,5,FALSE()),"")</f>
        <v/>
      </c>
      <c r="I79" s="82"/>
      <c r="J79" s="83" t="str">
        <f aca="false">_xlfn.IFNA(VLOOKUP(I79,Table14543[],2,FALSE()),"")</f>
        <v/>
      </c>
      <c r="K79" s="84" t="str">
        <f aca="false">_xlfn.IFNA(VLOOKUP(I79,Table14543[],3,FALSE()),"")</f>
        <v/>
      </c>
      <c r="L79" s="83" t="str">
        <f aca="false">CONCATENATE("",I79,""," ",J79," ",K79)</f>
        <v>  </v>
      </c>
      <c r="M79" s="85"/>
      <c r="N79" s="86"/>
      <c r="O79" s="86"/>
      <c r="P79" s="86" t="n">
        <f aca="false">N79*O79</f>
        <v>0</v>
      </c>
      <c r="Q79" s="86"/>
      <c r="R79" s="87" t="n">
        <f aca="false">(O79*N79)+Q79</f>
        <v>0</v>
      </c>
      <c r="S79" s="91"/>
    </row>
    <row r="80" customFormat="false" ht="14.25" hidden="false" customHeight="false" outlineLevel="0" collapsed="false">
      <c r="A80" s="77"/>
      <c r="B80" s="78"/>
      <c r="C80" s="79"/>
      <c r="D80" s="79"/>
      <c r="E80" s="80" t="str">
        <f aca="false">_xlfn.IFNA(VLOOKUP(C80,'بيانات الآليات '!A:G,4,FALSE()),"")</f>
        <v/>
      </c>
      <c r="F80" s="81" t="str">
        <f aca="false">_xlfn.IFNA(VLOOKUP(C80,'بيانات الآليات '!A:G,2,FALSE()),"")</f>
        <v/>
      </c>
      <c r="G80" s="81"/>
      <c r="H80" s="81" t="str">
        <f aca="false">_xlfn.IFNA(VLOOKUP(C80,'بيانات الآليات '!A:G,5,FALSE()),"")</f>
        <v/>
      </c>
      <c r="I80" s="82"/>
      <c r="J80" s="83" t="str">
        <f aca="false">_xlfn.IFNA(VLOOKUP(I80,Table14543[],2,FALSE()),"")</f>
        <v/>
      </c>
      <c r="K80" s="84" t="str">
        <f aca="false">_xlfn.IFNA(VLOOKUP(I80,Table14543[],3,FALSE()),"")</f>
        <v/>
      </c>
      <c r="L80" s="83" t="str">
        <f aca="false">CONCATENATE("",I80,""," ",J80," ",K80)</f>
        <v>  </v>
      </c>
      <c r="M80" s="85"/>
      <c r="N80" s="86"/>
      <c r="O80" s="86"/>
      <c r="P80" s="86" t="n">
        <f aca="false">N80*O80</f>
        <v>0</v>
      </c>
      <c r="Q80" s="86"/>
      <c r="R80" s="87" t="n">
        <f aca="false">(O80*N80)+Q80</f>
        <v>0</v>
      </c>
      <c r="S80" s="91"/>
    </row>
    <row r="81" customFormat="false" ht="14.25" hidden="false" customHeight="false" outlineLevel="0" collapsed="false">
      <c r="A81" s="77"/>
      <c r="B81" s="78"/>
      <c r="C81" s="79"/>
      <c r="D81" s="79"/>
      <c r="E81" s="80" t="str">
        <f aca="false">_xlfn.IFNA(VLOOKUP(C81,'بيانات الآليات '!A:G,4,FALSE()),"")</f>
        <v/>
      </c>
      <c r="F81" s="81" t="str">
        <f aca="false">_xlfn.IFNA(VLOOKUP(C81,'بيانات الآليات '!A:G,2,FALSE()),"")</f>
        <v/>
      </c>
      <c r="G81" s="81"/>
      <c r="H81" s="81" t="str">
        <f aca="false">_xlfn.IFNA(VLOOKUP(C81,'بيانات الآليات '!A:G,5,FALSE()),"")</f>
        <v/>
      </c>
      <c r="I81" s="82"/>
      <c r="J81" s="83" t="str">
        <f aca="false">_xlfn.IFNA(VLOOKUP(I81,Table14543[],2,FALSE()),"")</f>
        <v/>
      </c>
      <c r="K81" s="84" t="str">
        <f aca="false">_xlfn.IFNA(VLOOKUP(I81,Table14543[],3,FALSE()),"")</f>
        <v/>
      </c>
      <c r="L81" s="83" t="str">
        <f aca="false">CONCATENATE("",I81,""," ",J81," ",K81)</f>
        <v>  </v>
      </c>
      <c r="M81" s="85"/>
      <c r="N81" s="86"/>
      <c r="O81" s="86"/>
      <c r="P81" s="86" t="n">
        <f aca="false">N81*O81</f>
        <v>0</v>
      </c>
      <c r="Q81" s="86"/>
      <c r="R81" s="87" t="n">
        <f aca="false">(O81*N81)+Q81</f>
        <v>0</v>
      </c>
      <c r="S81" s="91"/>
    </row>
    <row r="82" customFormat="false" ht="14.25" hidden="false" customHeight="false" outlineLevel="0" collapsed="false">
      <c r="A82" s="77"/>
      <c r="B82" s="78"/>
      <c r="C82" s="79"/>
      <c r="D82" s="79"/>
      <c r="E82" s="80" t="str">
        <f aca="false">_xlfn.IFNA(VLOOKUP(C82,'بيانات الآليات '!A:G,4,FALSE()),"")</f>
        <v/>
      </c>
      <c r="F82" s="81" t="str">
        <f aca="false">_xlfn.IFNA(VLOOKUP(C82,'بيانات الآليات '!A:G,2,FALSE()),"")</f>
        <v/>
      </c>
      <c r="G82" s="81"/>
      <c r="H82" s="81" t="str">
        <f aca="false">_xlfn.IFNA(VLOOKUP(C82,'بيانات الآليات '!A:G,5,FALSE()),"")</f>
        <v/>
      </c>
      <c r="I82" s="82"/>
      <c r="J82" s="83" t="str">
        <f aca="false">_xlfn.IFNA(VLOOKUP(I82,Table14543[],2,FALSE()),"")</f>
        <v/>
      </c>
      <c r="K82" s="84" t="str">
        <f aca="false">_xlfn.IFNA(VLOOKUP(I82,Table14543[],3,FALSE()),"")</f>
        <v/>
      </c>
      <c r="L82" s="83" t="str">
        <f aca="false">CONCATENATE("",I82,""," ",J82," ",K82)</f>
        <v>  </v>
      </c>
      <c r="M82" s="85"/>
      <c r="N82" s="86"/>
      <c r="O82" s="86"/>
      <c r="P82" s="86" t="n">
        <f aca="false">N82*O82</f>
        <v>0</v>
      </c>
      <c r="Q82" s="86"/>
      <c r="R82" s="87" t="n">
        <f aca="false">(O82*N82)+Q82</f>
        <v>0</v>
      </c>
      <c r="S82" s="91"/>
    </row>
    <row r="83" customFormat="false" ht="14.25" hidden="false" customHeight="false" outlineLevel="0" collapsed="false">
      <c r="A83" s="77"/>
      <c r="B83" s="78"/>
      <c r="C83" s="79"/>
      <c r="D83" s="79"/>
      <c r="E83" s="80" t="str">
        <f aca="false">_xlfn.IFNA(VLOOKUP(C83,'بيانات الآليات '!A:G,4,FALSE()),"")</f>
        <v/>
      </c>
      <c r="F83" s="81" t="str">
        <f aca="false">_xlfn.IFNA(VLOOKUP(C83,'بيانات الآليات '!A:G,2,FALSE()),"")</f>
        <v/>
      </c>
      <c r="G83" s="81"/>
      <c r="H83" s="81" t="str">
        <f aca="false">_xlfn.IFNA(VLOOKUP(C83,'بيانات الآليات '!A:G,5,FALSE()),"")</f>
        <v/>
      </c>
      <c r="I83" s="82"/>
      <c r="J83" s="83" t="str">
        <f aca="false">_xlfn.IFNA(VLOOKUP(I83,Table14543[],2,FALSE()),"")</f>
        <v/>
      </c>
      <c r="K83" s="84" t="str">
        <f aca="false">_xlfn.IFNA(VLOOKUP(I83,Table14543[],3,FALSE()),"")</f>
        <v/>
      </c>
      <c r="L83" s="83" t="str">
        <f aca="false">CONCATENATE("",I83,""," ",J83," ",K83)</f>
        <v>  </v>
      </c>
      <c r="M83" s="85"/>
      <c r="N83" s="86"/>
      <c r="O83" s="86"/>
      <c r="P83" s="86" t="n">
        <f aca="false">N83*O83</f>
        <v>0</v>
      </c>
      <c r="Q83" s="86"/>
      <c r="R83" s="87" t="n">
        <f aca="false">(O83*N83)+Q83</f>
        <v>0</v>
      </c>
      <c r="S83" s="91"/>
    </row>
    <row r="84" customFormat="false" ht="14.25" hidden="false" customHeight="false" outlineLevel="0" collapsed="false">
      <c r="A84" s="77"/>
      <c r="B84" s="78"/>
      <c r="C84" s="79"/>
      <c r="D84" s="79"/>
      <c r="E84" s="80" t="str">
        <f aca="false">_xlfn.IFNA(VLOOKUP(C84,'بيانات الآليات '!A:G,4,FALSE()),"")</f>
        <v/>
      </c>
      <c r="F84" s="81" t="str">
        <f aca="false">_xlfn.IFNA(VLOOKUP(C84,'بيانات الآليات '!A:G,2,FALSE()),"")</f>
        <v/>
      </c>
      <c r="G84" s="81"/>
      <c r="H84" s="81" t="str">
        <f aca="false">_xlfn.IFNA(VLOOKUP(C84,'بيانات الآليات '!A:G,5,FALSE()),"")</f>
        <v/>
      </c>
      <c r="I84" s="82"/>
      <c r="J84" s="83" t="str">
        <f aca="false">_xlfn.IFNA(VLOOKUP(I84,Table14543[],2,FALSE()),"")</f>
        <v/>
      </c>
      <c r="K84" s="84" t="str">
        <f aca="false">_xlfn.IFNA(VLOOKUP(I84,Table14543[],3,FALSE()),"")</f>
        <v/>
      </c>
      <c r="L84" s="83" t="str">
        <f aca="false">CONCATENATE("",I84,""," ",J84," ",K84)</f>
        <v>  </v>
      </c>
      <c r="M84" s="85"/>
      <c r="N84" s="86"/>
      <c r="O84" s="86"/>
      <c r="P84" s="86" t="n">
        <f aca="false">N84*O84</f>
        <v>0</v>
      </c>
      <c r="Q84" s="86"/>
      <c r="R84" s="87" t="n">
        <f aca="false">(O84*N84)+Q84</f>
        <v>0</v>
      </c>
      <c r="S84" s="91"/>
    </row>
    <row r="85" customFormat="false" ht="14.25" hidden="false" customHeight="false" outlineLevel="0" collapsed="false">
      <c r="A85" s="77"/>
      <c r="B85" s="78"/>
      <c r="C85" s="79"/>
      <c r="D85" s="79"/>
      <c r="E85" s="80" t="str">
        <f aca="false">_xlfn.IFNA(VLOOKUP(C85,'بيانات الآليات '!A:G,4,FALSE()),"")</f>
        <v/>
      </c>
      <c r="F85" s="81" t="str">
        <f aca="false">_xlfn.IFNA(VLOOKUP(C85,'بيانات الآليات '!A:G,2,FALSE()),"")</f>
        <v/>
      </c>
      <c r="G85" s="81"/>
      <c r="H85" s="81" t="str">
        <f aca="false">_xlfn.IFNA(VLOOKUP(C85,'بيانات الآليات '!A:G,5,FALSE()),"")</f>
        <v/>
      </c>
      <c r="I85" s="82"/>
      <c r="J85" s="83" t="str">
        <f aca="false">_xlfn.IFNA(VLOOKUP(I85,Table14543[],2,FALSE()),"")</f>
        <v/>
      </c>
      <c r="K85" s="84" t="str">
        <f aca="false">_xlfn.IFNA(VLOOKUP(I85,Table14543[],3,FALSE()),"")</f>
        <v/>
      </c>
      <c r="L85" s="83" t="str">
        <f aca="false">CONCATENATE("",I85,""," ",J85," ",K85)</f>
        <v>  </v>
      </c>
      <c r="M85" s="85"/>
      <c r="N85" s="86"/>
      <c r="O85" s="86"/>
      <c r="P85" s="86" t="n">
        <f aca="false">N85*O85</f>
        <v>0</v>
      </c>
      <c r="Q85" s="86"/>
      <c r="R85" s="87" t="n">
        <f aca="false">(O85*N85)+Q85</f>
        <v>0</v>
      </c>
      <c r="S85" s="91"/>
    </row>
    <row r="86" customFormat="false" ht="14.25" hidden="false" customHeight="false" outlineLevel="0" collapsed="false">
      <c r="A86" s="77"/>
      <c r="B86" s="78"/>
      <c r="C86" s="79"/>
      <c r="D86" s="79"/>
      <c r="E86" s="80" t="str">
        <f aca="false">_xlfn.IFNA(VLOOKUP(C86,'بيانات الآليات '!A:G,4,FALSE()),"")</f>
        <v/>
      </c>
      <c r="F86" s="81" t="str">
        <f aca="false">_xlfn.IFNA(VLOOKUP(C86,'بيانات الآليات '!A:G,2,FALSE()),"")</f>
        <v/>
      </c>
      <c r="G86" s="81"/>
      <c r="H86" s="81" t="str">
        <f aca="false">_xlfn.IFNA(VLOOKUP(C86,'بيانات الآليات '!A:G,5,FALSE()),"")</f>
        <v/>
      </c>
      <c r="I86" s="82"/>
      <c r="J86" s="83" t="str">
        <f aca="false">_xlfn.IFNA(VLOOKUP(I86,Table14543[],2,FALSE()),"")</f>
        <v/>
      </c>
      <c r="K86" s="84" t="str">
        <f aca="false">_xlfn.IFNA(VLOOKUP(I86,Table14543[],3,FALSE()),"")</f>
        <v/>
      </c>
      <c r="L86" s="83" t="str">
        <f aca="false">CONCATENATE("",I86,""," ",J86," ",K86)</f>
        <v>  </v>
      </c>
      <c r="M86" s="85"/>
      <c r="N86" s="86"/>
      <c r="O86" s="86"/>
      <c r="P86" s="86" t="n">
        <f aca="false">N86*O86</f>
        <v>0</v>
      </c>
      <c r="Q86" s="86"/>
      <c r="R86" s="87" t="n">
        <f aca="false">(O86*N86)+Q86</f>
        <v>0</v>
      </c>
      <c r="S86" s="91"/>
    </row>
    <row r="87" customFormat="false" ht="14.25" hidden="false" customHeight="false" outlineLevel="0" collapsed="false">
      <c r="A87" s="77"/>
      <c r="B87" s="78"/>
      <c r="C87" s="79"/>
      <c r="D87" s="79"/>
      <c r="E87" s="80" t="str">
        <f aca="false">_xlfn.IFNA(VLOOKUP(C87,'بيانات الآليات '!A:G,4,FALSE()),"")</f>
        <v/>
      </c>
      <c r="F87" s="81" t="str">
        <f aca="false">_xlfn.IFNA(VLOOKUP(C87,'بيانات الآليات '!A:G,2,FALSE()),"")</f>
        <v/>
      </c>
      <c r="G87" s="81"/>
      <c r="H87" s="81" t="str">
        <f aca="false">_xlfn.IFNA(VLOOKUP(C87,'بيانات الآليات '!A:G,5,FALSE()),"")</f>
        <v/>
      </c>
      <c r="I87" s="82"/>
      <c r="J87" s="83" t="str">
        <f aca="false">_xlfn.IFNA(VLOOKUP(I87,Table14543[],2,FALSE()),"")</f>
        <v/>
      </c>
      <c r="K87" s="84" t="str">
        <f aca="false">_xlfn.IFNA(VLOOKUP(I87,Table14543[],3,FALSE()),"")</f>
        <v/>
      </c>
      <c r="L87" s="83" t="str">
        <f aca="false">CONCATENATE("",I87,""," ",J87," ",K87)</f>
        <v>  </v>
      </c>
      <c r="M87" s="85"/>
      <c r="N87" s="86"/>
      <c r="O87" s="86"/>
      <c r="P87" s="86" t="n">
        <f aca="false">N87*O87</f>
        <v>0</v>
      </c>
      <c r="Q87" s="86"/>
      <c r="R87" s="87" t="n">
        <f aca="false">(O87*N87)+Q87</f>
        <v>0</v>
      </c>
      <c r="S87" s="91"/>
    </row>
    <row r="88" customFormat="false" ht="14.25" hidden="false" customHeight="false" outlineLevel="0" collapsed="false">
      <c r="A88" s="77"/>
      <c r="B88" s="78"/>
      <c r="C88" s="79"/>
      <c r="D88" s="79"/>
      <c r="E88" s="80" t="str">
        <f aca="false">_xlfn.IFNA(VLOOKUP(C88,'بيانات الآليات '!A:G,4,FALSE()),"")</f>
        <v/>
      </c>
      <c r="F88" s="81" t="str">
        <f aca="false">_xlfn.IFNA(VLOOKUP(C88,'بيانات الآليات '!A:G,2,FALSE()),"")</f>
        <v/>
      </c>
      <c r="G88" s="81"/>
      <c r="H88" s="81" t="str">
        <f aca="false">_xlfn.IFNA(VLOOKUP(C88,'بيانات الآليات '!A:G,5,FALSE()),"")</f>
        <v/>
      </c>
      <c r="I88" s="82"/>
      <c r="J88" s="83" t="str">
        <f aca="false">_xlfn.IFNA(VLOOKUP(I88,Table14543[],2,FALSE()),"")</f>
        <v/>
      </c>
      <c r="K88" s="84" t="str">
        <f aca="false">_xlfn.IFNA(VLOOKUP(I88,Table14543[],3,FALSE()),"")</f>
        <v/>
      </c>
      <c r="L88" s="83" t="str">
        <f aca="false">CONCATENATE("",I88,""," ",J88," ",K88)</f>
        <v>  </v>
      </c>
      <c r="M88" s="85"/>
      <c r="N88" s="86"/>
      <c r="O88" s="86"/>
      <c r="P88" s="86" t="n">
        <f aca="false">N88*O88</f>
        <v>0</v>
      </c>
      <c r="Q88" s="86"/>
      <c r="R88" s="87" t="n">
        <f aca="false">(O88*N88)+Q88</f>
        <v>0</v>
      </c>
      <c r="S88" s="91"/>
    </row>
    <row r="89" customFormat="false" ht="14.25" hidden="false" customHeight="false" outlineLevel="0" collapsed="false">
      <c r="A89" s="77"/>
      <c r="B89" s="78"/>
      <c r="C89" s="79"/>
      <c r="D89" s="79"/>
      <c r="E89" s="80" t="str">
        <f aca="false">_xlfn.IFNA(VLOOKUP(C89,'بيانات الآليات '!A:G,4,FALSE()),"")</f>
        <v/>
      </c>
      <c r="F89" s="81" t="str">
        <f aca="false">_xlfn.IFNA(VLOOKUP(C89,'بيانات الآليات '!A:G,2,FALSE()),"")</f>
        <v/>
      </c>
      <c r="G89" s="81"/>
      <c r="H89" s="81" t="str">
        <f aca="false">_xlfn.IFNA(VLOOKUP(C89,'بيانات الآليات '!A:G,5,FALSE()),"")</f>
        <v/>
      </c>
      <c r="I89" s="82"/>
      <c r="J89" s="83" t="str">
        <f aca="false">_xlfn.IFNA(VLOOKUP(I89,Table14543[],2,FALSE()),"")</f>
        <v/>
      </c>
      <c r="K89" s="84" t="str">
        <f aca="false">_xlfn.IFNA(VLOOKUP(I89,Table14543[],3,FALSE()),"")</f>
        <v/>
      </c>
      <c r="L89" s="83" t="str">
        <f aca="false">CONCATENATE("",I89,""," ",J89," ",K89)</f>
        <v>  </v>
      </c>
      <c r="M89" s="85"/>
      <c r="N89" s="86"/>
      <c r="O89" s="86"/>
      <c r="P89" s="86" t="n">
        <f aca="false">N89*O89</f>
        <v>0</v>
      </c>
      <c r="Q89" s="86"/>
      <c r="R89" s="87" t="n">
        <f aca="false">(O89*N89)+Q89</f>
        <v>0</v>
      </c>
      <c r="S89" s="91"/>
    </row>
    <row r="90" customFormat="false" ht="14.25" hidden="false" customHeight="false" outlineLevel="0" collapsed="false">
      <c r="A90" s="77"/>
      <c r="B90" s="78"/>
      <c r="C90" s="79"/>
      <c r="D90" s="79"/>
      <c r="E90" s="80" t="str">
        <f aca="false">_xlfn.IFNA(VLOOKUP(C90,'بيانات الآليات '!A:G,4,FALSE()),"")</f>
        <v/>
      </c>
      <c r="F90" s="81" t="str">
        <f aca="false">_xlfn.IFNA(VLOOKUP(C90,'بيانات الآليات '!A:G,2,FALSE()),"")</f>
        <v/>
      </c>
      <c r="G90" s="81"/>
      <c r="H90" s="81" t="str">
        <f aca="false">_xlfn.IFNA(VLOOKUP(C90,'بيانات الآليات '!A:G,5,FALSE()),"")</f>
        <v/>
      </c>
      <c r="I90" s="82"/>
      <c r="J90" s="83" t="str">
        <f aca="false">_xlfn.IFNA(VLOOKUP(I90,Table14543[],2,FALSE()),"")</f>
        <v/>
      </c>
      <c r="K90" s="84" t="str">
        <f aca="false">_xlfn.IFNA(VLOOKUP(I90,Table14543[],3,FALSE()),"")</f>
        <v/>
      </c>
      <c r="L90" s="83" t="str">
        <f aca="false">CONCATENATE("",I90,""," ",J90," ",K90)</f>
        <v>  </v>
      </c>
      <c r="M90" s="85"/>
      <c r="N90" s="86"/>
      <c r="O90" s="86"/>
      <c r="P90" s="86" t="n">
        <f aca="false">N90*O90</f>
        <v>0</v>
      </c>
      <c r="Q90" s="86"/>
      <c r="R90" s="87" t="n">
        <f aca="false">(O90*N90)+Q90</f>
        <v>0</v>
      </c>
      <c r="S90" s="91"/>
    </row>
    <row r="91" customFormat="false" ht="14.25" hidden="false" customHeight="false" outlineLevel="0" collapsed="false">
      <c r="A91" s="77"/>
      <c r="B91" s="78"/>
      <c r="C91" s="79"/>
      <c r="D91" s="79"/>
      <c r="E91" s="80" t="str">
        <f aca="false">_xlfn.IFNA(VLOOKUP(C91,'بيانات الآليات '!A:G,4,FALSE()),"")</f>
        <v/>
      </c>
      <c r="F91" s="81" t="str">
        <f aca="false">_xlfn.IFNA(VLOOKUP(C91,'بيانات الآليات '!A:G,2,FALSE()),"")</f>
        <v/>
      </c>
      <c r="G91" s="81"/>
      <c r="H91" s="81" t="str">
        <f aca="false">_xlfn.IFNA(VLOOKUP(C91,'بيانات الآليات '!A:G,5,FALSE()),"")</f>
        <v/>
      </c>
      <c r="I91" s="82"/>
      <c r="J91" s="83" t="str">
        <f aca="false">_xlfn.IFNA(VLOOKUP(I91,Table14543[],2,FALSE()),"")</f>
        <v/>
      </c>
      <c r="K91" s="84" t="str">
        <f aca="false">_xlfn.IFNA(VLOOKUP(I91,Table14543[],3,FALSE()),"")</f>
        <v/>
      </c>
      <c r="L91" s="83" t="str">
        <f aca="false">CONCATENATE("",I91,""," ",J91," ",K91)</f>
        <v>  </v>
      </c>
      <c r="M91" s="85"/>
      <c r="N91" s="86"/>
      <c r="O91" s="86"/>
      <c r="P91" s="86" t="n">
        <f aca="false">N91*O91</f>
        <v>0</v>
      </c>
      <c r="Q91" s="86"/>
      <c r="R91" s="87" t="n">
        <f aca="false">(O91*N91)+Q91</f>
        <v>0</v>
      </c>
      <c r="S91" s="91"/>
    </row>
    <row r="92" customFormat="false" ht="14.25" hidden="false" customHeight="false" outlineLevel="0" collapsed="false">
      <c r="A92" s="77"/>
      <c r="B92" s="78"/>
      <c r="C92" s="79"/>
      <c r="D92" s="79"/>
      <c r="E92" s="80" t="str">
        <f aca="false">_xlfn.IFNA(VLOOKUP(C92,'بيانات الآليات '!A:G,4,FALSE()),"")</f>
        <v/>
      </c>
      <c r="F92" s="81" t="str">
        <f aca="false">_xlfn.IFNA(VLOOKUP(C92,'بيانات الآليات '!A:G,2,FALSE()),"")</f>
        <v/>
      </c>
      <c r="G92" s="81"/>
      <c r="H92" s="81" t="str">
        <f aca="false">_xlfn.IFNA(VLOOKUP(C92,'بيانات الآليات '!A:G,5,FALSE()),"")</f>
        <v/>
      </c>
      <c r="I92" s="82"/>
      <c r="J92" s="83" t="str">
        <f aca="false">_xlfn.IFNA(VLOOKUP(I92,Table14543[],2,FALSE()),"")</f>
        <v/>
      </c>
      <c r="K92" s="84" t="str">
        <f aca="false">_xlfn.IFNA(VLOOKUP(I92,Table14543[],3,FALSE()),"")</f>
        <v/>
      </c>
      <c r="L92" s="83" t="str">
        <f aca="false">CONCATENATE("",I92,""," ",J92," ",K92)</f>
        <v>  </v>
      </c>
      <c r="M92" s="85"/>
      <c r="N92" s="86"/>
      <c r="O92" s="86"/>
      <c r="P92" s="86" t="n">
        <f aca="false">N92*O92</f>
        <v>0</v>
      </c>
      <c r="Q92" s="86"/>
      <c r="R92" s="87" t="n">
        <f aca="false">(O92*N92)+Q92</f>
        <v>0</v>
      </c>
      <c r="S92" s="91"/>
    </row>
    <row r="93" customFormat="false" ht="14.25" hidden="false" customHeight="false" outlineLevel="0" collapsed="false">
      <c r="A93" s="77"/>
      <c r="B93" s="78"/>
      <c r="C93" s="79"/>
      <c r="D93" s="79"/>
      <c r="E93" s="80" t="str">
        <f aca="false">_xlfn.IFNA(VLOOKUP(C93,'بيانات الآليات '!A:G,4,FALSE()),"")</f>
        <v/>
      </c>
      <c r="F93" s="81" t="str">
        <f aca="false">_xlfn.IFNA(VLOOKUP(C93,'بيانات الآليات '!A:G,2,FALSE()),"")</f>
        <v/>
      </c>
      <c r="G93" s="81"/>
      <c r="H93" s="81" t="str">
        <f aca="false">_xlfn.IFNA(VLOOKUP(C93,'بيانات الآليات '!A:G,5,FALSE()),"")</f>
        <v/>
      </c>
      <c r="I93" s="82"/>
      <c r="J93" s="83" t="str">
        <f aca="false">_xlfn.IFNA(VLOOKUP(I93,Table14543[],2,FALSE()),"")</f>
        <v/>
      </c>
      <c r="K93" s="84" t="str">
        <f aca="false">_xlfn.IFNA(VLOOKUP(I93,Table14543[],3,FALSE()),"")</f>
        <v/>
      </c>
      <c r="L93" s="83" t="str">
        <f aca="false">CONCATENATE("",I93,""," ",J93," ",K93)</f>
        <v>  </v>
      </c>
      <c r="M93" s="85"/>
      <c r="N93" s="86"/>
      <c r="O93" s="86"/>
      <c r="P93" s="86" t="n">
        <f aca="false">N93*O93</f>
        <v>0</v>
      </c>
      <c r="Q93" s="86"/>
      <c r="R93" s="87" t="n">
        <f aca="false">(O93*N93)+Q93</f>
        <v>0</v>
      </c>
      <c r="S93" s="91"/>
    </row>
    <row r="94" customFormat="false" ht="14.25" hidden="false" customHeight="false" outlineLevel="0" collapsed="false">
      <c r="A94" s="77"/>
      <c r="B94" s="78"/>
      <c r="C94" s="79"/>
      <c r="D94" s="79"/>
      <c r="E94" s="80" t="str">
        <f aca="false">_xlfn.IFNA(VLOOKUP(C94,'بيانات الآليات '!A:G,4,FALSE()),"")</f>
        <v/>
      </c>
      <c r="F94" s="81" t="str">
        <f aca="false">_xlfn.IFNA(VLOOKUP(C94,'بيانات الآليات '!A:G,2,FALSE()),"")</f>
        <v/>
      </c>
      <c r="G94" s="81"/>
      <c r="H94" s="81" t="str">
        <f aca="false">_xlfn.IFNA(VLOOKUP(C94,'بيانات الآليات '!A:G,5,FALSE()),"")</f>
        <v/>
      </c>
      <c r="I94" s="82"/>
      <c r="J94" s="83" t="str">
        <f aca="false">_xlfn.IFNA(VLOOKUP(I94,Table14543[],2,FALSE()),"")</f>
        <v/>
      </c>
      <c r="K94" s="84" t="str">
        <f aca="false">_xlfn.IFNA(VLOOKUP(I94,Table14543[],3,FALSE()),"")</f>
        <v/>
      </c>
      <c r="L94" s="83" t="str">
        <f aca="false">CONCATENATE("",I94,""," ",J94," ",K94)</f>
        <v>  </v>
      </c>
      <c r="M94" s="85"/>
      <c r="N94" s="86"/>
      <c r="O94" s="86"/>
      <c r="P94" s="86" t="n">
        <f aca="false">N94*O94</f>
        <v>0</v>
      </c>
      <c r="Q94" s="86"/>
      <c r="R94" s="87" t="n">
        <f aca="false">(O94*N94)+Q94</f>
        <v>0</v>
      </c>
      <c r="S94" s="91"/>
    </row>
    <row r="95" customFormat="false" ht="14.25" hidden="false" customHeight="false" outlineLevel="0" collapsed="false">
      <c r="A95" s="77"/>
      <c r="B95" s="78"/>
      <c r="C95" s="79"/>
      <c r="D95" s="79"/>
      <c r="E95" s="80" t="str">
        <f aca="false">_xlfn.IFNA(VLOOKUP(C95,'بيانات الآليات '!A:G,4,FALSE()),"")</f>
        <v/>
      </c>
      <c r="F95" s="81" t="str">
        <f aca="false">_xlfn.IFNA(VLOOKUP(C95,'بيانات الآليات '!A:G,2,FALSE()),"")</f>
        <v/>
      </c>
      <c r="G95" s="81"/>
      <c r="H95" s="81" t="str">
        <f aca="false">_xlfn.IFNA(VLOOKUP(C95,'بيانات الآليات '!A:G,5,FALSE()),"")</f>
        <v/>
      </c>
      <c r="I95" s="82"/>
      <c r="J95" s="83" t="str">
        <f aca="false">_xlfn.IFNA(VLOOKUP(I95,Table14543[],2,FALSE()),"")</f>
        <v/>
      </c>
      <c r="K95" s="84" t="str">
        <f aca="false">_xlfn.IFNA(VLOOKUP(I95,Table14543[],3,FALSE()),"")</f>
        <v/>
      </c>
      <c r="L95" s="83" t="str">
        <f aca="false">CONCATENATE("",I95,""," ",J95," ",K95)</f>
        <v>  </v>
      </c>
      <c r="M95" s="85"/>
      <c r="N95" s="86"/>
      <c r="O95" s="86"/>
      <c r="P95" s="86" t="n">
        <f aca="false">N95*O95</f>
        <v>0</v>
      </c>
      <c r="Q95" s="86"/>
      <c r="R95" s="87" t="n">
        <f aca="false">(O95*N95)+Q95</f>
        <v>0</v>
      </c>
      <c r="S95" s="91"/>
    </row>
    <row r="96" customFormat="false" ht="14.25" hidden="false" customHeight="false" outlineLevel="0" collapsed="false">
      <c r="A96" s="77"/>
      <c r="B96" s="78"/>
      <c r="C96" s="79"/>
      <c r="D96" s="79"/>
      <c r="E96" s="80" t="str">
        <f aca="false">_xlfn.IFNA(VLOOKUP(C96,'بيانات الآليات '!A:G,4,FALSE()),"")</f>
        <v/>
      </c>
      <c r="F96" s="81" t="str">
        <f aca="false">_xlfn.IFNA(VLOOKUP(C96,'بيانات الآليات '!A:G,2,FALSE()),"")</f>
        <v/>
      </c>
      <c r="G96" s="81"/>
      <c r="H96" s="81" t="str">
        <f aca="false">_xlfn.IFNA(VLOOKUP(C96,'بيانات الآليات '!A:G,5,FALSE()),"")</f>
        <v/>
      </c>
      <c r="I96" s="82"/>
      <c r="J96" s="83" t="str">
        <f aca="false">_xlfn.IFNA(VLOOKUP(I96,Table14543[],2,FALSE()),"")</f>
        <v/>
      </c>
      <c r="K96" s="84" t="str">
        <f aca="false">_xlfn.IFNA(VLOOKUP(I96,Table14543[],3,FALSE()),"")</f>
        <v/>
      </c>
      <c r="L96" s="83" t="str">
        <f aca="false">CONCATENATE("",I96,""," ",J96," ",K96)</f>
        <v>  </v>
      </c>
      <c r="M96" s="85"/>
      <c r="N96" s="86"/>
      <c r="O96" s="86"/>
      <c r="P96" s="86" t="n">
        <f aca="false">N96*O96</f>
        <v>0</v>
      </c>
      <c r="Q96" s="86"/>
      <c r="R96" s="87" t="n">
        <f aca="false">(O96*N96)+Q96</f>
        <v>0</v>
      </c>
      <c r="S96" s="91"/>
    </row>
    <row r="97" customFormat="false" ht="14.25" hidden="false" customHeight="false" outlineLevel="0" collapsed="false">
      <c r="A97" s="77"/>
      <c r="B97" s="78"/>
      <c r="C97" s="79"/>
      <c r="D97" s="79"/>
      <c r="E97" s="80" t="str">
        <f aca="false">_xlfn.IFNA(VLOOKUP(C97,'بيانات الآليات '!A:G,4,FALSE()),"")</f>
        <v/>
      </c>
      <c r="F97" s="81" t="str">
        <f aca="false">_xlfn.IFNA(VLOOKUP(C97,'بيانات الآليات '!A:G,2,FALSE()),"")</f>
        <v/>
      </c>
      <c r="G97" s="81"/>
      <c r="H97" s="81" t="str">
        <f aca="false">_xlfn.IFNA(VLOOKUP(C97,'بيانات الآليات '!A:G,5,FALSE()),"")</f>
        <v/>
      </c>
      <c r="I97" s="82"/>
      <c r="J97" s="83" t="str">
        <f aca="false">_xlfn.IFNA(VLOOKUP(I97,Table14543[],2,FALSE()),"")</f>
        <v/>
      </c>
      <c r="K97" s="84" t="str">
        <f aca="false">_xlfn.IFNA(VLOOKUP(I97,Table14543[],3,FALSE()),"")</f>
        <v/>
      </c>
      <c r="L97" s="83" t="str">
        <f aca="false">CONCATENATE("",I97,""," ",J97," ",K97)</f>
        <v>  </v>
      </c>
      <c r="M97" s="85"/>
      <c r="N97" s="86"/>
      <c r="O97" s="86"/>
      <c r="P97" s="86" t="n">
        <f aca="false">N97*O97</f>
        <v>0</v>
      </c>
      <c r="Q97" s="86"/>
      <c r="R97" s="87" t="n">
        <f aca="false">(O97*N97)+Q97</f>
        <v>0</v>
      </c>
      <c r="S97" s="91"/>
    </row>
    <row r="98" customFormat="false" ht="14.25" hidden="false" customHeight="false" outlineLevel="0" collapsed="false">
      <c r="A98" s="77"/>
      <c r="B98" s="78"/>
      <c r="C98" s="79"/>
      <c r="D98" s="79"/>
      <c r="E98" s="80" t="str">
        <f aca="false">_xlfn.IFNA(VLOOKUP(C98,'بيانات الآليات '!A:G,4,FALSE()),"")</f>
        <v/>
      </c>
      <c r="F98" s="81" t="str">
        <f aca="false">_xlfn.IFNA(VLOOKUP(C98,'بيانات الآليات '!A:G,2,FALSE()),"")</f>
        <v/>
      </c>
      <c r="G98" s="81"/>
      <c r="H98" s="81" t="str">
        <f aca="false">_xlfn.IFNA(VLOOKUP(C98,'بيانات الآليات '!A:G,5,FALSE()),"")</f>
        <v/>
      </c>
      <c r="I98" s="82"/>
      <c r="J98" s="83" t="str">
        <f aca="false">_xlfn.IFNA(VLOOKUP(I98,Table14543[],2,FALSE()),"")</f>
        <v/>
      </c>
      <c r="K98" s="84" t="str">
        <f aca="false">_xlfn.IFNA(VLOOKUP(I98,Table14543[],3,FALSE()),"")</f>
        <v/>
      </c>
      <c r="L98" s="83" t="str">
        <f aca="false">CONCATENATE("",I98,""," ",J98," ",K98)</f>
        <v>  </v>
      </c>
      <c r="M98" s="85"/>
      <c r="N98" s="86"/>
      <c r="O98" s="86"/>
      <c r="P98" s="86" t="n">
        <f aca="false">N98*O98</f>
        <v>0</v>
      </c>
      <c r="Q98" s="86"/>
      <c r="R98" s="87" t="n">
        <f aca="false">(O98*N98)+Q98</f>
        <v>0</v>
      </c>
      <c r="S98" s="91"/>
    </row>
    <row r="99" customFormat="false" ht="14.25" hidden="false" customHeight="false" outlineLevel="0" collapsed="false">
      <c r="A99" s="77"/>
      <c r="B99" s="78"/>
      <c r="C99" s="79"/>
      <c r="D99" s="79"/>
      <c r="E99" s="80" t="str">
        <f aca="false">_xlfn.IFNA(VLOOKUP(C99,'بيانات الآليات '!A:G,4,FALSE()),"")</f>
        <v/>
      </c>
      <c r="F99" s="81" t="str">
        <f aca="false">_xlfn.IFNA(VLOOKUP(C99,'بيانات الآليات '!A:G,2,FALSE()),"")</f>
        <v/>
      </c>
      <c r="G99" s="81"/>
      <c r="H99" s="81" t="str">
        <f aca="false">_xlfn.IFNA(VLOOKUP(C99,'بيانات الآليات '!A:G,5,FALSE()),"")</f>
        <v/>
      </c>
      <c r="I99" s="82"/>
      <c r="J99" s="83" t="str">
        <f aca="false">_xlfn.IFNA(VLOOKUP(I99,Table14543[],2,FALSE()),"")</f>
        <v/>
      </c>
      <c r="K99" s="84" t="str">
        <f aca="false">_xlfn.IFNA(VLOOKUP(I99,Table14543[],3,FALSE()),"")</f>
        <v/>
      </c>
      <c r="L99" s="83" t="str">
        <f aca="false">CONCATENATE("",I99,""," ",J99," ",K99)</f>
        <v>  </v>
      </c>
      <c r="M99" s="85"/>
      <c r="N99" s="86"/>
      <c r="O99" s="86"/>
      <c r="P99" s="86" t="n">
        <f aca="false">N99*O99</f>
        <v>0</v>
      </c>
      <c r="Q99" s="86"/>
      <c r="R99" s="87" t="n">
        <f aca="false">(O99*N99)+Q99</f>
        <v>0</v>
      </c>
      <c r="S99" s="91"/>
    </row>
    <row r="100" customFormat="false" ht="14.25" hidden="false" customHeight="false" outlineLevel="0" collapsed="false">
      <c r="A100" s="77"/>
      <c r="B100" s="78"/>
      <c r="C100" s="79"/>
      <c r="D100" s="79"/>
      <c r="E100" s="80" t="str">
        <f aca="false">_xlfn.IFNA(VLOOKUP(C100,'بيانات الآليات '!A:G,4,FALSE()),"")</f>
        <v/>
      </c>
      <c r="F100" s="81" t="str">
        <f aca="false">_xlfn.IFNA(VLOOKUP(C100,'بيانات الآليات '!A:G,2,FALSE()),"")</f>
        <v/>
      </c>
      <c r="G100" s="81"/>
      <c r="H100" s="81" t="str">
        <f aca="false">_xlfn.IFNA(VLOOKUP(C100,'بيانات الآليات '!A:G,5,FALSE()),"")</f>
        <v/>
      </c>
      <c r="I100" s="82"/>
      <c r="J100" s="83" t="str">
        <f aca="false">_xlfn.IFNA(VLOOKUP(I100,Table14543[],2,FALSE()),"")</f>
        <v/>
      </c>
      <c r="K100" s="84" t="str">
        <f aca="false">_xlfn.IFNA(VLOOKUP(I100,Table14543[],3,FALSE()),"")</f>
        <v/>
      </c>
      <c r="L100" s="83" t="str">
        <f aca="false">CONCATENATE("",I100,""," ",J100," ",K100)</f>
        <v>  </v>
      </c>
      <c r="M100" s="85"/>
      <c r="N100" s="86"/>
      <c r="O100" s="86"/>
      <c r="P100" s="86" t="n">
        <f aca="false">N100*O100</f>
        <v>0</v>
      </c>
      <c r="Q100" s="86"/>
      <c r="R100" s="87" t="n">
        <f aca="false">(O100*N100)+Q100</f>
        <v>0</v>
      </c>
      <c r="S100" s="91"/>
    </row>
    <row r="101" customFormat="false" ht="14.25" hidden="false" customHeight="false" outlineLevel="0" collapsed="false">
      <c r="A101" s="77"/>
      <c r="B101" s="78"/>
      <c r="C101" s="79"/>
      <c r="D101" s="79"/>
      <c r="E101" s="80" t="str">
        <f aca="false">_xlfn.IFNA(VLOOKUP(C101,'بيانات الآليات '!A:G,4,FALSE()),"")</f>
        <v/>
      </c>
      <c r="F101" s="81" t="str">
        <f aca="false">_xlfn.IFNA(VLOOKUP(C101,'بيانات الآليات '!A:G,2,FALSE()),"")</f>
        <v/>
      </c>
      <c r="G101" s="81"/>
      <c r="H101" s="81" t="str">
        <f aca="false">_xlfn.IFNA(VLOOKUP(C101,'بيانات الآليات '!A:G,5,FALSE()),"")</f>
        <v/>
      </c>
      <c r="I101" s="82"/>
      <c r="J101" s="83" t="str">
        <f aca="false">_xlfn.IFNA(VLOOKUP(I101,Table14543[],2,FALSE()),"")</f>
        <v/>
      </c>
      <c r="K101" s="84" t="str">
        <f aca="false">_xlfn.IFNA(VLOOKUP(I101,Table14543[],3,FALSE()),"")</f>
        <v/>
      </c>
      <c r="L101" s="83" t="str">
        <f aca="false">CONCATENATE("",I101,""," ",J101," ",K101)</f>
        <v>  </v>
      </c>
      <c r="M101" s="85"/>
      <c r="N101" s="86"/>
      <c r="O101" s="86"/>
      <c r="P101" s="86" t="n">
        <f aca="false">N101*O101</f>
        <v>0</v>
      </c>
      <c r="Q101" s="86"/>
      <c r="R101" s="87" t="n">
        <f aca="false">(O101*N101)+Q101</f>
        <v>0</v>
      </c>
      <c r="S101" s="91"/>
    </row>
    <row r="102" customFormat="false" ht="14.25" hidden="false" customHeight="false" outlineLevel="0" collapsed="false">
      <c r="A102" s="77"/>
      <c r="B102" s="78"/>
      <c r="C102" s="79"/>
      <c r="D102" s="79"/>
      <c r="E102" s="80" t="str">
        <f aca="false">_xlfn.IFNA(VLOOKUP(C102,'بيانات الآليات '!A:G,4,FALSE()),"")</f>
        <v/>
      </c>
      <c r="F102" s="81" t="str">
        <f aca="false">_xlfn.IFNA(VLOOKUP(C102,'بيانات الآليات '!A:G,2,FALSE()),"")</f>
        <v/>
      </c>
      <c r="G102" s="81"/>
      <c r="H102" s="81" t="str">
        <f aca="false">_xlfn.IFNA(VLOOKUP(C102,'بيانات الآليات '!A:G,5,FALSE()),"")</f>
        <v/>
      </c>
      <c r="I102" s="82"/>
      <c r="J102" s="83" t="str">
        <f aca="false">_xlfn.IFNA(VLOOKUP(I102,Table14543[],2,FALSE()),"")</f>
        <v/>
      </c>
      <c r="K102" s="84" t="str">
        <f aca="false">_xlfn.IFNA(VLOOKUP(I102,Table14543[],3,FALSE()),"")</f>
        <v/>
      </c>
      <c r="L102" s="83" t="str">
        <f aca="false">CONCATENATE("",I102,""," ",J102," ",K102)</f>
        <v>  </v>
      </c>
      <c r="M102" s="85"/>
      <c r="N102" s="86"/>
      <c r="O102" s="86"/>
      <c r="P102" s="86" t="n">
        <f aca="false">N102*O102</f>
        <v>0</v>
      </c>
      <c r="Q102" s="86"/>
      <c r="R102" s="87" t="n">
        <f aca="false">(O102*N102)+Q102</f>
        <v>0</v>
      </c>
      <c r="S102" s="91"/>
    </row>
    <row r="103" customFormat="false" ht="14.25" hidden="false" customHeight="false" outlineLevel="0" collapsed="false">
      <c r="A103" s="77"/>
      <c r="B103" s="78"/>
      <c r="C103" s="79"/>
      <c r="D103" s="79"/>
      <c r="E103" s="80" t="str">
        <f aca="false">_xlfn.IFNA(VLOOKUP(C103,'بيانات الآليات '!A:G,4,FALSE()),"")</f>
        <v/>
      </c>
      <c r="F103" s="81" t="str">
        <f aca="false">_xlfn.IFNA(VLOOKUP(C103,'بيانات الآليات '!A:G,2,FALSE()),"")</f>
        <v/>
      </c>
      <c r="G103" s="81"/>
      <c r="H103" s="81" t="str">
        <f aca="false">_xlfn.IFNA(VLOOKUP(C103,'بيانات الآليات '!A:G,5,FALSE()),"")</f>
        <v/>
      </c>
      <c r="I103" s="82"/>
      <c r="J103" s="83" t="str">
        <f aca="false">_xlfn.IFNA(VLOOKUP(I103,Table14543[],2,FALSE()),"")</f>
        <v/>
      </c>
      <c r="K103" s="84" t="str">
        <f aca="false">_xlfn.IFNA(VLOOKUP(I103,Table14543[],3,FALSE()),"")</f>
        <v/>
      </c>
      <c r="L103" s="83" t="str">
        <f aca="false">CONCATENATE("",I103,""," ",J103," ",K103)</f>
        <v>  </v>
      </c>
      <c r="M103" s="85"/>
      <c r="N103" s="86"/>
      <c r="O103" s="86"/>
      <c r="P103" s="86" t="n">
        <f aca="false">N103*O103</f>
        <v>0</v>
      </c>
      <c r="Q103" s="86"/>
      <c r="R103" s="87" t="n">
        <f aca="false">(O103*N103)+Q103</f>
        <v>0</v>
      </c>
      <c r="S103" s="91"/>
    </row>
    <row r="104" customFormat="false" ht="14.25" hidden="false" customHeight="false" outlineLevel="0" collapsed="false">
      <c r="A104" s="77"/>
      <c r="B104" s="78"/>
      <c r="C104" s="79"/>
      <c r="D104" s="79"/>
      <c r="E104" s="80" t="str">
        <f aca="false">_xlfn.IFNA(VLOOKUP(C104,'بيانات الآليات '!A:G,4,FALSE()),"")</f>
        <v/>
      </c>
      <c r="F104" s="81" t="str">
        <f aca="false">_xlfn.IFNA(VLOOKUP(C104,'بيانات الآليات '!A:G,2,FALSE()),"")</f>
        <v/>
      </c>
      <c r="G104" s="81"/>
      <c r="H104" s="81" t="str">
        <f aca="false">_xlfn.IFNA(VLOOKUP(C104,'بيانات الآليات '!A:G,5,FALSE()),"")</f>
        <v/>
      </c>
      <c r="I104" s="82"/>
      <c r="J104" s="83" t="str">
        <f aca="false">_xlfn.IFNA(VLOOKUP(I104,Table14543[],2,FALSE()),"")</f>
        <v/>
      </c>
      <c r="K104" s="84" t="str">
        <f aca="false">_xlfn.IFNA(VLOOKUP(I104,Table14543[],3,FALSE()),"")</f>
        <v/>
      </c>
      <c r="L104" s="83" t="str">
        <f aca="false">CONCATENATE("",I104,""," ",J104," ",K104)</f>
        <v>  </v>
      </c>
      <c r="M104" s="85"/>
      <c r="N104" s="86"/>
      <c r="O104" s="86"/>
      <c r="P104" s="86" t="n">
        <f aca="false">N104*O104</f>
        <v>0</v>
      </c>
      <c r="Q104" s="86"/>
      <c r="R104" s="87" t="n">
        <f aca="false">(O104*N104)+Q104</f>
        <v>0</v>
      </c>
      <c r="S104" s="91"/>
    </row>
    <row r="105" customFormat="false" ht="14.25" hidden="false" customHeight="false" outlineLevel="0" collapsed="false">
      <c r="A105" s="77"/>
      <c r="B105" s="78"/>
      <c r="C105" s="79"/>
      <c r="D105" s="79"/>
      <c r="E105" s="80" t="str">
        <f aca="false">_xlfn.IFNA(VLOOKUP(C105,'بيانات الآليات '!A:G,4,FALSE()),"")</f>
        <v/>
      </c>
      <c r="F105" s="81" t="str">
        <f aca="false">_xlfn.IFNA(VLOOKUP(C105,'بيانات الآليات '!A:G,2,FALSE()),"")</f>
        <v/>
      </c>
      <c r="G105" s="81"/>
      <c r="H105" s="81" t="str">
        <f aca="false">_xlfn.IFNA(VLOOKUP(C105,'بيانات الآليات '!A:G,5,FALSE()),"")</f>
        <v/>
      </c>
      <c r="I105" s="82"/>
      <c r="J105" s="83" t="str">
        <f aca="false">_xlfn.IFNA(VLOOKUP(I105,Table14543[],2,FALSE()),"")</f>
        <v/>
      </c>
      <c r="K105" s="84" t="str">
        <f aca="false">_xlfn.IFNA(VLOOKUP(I105,Table14543[],3,FALSE()),"")</f>
        <v/>
      </c>
      <c r="L105" s="83" t="str">
        <f aca="false">CONCATENATE("",I105,""," ",J105," ",K105)</f>
        <v>  </v>
      </c>
      <c r="M105" s="85"/>
      <c r="N105" s="86"/>
      <c r="O105" s="86"/>
      <c r="P105" s="86" t="n">
        <f aca="false">N105*O105</f>
        <v>0</v>
      </c>
      <c r="Q105" s="86"/>
      <c r="R105" s="87" t="n">
        <f aca="false">(O105*N105)+Q105</f>
        <v>0</v>
      </c>
      <c r="S105" s="91"/>
    </row>
    <row r="106" customFormat="false" ht="14.25" hidden="false" customHeight="false" outlineLevel="0" collapsed="false">
      <c r="A106" s="77"/>
      <c r="B106" s="78"/>
      <c r="C106" s="79"/>
      <c r="D106" s="79"/>
      <c r="E106" s="80" t="str">
        <f aca="false">_xlfn.IFNA(VLOOKUP(C106,'بيانات الآليات '!A:G,4,FALSE()),"")</f>
        <v/>
      </c>
      <c r="F106" s="81" t="str">
        <f aca="false">_xlfn.IFNA(VLOOKUP(C106,'بيانات الآليات '!A:G,2,FALSE()),"")</f>
        <v/>
      </c>
      <c r="G106" s="81"/>
      <c r="H106" s="81" t="str">
        <f aca="false">_xlfn.IFNA(VLOOKUP(C106,'بيانات الآليات '!A:G,5,FALSE()),"")</f>
        <v/>
      </c>
      <c r="I106" s="82"/>
      <c r="J106" s="83" t="str">
        <f aca="false">_xlfn.IFNA(VLOOKUP(I106,Table14543[],2,FALSE()),"")</f>
        <v/>
      </c>
      <c r="K106" s="84" t="str">
        <f aca="false">_xlfn.IFNA(VLOOKUP(I106,Table14543[],3,FALSE()),"")</f>
        <v/>
      </c>
      <c r="L106" s="83" t="str">
        <f aca="false">CONCATENATE("",I106,""," ",J106," ",K106)</f>
        <v>  </v>
      </c>
      <c r="M106" s="85"/>
      <c r="N106" s="86"/>
      <c r="O106" s="86"/>
      <c r="P106" s="86" t="n">
        <f aca="false">N106*O106</f>
        <v>0</v>
      </c>
      <c r="Q106" s="86"/>
      <c r="R106" s="87" t="n">
        <f aca="false">(O106*N106)+Q106</f>
        <v>0</v>
      </c>
      <c r="S106" s="91"/>
    </row>
    <row r="107" customFormat="false" ht="14.25" hidden="false" customHeight="false" outlineLevel="0" collapsed="false">
      <c r="A107" s="77"/>
      <c r="B107" s="78"/>
      <c r="C107" s="79"/>
      <c r="D107" s="79"/>
      <c r="E107" s="80" t="str">
        <f aca="false">_xlfn.IFNA(VLOOKUP(C107,'بيانات الآليات '!A:G,4,FALSE()),"")</f>
        <v/>
      </c>
      <c r="F107" s="81" t="str">
        <f aca="false">_xlfn.IFNA(VLOOKUP(C107,'بيانات الآليات '!A:G,2,FALSE()),"")</f>
        <v/>
      </c>
      <c r="G107" s="81"/>
      <c r="H107" s="81" t="str">
        <f aca="false">_xlfn.IFNA(VLOOKUP(C107,'بيانات الآليات '!A:G,5,FALSE()),"")</f>
        <v/>
      </c>
      <c r="I107" s="82"/>
      <c r="J107" s="83" t="str">
        <f aca="false">_xlfn.IFNA(VLOOKUP(I107,Table14543[],2,FALSE()),"")</f>
        <v/>
      </c>
      <c r="K107" s="84" t="str">
        <f aca="false">_xlfn.IFNA(VLOOKUP(I107,Table14543[],3,FALSE()),"")</f>
        <v/>
      </c>
      <c r="L107" s="83" t="str">
        <f aca="false">CONCATENATE("",I107,""," ",J107," ",K107)</f>
        <v>  </v>
      </c>
      <c r="M107" s="85"/>
      <c r="N107" s="86"/>
      <c r="O107" s="86"/>
      <c r="P107" s="86" t="n">
        <f aca="false">N107*O107</f>
        <v>0</v>
      </c>
      <c r="Q107" s="86"/>
      <c r="R107" s="87" t="n">
        <f aca="false">(O107*N107)+Q107</f>
        <v>0</v>
      </c>
      <c r="S107" s="91"/>
    </row>
    <row r="108" customFormat="false" ht="14.25" hidden="false" customHeight="false" outlineLevel="0" collapsed="false">
      <c r="A108" s="77"/>
      <c r="B108" s="78"/>
      <c r="C108" s="79"/>
      <c r="D108" s="79"/>
      <c r="E108" s="80" t="str">
        <f aca="false">_xlfn.IFNA(VLOOKUP(C108,'بيانات الآليات '!A:G,4,FALSE()),"")</f>
        <v/>
      </c>
      <c r="F108" s="81" t="str">
        <f aca="false">_xlfn.IFNA(VLOOKUP(C108,'بيانات الآليات '!A:G,2,FALSE()),"")</f>
        <v/>
      </c>
      <c r="G108" s="81"/>
      <c r="H108" s="81" t="str">
        <f aca="false">_xlfn.IFNA(VLOOKUP(C108,'بيانات الآليات '!A:G,5,FALSE()),"")</f>
        <v/>
      </c>
      <c r="I108" s="82"/>
      <c r="J108" s="83" t="str">
        <f aca="false">_xlfn.IFNA(VLOOKUP(I108,Table14543[],2,FALSE()),"")</f>
        <v/>
      </c>
      <c r="K108" s="84" t="str">
        <f aca="false">_xlfn.IFNA(VLOOKUP(I108,Table14543[],3,FALSE()),"")</f>
        <v/>
      </c>
      <c r="L108" s="83" t="str">
        <f aca="false">CONCATENATE("",I108,""," ",J108," ",K108)</f>
        <v>  </v>
      </c>
      <c r="M108" s="85"/>
      <c r="N108" s="86"/>
      <c r="O108" s="86"/>
      <c r="P108" s="86" t="n">
        <f aca="false">N108*O108</f>
        <v>0</v>
      </c>
      <c r="Q108" s="86"/>
      <c r="R108" s="87" t="n">
        <f aca="false">(O108*N108)+Q108</f>
        <v>0</v>
      </c>
      <c r="S108" s="91"/>
    </row>
    <row r="109" customFormat="false" ht="14.25" hidden="false" customHeight="false" outlineLevel="0" collapsed="false">
      <c r="A109" s="77"/>
      <c r="B109" s="78"/>
      <c r="C109" s="79"/>
      <c r="D109" s="79"/>
      <c r="E109" s="80" t="str">
        <f aca="false">_xlfn.IFNA(VLOOKUP(C109,'بيانات الآليات '!A:G,4,FALSE()),"")</f>
        <v/>
      </c>
      <c r="F109" s="81" t="str">
        <f aca="false">_xlfn.IFNA(VLOOKUP(C109,'بيانات الآليات '!A:G,2,FALSE()),"")</f>
        <v/>
      </c>
      <c r="G109" s="81"/>
      <c r="H109" s="81" t="str">
        <f aca="false">_xlfn.IFNA(VLOOKUP(C109,'بيانات الآليات '!A:G,5,FALSE()),"")</f>
        <v/>
      </c>
      <c r="I109" s="82"/>
      <c r="J109" s="83" t="str">
        <f aca="false">_xlfn.IFNA(VLOOKUP(I109,Table14543[],2,FALSE()),"")</f>
        <v/>
      </c>
      <c r="K109" s="84" t="str">
        <f aca="false">_xlfn.IFNA(VLOOKUP(I109,Table14543[],3,FALSE()),"")</f>
        <v/>
      </c>
      <c r="L109" s="83" t="str">
        <f aca="false">CONCATENATE("",I109,""," ",J109," ",K109)</f>
        <v>  </v>
      </c>
      <c r="M109" s="85"/>
      <c r="N109" s="86"/>
      <c r="O109" s="86"/>
      <c r="P109" s="86" t="n">
        <f aca="false">N109*O109</f>
        <v>0</v>
      </c>
      <c r="Q109" s="86"/>
      <c r="R109" s="87" t="n">
        <f aca="false">(O109*N109)+Q109</f>
        <v>0</v>
      </c>
      <c r="S109" s="91"/>
    </row>
    <row r="110" customFormat="false" ht="14.25" hidden="false" customHeight="false" outlineLevel="0" collapsed="false">
      <c r="A110" s="77"/>
      <c r="B110" s="78"/>
      <c r="C110" s="79"/>
      <c r="D110" s="79"/>
      <c r="E110" s="80" t="str">
        <f aca="false">_xlfn.IFNA(VLOOKUP(C110,'بيانات الآليات '!A:G,4,FALSE()),"")</f>
        <v/>
      </c>
      <c r="F110" s="81" t="str">
        <f aca="false">_xlfn.IFNA(VLOOKUP(C110,'بيانات الآليات '!A:G,2,FALSE()),"")</f>
        <v/>
      </c>
      <c r="G110" s="81"/>
      <c r="H110" s="81" t="str">
        <f aca="false">_xlfn.IFNA(VLOOKUP(C110,'بيانات الآليات '!A:G,5,FALSE()),"")</f>
        <v/>
      </c>
      <c r="I110" s="82"/>
      <c r="J110" s="83" t="str">
        <f aca="false">_xlfn.IFNA(VLOOKUP(I110,Table14543[],2,FALSE()),"")</f>
        <v/>
      </c>
      <c r="K110" s="84" t="str">
        <f aca="false">_xlfn.IFNA(VLOOKUP(I110,Table14543[],3,FALSE()),"")</f>
        <v/>
      </c>
      <c r="L110" s="83" t="str">
        <f aca="false">CONCATENATE("",I110,""," ",J110," ",K110)</f>
        <v>  </v>
      </c>
      <c r="M110" s="85"/>
      <c r="N110" s="86"/>
      <c r="O110" s="86"/>
      <c r="P110" s="86" t="n">
        <f aca="false">N110*O110</f>
        <v>0</v>
      </c>
      <c r="Q110" s="86"/>
      <c r="R110" s="87" t="n">
        <f aca="false">(O110*N110)+Q110</f>
        <v>0</v>
      </c>
      <c r="S110" s="91"/>
    </row>
    <row r="111" customFormat="false" ht="14.25" hidden="false" customHeight="false" outlineLevel="0" collapsed="false">
      <c r="A111" s="77"/>
      <c r="B111" s="78"/>
      <c r="C111" s="79"/>
      <c r="D111" s="79"/>
      <c r="E111" s="80" t="str">
        <f aca="false">_xlfn.IFNA(VLOOKUP(C111,'بيانات الآليات '!A:G,4,FALSE()),"")</f>
        <v/>
      </c>
      <c r="F111" s="81" t="str">
        <f aca="false">_xlfn.IFNA(VLOOKUP(C111,'بيانات الآليات '!A:G,2,FALSE()),"")</f>
        <v/>
      </c>
      <c r="G111" s="81"/>
      <c r="H111" s="81" t="str">
        <f aca="false">_xlfn.IFNA(VLOOKUP(C111,'بيانات الآليات '!A:G,5,FALSE()),"")</f>
        <v/>
      </c>
      <c r="I111" s="82"/>
      <c r="J111" s="83" t="str">
        <f aca="false">_xlfn.IFNA(VLOOKUP(I111,Table14543[],2,FALSE()),"")</f>
        <v/>
      </c>
      <c r="K111" s="84" t="str">
        <f aca="false">_xlfn.IFNA(VLOOKUP(I111,Table14543[],3,FALSE()),"")</f>
        <v/>
      </c>
      <c r="L111" s="83" t="str">
        <f aca="false">CONCATENATE("",I111,""," ",J111," ",K111)</f>
        <v>  </v>
      </c>
      <c r="M111" s="85"/>
      <c r="N111" s="86"/>
      <c r="O111" s="86"/>
      <c r="P111" s="86" t="n">
        <f aca="false">N111*O111</f>
        <v>0</v>
      </c>
      <c r="Q111" s="86"/>
      <c r="R111" s="87" t="n">
        <f aca="false">(O111*N111)+Q111</f>
        <v>0</v>
      </c>
      <c r="S111" s="91"/>
    </row>
    <row r="112" customFormat="false" ht="14.25" hidden="false" customHeight="false" outlineLevel="0" collapsed="false">
      <c r="A112" s="77"/>
      <c r="B112" s="78"/>
      <c r="C112" s="79"/>
      <c r="D112" s="79"/>
      <c r="E112" s="80" t="str">
        <f aca="false">_xlfn.IFNA(VLOOKUP(C112,'بيانات الآليات '!A:G,4,FALSE()),"")</f>
        <v/>
      </c>
      <c r="F112" s="81" t="str">
        <f aca="false">_xlfn.IFNA(VLOOKUP(C112,'بيانات الآليات '!A:G,2,FALSE()),"")</f>
        <v/>
      </c>
      <c r="G112" s="81"/>
      <c r="H112" s="81" t="str">
        <f aca="false">_xlfn.IFNA(VLOOKUP(C112,'بيانات الآليات '!A:G,5,FALSE()),"")</f>
        <v/>
      </c>
      <c r="I112" s="82"/>
      <c r="J112" s="83" t="str">
        <f aca="false">_xlfn.IFNA(VLOOKUP(I112,Table14543[],2,FALSE()),"")</f>
        <v/>
      </c>
      <c r="K112" s="84" t="str">
        <f aca="false">_xlfn.IFNA(VLOOKUP(I112,Table14543[],3,FALSE()),"")</f>
        <v/>
      </c>
      <c r="L112" s="83" t="str">
        <f aca="false">CONCATENATE("",I112,""," ",J112," ",K112)</f>
        <v>  </v>
      </c>
      <c r="M112" s="85"/>
      <c r="N112" s="86"/>
      <c r="O112" s="86"/>
      <c r="P112" s="86" t="n">
        <f aca="false">N112*O112</f>
        <v>0</v>
      </c>
      <c r="Q112" s="86"/>
      <c r="R112" s="87" t="n">
        <f aca="false">(O112*N112)+Q112</f>
        <v>0</v>
      </c>
      <c r="S112" s="91"/>
    </row>
    <row r="113" customFormat="false" ht="14.25" hidden="false" customHeight="false" outlineLevel="0" collapsed="false">
      <c r="A113" s="77"/>
      <c r="B113" s="78"/>
      <c r="C113" s="79"/>
      <c r="D113" s="79"/>
      <c r="E113" s="80" t="str">
        <f aca="false">_xlfn.IFNA(VLOOKUP(C113,'بيانات الآليات '!A:G,4,FALSE()),"")</f>
        <v/>
      </c>
      <c r="F113" s="81" t="str">
        <f aca="false">_xlfn.IFNA(VLOOKUP(C113,'بيانات الآليات '!A:G,2,FALSE()),"")</f>
        <v/>
      </c>
      <c r="G113" s="81"/>
      <c r="H113" s="81" t="str">
        <f aca="false">_xlfn.IFNA(VLOOKUP(C113,'بيانات الآليات '!A:G,5,FALSE()),"")</f>
        <v/>
      </c>
      <c r="I113" s="82"/>
      <c r="J113" s="83" t="str">
        <f aca="false">_xlfn.IFNA(VLOOKUP(I113,Table14543[],2,FALSE()),"")</f>
        <v/>
      </c>
      <c r="K113" s="84" t="str">
        <f aca="false">_xlfn.IFNA(VLOOKUP(I113,Table14543[],3,FALSE()),"")</f>
        <v/>
      </c>
      <c r="L113" s="83" t="str">
        <f aca="false">CONCATENATE("",I113,""," ",J113," ",K113)</f>
        <v>  </v>
      </c>
      <c r="M113" s="85"/>
      <c r="N113" s="86"/>
      <c r="O113" s="86"/>
      <c r="P113" s="86" t="n">
        <f aca="false">N113*O113</f>
        <v>0</v>
      </c>
      <c r="Q113" s="86"/>
      <c r="R113" s="87" t="n">
        <f aca="false">(O113*N113)+Q113</f>
        <v>0</v>
      </c>
      <c r="S113" s="91"/>
    </row>
    <row r="114" customFormat="false" ht="14.25" hidden="false" customHeight="false" outlineLevel="0" collapsed="false">
      <c r="A114" s="77"/>
      <c r="B114" s="78"/>
      <c r="C114" s="79"/>
      <c r="D114" s="79"/>
      <c r="E114" s="80" t="str">
        <f aca="false">_xlfn.IFNA(VLOOKUP(C114,'بيانات الآليات '!A:G,4,FALSE()),"")</f>
        <v/>
      </c>
      <c r="F114" s="81" t="str">
        <f aca="false">_xlfn.IFNA(VLOOKUP(C114,'بيانات الآليات '!A:G,2,FALSE()),"")</f>
        <v/>
      </c>
      <c r="G114" s="81"/>
      <c r="H114" s="81" t="str">
        <f aca="false">_xlfn.IFNA(VLOOKUP(C114,'بيانات الآليات '!A:G,5,FALSE()),"")</f>
        <v/>
      </c>
      <c r="I114" s="82"/>
      <c r="J114" s="83" t="str">
        <f aca="false">_xlfn.IFNA(VLOOKUP(I114,Table14543[],2,FALSE()),"")</f>
        <v/>
      </c>
      <c r="K114" s="84" t="str">
        <f aca="false">_xlfn.IFNA(VLOOKUP(I114,Table14543[],3,FALSE()),"")</f>
        <v/>
      </c>
      <c r="L114" s="83" t="str">
        <f aca="false">CONCATENATE("",I114,""," ",J114," ",K114)</f>
        <v>  </v>
      </c>
      <c r="M114" s="85"/>
      <c r="N114" s="86"/>
      <c r="O114" s="86"/>
      <c r="P114" s="86" t="n">
        <f aca="false">N114*O114</f>
        <v>0</v>
      </c>
      <c r="Q114" s="86"/>
      <c r="R114" s="87" t="n">
        <f aca="false">(O114*N114)+Q114</f>
        <v>0</v>
      </c>
      <c r="S114" s="91"/>
    </row>
    <row r="115" customFormat="false" ht="14.25" hidden="false" customHeight="false" outlineLevel="0" collapsed="false">
      <c r="A115" s="77"/>
      <c r="B115" s="78"/>
      <c r="C115" s="79"/>
      <c r="D115" s="79"/>
      <c r="E115" s="80" t="str">
        <f aca="false">_xlfn.IFNA(VLOOKUP(C115,'بيانات الآليات '!A:G,4,FALSE()),"")</f>
        <v/>
      </c>
      <c r="F115" s="81" t="str">
        <f aca="false">_xlfn.IFNA(VLOOKUP(C115,'بيانات الآليات '!A:G,2,FALSE()),"")</f>
        <v/>
      </c>
      <c r="G115" s="81"/>
      <c r="H115" s="81" t="str">
        <f aca="false">_xlfn.IFNA(VLOOKUP(C115,'بيانات الآليات '!A:G,5,FALSE()),"")</f>
        <v/>
      </c>
      <c r="I115" s="82"/>
      <c r="J115" s="83" t="str">
        <f aca="false">_xlfn.IFNA(VLOOKUP(I115,Table14543[],2,FALSE()),"")</f>
        <v/>
      </c>
      <c r="K115" s="84" t="str">
        <f aca="false">_xlfn.IFNA(VLOOKUP(I115,Table14543[],3,FALSE()),"")</f>
        <v/>
      </c>
      <c r="L115" s="83" t="str">
        <f aca="false">CONCATENATE("",I115,""," ",J115," ",K115)</f>
        <v>  </v>
      </c>
      <c r="M115" s="85"/>
      <c r="N115" s="86"/>
      <c r="O115" s="86"/>
      <c r="P115" s="86" t="n">
        <f aca="false">N115*O115</f>
        <v>0</v>
      </c>
      <c r="Q115" s="86"/>
      <c r="R115" s="87" t="n">
        <f aca="false">(O115*N115)+Q115</f>
        <v>0</v>
      </c>
      <c r="S115" s="91"/>
    </row>
    <row r="116" customFormat="false" ht="14.25" hidden="false" customHeight="false" outlineLevel="0" collapsed="false">
      <c r="A116" s="77"/>
      <c r="B116" s="78"/>
      <c r="C116" s="79"/>
      <c r="D116" s="79"/>
      <c r="E116" s="80" t="str">
        <f aca="false">_xlfn.IFNA(VLOOKUP(C116,'بيانات الآليات '!A:G,4,FALSE()),"")</f>
        <v/>
      </c>
      <c r="F116" s="81" t="str">
        <f aca="false">_xlfn.IFNA(VLOOKUP(C116,'بيانات الآليات '!A:G,2,FALSE()),"")</f>
        <v/>
      </c>
      <c r="G116" s="81"/>
      <c r="H116" s="81" t="str">
        <f aca="false">_xlfn.IFNA(VLOOKUP(C116,'بيانات الآليات '!A:G,5,FALSE()),"")</f>
        <v/>
      </c>
      <c r="I116" s="82"/>
      <c r="J116" s="83" t="str">
        <f aca="false">_xlfn.IFNA(VLOOKUP(I116,Table14543[],2,FALSE()),"")</f>
        <v/>
      </c>
      <c r="K116" s="84" t="str">
        <f aca="false">_xlfn.IFNA(VLOOKUP(I116,Table14543[],3,FALSE()),"")</f>
        <v/>
      </c>
      <c r="L116" s="83" t="str">
        <f aca="false">CONCATENATE("",I116,""," ",J116," ",K116)</f>
        <v>  </v>
      </c>
      <c r="M116" s="85"/>
      <c r="N116" s="86"/>
      <c r="O116" s="86"/>
      <c r="P116" s="86" t="n">
        <f aca="false">N116*O116</f>
        <v>0</v>
      </c>
      <c r="Q116" s="86"/>
      <c r="R116" s="87" t="n">
        <f aca="false">(O116*N116)+Q116</f>
        <v>0</v>
      </c>
      <c r="S116" s="91"/>
    </row>
    <row r="117" customFormat="false" ht="14.25" hidden="false" customHeight="false" outlineLevel="0" collapsed="false">
      <c r="A117" s="77"/>
      <c r="B117" s="78"/>
      <c r="C117" s="79"/>
      <c r="D117" s="79"/>
      <c r="E117" s="80" t="str">
        <f aca="false">_xlfn.IFNA(VLOOKUP(C117,'بيانات الآليات '!A:G,4,FALSE()),"")</f>
        <v/>
      </c>
      <c r="F117" s="81" t="str">
        <f aca="false">_xlfn.IFNA(VLOOKUP(C117,'بيانات الآليات '!A:G,2,FALSE()),"")</f>
        <v/>
      </c>
      <c r="G117" s="81"/>
      <c r="H117" s="81" t="str">
        <f aca="false">_xlfn.IFNA(VLOOKUP(C117,'بيانات الآليات '!A:G,5,FALSE()),"")</f>
        <v/>
      </c>
      <c r="I117" s="82"/>
      <c r="J117" s="83" t="str">
        <f aca="false">_xlfn.IFNA(VLOOKUP(I117,Table14543[],2,FALSE()),"")</f>
        <v/>
      </c>
      <c r="K117" s="84" t="str">
        <f aca="false">_xlfn.IFNA(VLOOKUP(I117,Table14543[],3,FALSE()),"")</f>
        <v/>
      </c>
      <c r="L117" s="83" t="str">
        <f aca="false">CONCATENATE("",I117,""," ",J117," ",K117)</f>
        <v>  </v>
      </c>
      <c r="M117" s="85"/>
      <c r="N117" s="86"/>
      <c r="O117" s="86"/>
      <c r="P117" s="86" t="n">
        <f aca="false">N117*O117</f>
        <v>0</v>
      </c>
      <c r="Q117" s="86"/>
      <c r="R117" s="87" t="n">
        <f aca="false">(O117*N117)+Q117</f>
        <v>0</v>
      </c>
      <c r="S117" s="91"/>
    </row>
    <row r="118" customFormat="false" ht="14.25" hidden="false" customHeight="false" outlineLevel="0" collapsed="false">
      <c r="A118" s="77"/>
      <c r="B118" s="78"/>
      <c r="C118" s="79"/>
      <c r="D118" s="79"/>
      <c r="E118" s="80" t="str">
        <f aca="false">_xlfn.IFNA(VLOOKUP(C118,'بيانات الآليات '!A:G,4,FALSE()),"")</f>
        <v/>
      </c>
      <c r="F118" s="81" t="str">
        <f aca="false">_xlfn.IFNA(VLOOKUP(C118,'بيانات الآليات '!A:G,2,FALSE()),"")</f>
        <v/>
      </c>
      <c r="G118" s="81"/>
      <c r="H118" s="81" t="str">
        <f aca="false">_xlfn.IFNA(VLOOKUP(C118,'بيانات الآليات '!A:G,5,FALSE()),"")</f>
        <v/>
      </c>
      <c r="I118" s="82"/>
      <c r="J118" s="83" t="str">
        <f aca="false">_xlfn.IFNA(VLOOKUP(I118,Table14543[],2,FALSE()),"")</f>
        <v/>
      </c>
      <c r="K118" s="84" t="str">
        <f aca="false">_xlfn.IFNA(VLOOKUP(I118,Table14543[],3,FALSE()),"")</f>
        <v/>
      </c>
      <c r="L118" s="83" t="str">
        <f aca="false">CONCATENATE("",I118,""," ",J118," ",K118)</f>
        <v>  </v>
      </c>
      <c r="M118" s="85"/>
      <c r="N118" s="86"/>
      <c r="O118" s="86"/>
      <c r="P118" s="86" t="n">
        <f aca="false">N118*O118</f>
        <v>0</v>
      </c>
      <c r="Q118" s="86"/>
      <c r="R118" s="87" t="n">
        <f aca="false">(O118*N118)+Q118</f>
        <v>0</v>
      </c>
      <c r="S118" s="91"/>
    </row>
    <row r="119" customFormat="false" ht="14.25" hidden="false" customHeight="false" outlineLevel="0" collapsed="false">
      <c r="A119" s="77"/>
      <c r="B119" s="78"/>
      <c r="C119" s="79"/>
      <c r="D119" s="79"/>
      <c r="E119" s="80" t="str">
        <f aca="false">_xlfn.IFNA(VLOOKUP(C119,'بيانات الآليات '!A:G,4,FALSE()),"")</f>
        <v/>
      </c>
      <c r="F119" s="81" t="str">
        <f aca="false">_xlfn.IFNA(VLOOKUP(C119,'بيانات الآليات '!A:G,2,FALSE()),"")</f>
        <v/>
      </c>
      <c r="G119" s="81"/>
      <c r="H119" s="81" t="str">
        <f aca="false">_xlfn.IFNA(VLOOKUP(C119,'بيانات الآليات '!A:G,5,FALSE()),"")</f>
        <v/>
      </c>
      <c r="I119" s="82"/>
      <c r="J119" s="83" t="str">
        <f aca="false">_xlfn.IFNA(VLOOKUP(I119,Table14543[],2,FALSE()),"")</f>
        <v/>
      </c>
      <c r="K119" s="84" t="str">
        <f aca="false">_xlfn.IFNA(VLOOKUP(I119,Table14543[],3,FALSE()),"")</f>
        <v/>
      </c>
      <c r="L119" s="83" t="str">
        <f aca="false">CONCATENATE("",I119,""," ",J119," ",K119)</f>
        <v>  </v>
      </c>
      <c r="M119" s="85"/>
      <c r="N119" s="86"/>
      <c r="O119" s="86"/>
      <c r="P119" s="86" t="n">
        <f aca="false">N119*O119</f>
        <v>0</v>
      </c>
      <c r="Q119" s="86"/>
      <c r="R119" s="87" t="n">
        <f aca="false">(O119*N119)+Q119</f>
        <v>0</v>
      </c>
      <c r="S119" s="91"/>
    </row>
    <row r="120" customFormat="false" ht="14.25" hidden="false" customHeight="false" outlineLevel="0" collapsed="false">
      <c r="A120" s="77"/>
      <c r="B120" s="78"/>
      <c r="C120" s="79"/>
      <c r="D120" s="79"/>
      <c r="E120" s="80" t="str">
        <f aca="false">_xlfn.IFNA(VLOOKUP(C120,'بيانات الآليات '!A:G,4,FALSE()),"")</f>
        <v/>
      </c>
      <c r="F120" s="81" t="str">
        <f aca="false">_xlfn.IFNA(VLOOKUP(C120,'بيانات الآليات '!A:G,2,FALSE()),"")</f>
        <v/>
      </c>
      <c r="G120" s="81"/>
      <c r="H120" s="81" t="str">
        <f aca="false">_xlfn.IFNA(VLOOKUP(C120,'بيانات الآليات '!A:G,5,FALSE()),"")</f>
        <v/>
      </c>
      <c r="I120" s="82"/>
      <c r="J120" s="83" t="str">
        <f aca="false">_xlfn.IFNA(VLOOKUP(I120,Table14543[],2,FALSE()),"")</f>
        <v/>
      </c>
      <c r="K120" s="84" t="str">
        <f aca="false">_xlfn.IFNA(VLOOKUP(I120,Table14543[],3,FALSE()),"")</f>
        <v/>
      </c>
      <c r="L120" s="83" t="str">
        <f aca="false">CONCATENATE("",I120,""," ",J120," ",K120)</f>
        <v>  </v>
      </c>
      <c r="M120" s="85"/>
      <c r="N120" s="86"/>
      <c r="O120" s="86"/>
      <c r="P120" s="86" t="n">
        <f aca="false">N120*O120</f>
        <v>0</v>
      </c>
      <c r="Q120" s="86"/>
      <c r="R120" s="87" t="n">
        <f aca="false">(O120*N120)+Q120</f>
        <v>0</v>
      </c>
      <c r="S120" s="91"/>
    </row>
    <row r="121" customFormat="false" ht="14.25" hidden="false" customHeight="false" outlineLevel="0" collapsed="false">
      <c r="A121" s="77"/>
      <c r="B121" s="78"/>
      <c r="C121" s="79"/>
      <c r="D121" s="79"/>
      <c r="E121" s="80" t="str">
        <f aca="false">_xlfn.IFNA(VLOOKUP(C121,'بيانات الآليات '!A:G,4,FALSE()),"")</f>
        <v/>
      </c>
      <c r="F121" s="81" t="str">
        <f aca="false">_xlfn.IFNA(VLOOKUP(C121,'بيانات الآليات '!A:G,2,FALSE()),"")</f>
        <v/>
      </c>
      <c r="G121" s="81"/>
      <c r="H121" s="81" t="str">
        <f aca="false">_xlfn.IFNA(VLOOKUP(C121,'بيانات الآليات '!A:G,5,FALSE()),"")</f>
        <v/>
      </c>
      <c r="I121" s="82"/>
      <c r="J121" s="83" t="str">
        <f aca="false">_xlfn.IFNA(VLOOKUP(I121,Table14543[],2,FALSE()),"")</f>
        <v/>
      </c>
      <c r="K121" s="84" t="str">
        <f aca="false">_xlfn.IFNA(VLOOKUP(I121,Table14543[],3,FALSE()),"")</f>
        <v/>
      </c>
      <c r="L121" s="83" t="str">
        <f aca="false">CONCATENATE("",I121,""," ",J121," ",K121)</f>
        <v>  </v>
      </c>
      <c r="M121" s="85"/>
      <c r="N121" s="86"/>
      <c r="O121" s="86"/>
      <c r="P121" s="86" t="n">
        <f aca="false">N121*O121</f>
        <v>0</v>
      </c>
      <c r="Q121" s="86"/>
      <c r="R121" s="87" t="n">
        <f aca="false">(O121*N121)+Q121</f>
        <v>0</v>
      </c>
      <c r="S121" s="91"/>
    </row>
    <row r="122" customFormat="false" ht="14.25" hidden="false" customHeight="false" outlineLevel="0" collapsed="false">
      <c r="A122" s="77"/>
      <c r="B122" s="78"/>
      <c r="C122" s="79"/>
      <c r="D122" s="79"/>
      <c r="E122" s="80" t="str">
        <f aca="false">_xlfn.IFNA(VLOOKUP(C122,'بيانات الآليات '!A:G,4,FALSE()),"")</f>
        <v/>
      </c>
      <c r="F122" s="81" t="str">
        <f aca="false">_xlfn.IFNA(VLOOKUP(C122,'بيانات الآليات '!A:G,2,FALSE()),"")</f>
        <v/>
      </c>
      <c r="G122" s="81"/>
      <c r="H122" s="81" t="str">
        <f aca="false">_xlfn.IFNA(VLOOKUP(C122,'بيانات الآليات '!A:G,5,FALSE()),"")</f>
        <v/>
      </c>
      <c r="I122" s="82"/>
      <c r="J122" s="83" t="str">
        <f aca="false">_xlfn.IFNA(VLOOKUP(I122,Table14543[],2,FALSE()),"")</f>
        <v/>
      </c>
      <c r="K122" s="84" t="str">
        <f aca="false">_xlfn.IFNA(VLOOKUP(I122,Table14543[],3,FALSE()),"")</f>
        <v/>
      </c>
      <c r="L122" s="83" t="str">
        <f aca="false">CONCATENATE("",I122,""," ",J122," ",K122)</f>
        <v>  </v>
      </c>
      <c r="M122" s="85"/>
      <c r="N122" s="86"/>
      <c r="O122" s="86"/>
      <c r="P122" s="86" t="n">
        <f aca="false">N122*O122</f>
        <v>0</v>
      </c>
      <c r="Q122" s="86"/>
      <c r="R122" s="87" t="n">
        <f aca="false">(O122*N122)+Q122</f>
        <v>0</v>
      </c>
      <c r="S122" s="91"/>
    </row>
    <row r="123" customFormat="false" ht="14.25" hidden="false" customHeight="false" outlineLevel="0" collapsed="false">
      <c r="A123" s="77"/>
      <c r="B123" s="78"/>
      <c r="C123" s="79"/>
      <c r="D123" s="79"/>
      <c r="E123" s="80" t="str">
        <f aca="false">_xlfn.IFNA(VLOOKUP(C123,'بيانات الآليات '!A:G,4,FALSE()),"")</f>
        <v/>
      </c>
      <c r="F123" s="81" t="str">
        <f aca="false">_xlfn.IFNA(VLOOKUP(C123,'بيانات الآليات '!A:G,2,FALSE()),"")</f>
        <v/>
      </c>
      <c r="G123" s="81"/>
      <c r="H123" s="81" t="str">
        <f aca="false">_xlfn.IFNA(VLOOKUP(C123,'بيانات الآليات '!A:G,5,FALSE()),"")</f>
        <v/>
      </c>
      <c r="I123" s="82"/>
      <c r="J123" s="83" t="str">
        <f aca="false">_xlfn.IFNA(VLOOKUP(I123,Table14543[],2,FALSE()),"")</f>
        <v/>
      </c>
      <c r="K123" s="84" t="str">
        <f aca="false">_xlfn.IFNA(VLOOKUP(I123,Table14543[],3,FALSE()),"")</f>
        <v/>
      </c>
      <c r="L123" s="83" t="str">
        <f aca="false">CONCATENATE("",I123,""," ",J123," ",K123)</f>
        <v>  </v>
      </c>
      <c r="M123" s="85"/>
      <c r="N123" s="86"/>
      <c r="O123" s="86"/>
      <c r="P123" s="86" t="n">
        <f aca="false">N123*O123</f>
        <v>0</v>
      </c>
      <c r="Q123" s="86"/>
      <c r="R123" s="87" t="n">
        <f aca="false">(O123*N123)+Q123</f>
        <v>0</v>
      </c>
      <c r="S123" s="91"/>
    </row>
    <row r="124" customFormat="false" ht="14.25" hidden="false" customHeight="false" outlineLevel="0" collapsed="false">
      <c r="A124" s="77"/>
      <c r="B124" s="78"/>
      <c r="C124" s="79"/>
      <c r="D124" s="79"/>
      <c r="E124" s="80" t="str">
        <f aca="false">_xlfn.IFNA(VLOOKUP(C124,'بيانات الآليات '!A:G,4,FALSE()),"")</f>
        <v/>
      </c>
      <c r="F124" s="81" t="str">
        <f aca="false">_xlfn.IFNA(VLOOKUP(C124,'بيانات الآليات '!A:G,2,FALSE()),"")</f>
        <v/>
      </c>
      <c r="G124" s="81"/>
      <c r="H124" s="81" t="str">
        <f aca="false">_xlfn.IFNA(VLOOKUP(C124,'بيانات الآليات '!A:G,5,FALSE()),"")</f>
        <v/>
      </c>
      <c r="I124" s="82"/>
      <c r="J124" s="83" t="str">
        <f aca="false">_xlfn.IFNA(VLOOKUP(I124,Table14543[],2,FALSE()),"")</f>
        <v/>
      </c>
      <c r="K124" s="84" t="str">
        <f aca="false">_xlfn.IFNA(VLOOKUP(I124,Table14543[],3,FALSE()),"")</f>
        <v/>
      </c>
      <c r="L124" s="83" t="str">
        <f aca="false">CONCATENATE("",I124,""," ",J124," ",K124)</f>
        <v>  </v>
      </c>
      <c r="M124" s="85"/>
      <c r="N124" s="86"/>
      <c r="O124" s="86"/>
      <c r="P124" s="86" t="n">
        <f aca="false">N124*O124</f>
        <v>0</v>
      </c>
      <c r="Q124" s="86"/>
      <c r="R124" s="87" t="n">
        <f aca="false">(O124*N124)+Q124</f>
        <v>0</v>
      </c>
      <c r="S124" s="91"/>
    </row>
    <row r="125" customFormat="false" ht="14.25" hidden="false" customHeight="false" outlineLevel="0" collapsed="false">
      <c r="A125" s="77"/>
      <c r="B125" s="78"/>
      <c r="C125" s="79"/>
      <c r="D125" s="79"/>
      <c r="E125" s="80" t="str">
        <f aca="false">_xlfn.IFNA(VLOOKUP(C125,'بيانات الآليات '!A:G,4,FALSE()),"")</f>
        <v/>
      </c>
      <c r="F125" s="81" t="str">
        <f aca="false">_xlfn.IFNA(VLOOKUP(C125,'بيانات الآليات '!A:G,2,FALSE()),"")</f>
        <v/>
      </c>
      <c r="G125" s="81"/>
      <c r="H125" s="81" t="str">
        <f aca="false">_xlfn.IFNA(VLOOKUP(C125,'بيانات الآليات '!A:G,5,FALSE()),"")</f>
        <v/>
      </c>
      <c r="I125" s="82"/>
      <c r="J125" s="83" t="str">
        <f aca="false">_xlfn.IFNA(VLOOKUP(I125,Table14543[],2,FALSE()),"")</f>
        <v/>
      </c>
      <c r="K125" s="84" t="str">
        <f aca="false">_xlfn.IFNA(VLOOKUP(I125,Table14543[],3,FALSE()),"")</f>
        <v/>
      </c>
      <c r="L125" s="83" t="str">
        <f aca="false">CONCATENATE("",I125,""," ",J125," ",K125)</f>
        <v>  </v>
      </c>
      <c r="M125" s="85"/>
      <c r="N125" s="86"/>
      <c r="O125" s="86"/>
      <c r="P125" s="86" t="n">
        <f aca="false">N125*O125</f>
        <v>0</v>
      </c>
      <c r="Q125" s="86"/>
      <c r="R125" s="87" t="n">
        <f aca="false">(O125*N125)+Q125</f>
        <v>0</v>
      </c>
      <c r="S125" s="91"/>
    </row>
    <row r="126" customFormat="false" ht="14.25" hidden="false" customHeight="false" outlineLevel="0" collapsed="false">
      <c r="A126" s="77"/>
      <c r="B126" s="78"/>
      <c r="C126" s="79"/>
      <c r="D126" s="79"/>
      <c r="E126" s="80" t="str">
        <f aca="false">_xlfn.IFNA(VLOOKUP(C126,'بيانات الآليات '!A:G,4,FALSE()),"")</f>
        <v/>
      </c>
      <c r="F126" s="81" t="str">
        <f aca="false">_xlfn.IFNA(VLOOKUP(C126,'بيانات الآليات '!A:G,2,FALSE()),"")</f>
        <v/>
      </c>
      <c r="G126" s="81"/>
      <c r="H126" s="81" t="str">
        <f aca="false">_xlfn.IFNA(VLOOKUP(C126,'بيانات الآليات '!A:G,5,FALSE()),"")</f>
        <v/>
      </c>
      <c r="I126" s="82"/>
      <c r="J126" s="83" t="str">
        <f aca="false">_xlfn.IFNA(VLOOKUP(I126,Table14543[],2,FALSE()),"")</f>
        <v/>
      </c>
      <c r="K126" s="84" t="str">
        <f aca="false">_xlfn.IFNA(VLOOKUP(I126,Table14543[],3,FALSE()),"")</f>
        <v/>
      </c>
      <c r="L126" s="83" t="str">
        <f aca="false">CONCATENATE("",I126,""," ",J126," ",K126)</f>
        <v>  </v>
      </c>
      <c r="M126" s="85"/>
      <c r="N126" s="86"/>
      <c r="O126" s="86"/>
      <c r="P126" s="86" t="n">
        <f aca="false">N126*O126</f>
        <v>0</v>
      </c>
      <c r="Q126" s="86"/>
      <c r="R126" s="87" t="n">
        <f aca="false">(O126*N126)+Q126</f>
        <v>0</v>
      </c>
      <c r="S126" s="91"/>
    </row>
    <row r="127" customFormat="false" ht="14.25" hidden="false" customHeight="false" outlineLevel="0" collapsed="false">
      <c r="A127" s="77"/>
      <c r="B127" s="78"/>
      <c r="C127" s="79"/>
      <c r="D127" s="79"/>
      <c r="E127" s="80" t="str">
        <f aca="false">_xlfn.IFNA(VLOOKUP(C127,'بيانات الآليات '!A:G,4,FALSE()),"")</f>
        <v/>
      </c>
      <c r="F127" s="81" t="str">
        <f aca="false">_xlfn.IFNA(VLOOKUP(C127,'بيانات الآليات '!A:G,2,FALSE()),"")</f>
        <v/>
      </c>
      <c r="G127" s="81"/>
      <c r="H127" s="81" t="str">
        <f aca="false">_xlfn.IFNA(VLOOKUP(C127,'بيانات الآليات '!A:G,5,FALSE()),"")</f>
        <v/>
      </c>
      <c r="I127" s="82"/>
      <c r="J127" s="83" t="str">
        <f aca="false">_xlfn.IFNA(VLOOKUP(I127,Table14543[],2,FALSE()),"")</f>
        <v/>
      </c>
      <c r="K127" s="84" t="str">
        <f aca="false">_xlfn.IFNA(VLOOKUP(I127,Table14543[],3,FALSE()),"")</f>
        <v/>
      </c>
      <c r="L127" s="83" t="str">
        <f aca="false">CONCATENATE("",I127,""," ",J127," ",K127)</f>
        <v>  </v>
      </c>
      <c r="M127" s="85"/>
      <c r="N127" s="86"/>
      <c r="O127" s="86"/>
      <c r="P127" s="86" t="n">
        <f aca="false">N127*O127</f>
        <v>0</v>
      </c>
      <c r="Q127" s="86"/>
      <c r="R127" s="87" t="n">
        <f aca="false">(O127*N127)+Q127</f>
        <v>0</v>
      </c>
      <c r="S127" s="91"/>
    </row>
    <row r="128" customFormat="false" ht="14.25" hidden="false" customHeight="false" outlineLevel="0" collapsed="false">
      <c r="A128" s="77"/>
      <c r="B128" s="78"/>
      <c r="C128" s="79"/>
      <c r="D128" s="79"/>
      <c r="E128" s="80" t="str">
        <f aca="false">_xlfn.IFNA(VLOOKUP(C128,'بيانات الآليات '!A:G,4,FALSE()),"")</f>
        <v/>
      </c>
      <c r="F128" s="81" t="str">
        <f aca="false">_xlfn.IFNA(VLOOKUP(C128,'بيانات الآليات '!A:G,2,FALSE()),"")</f>
        <v/>
      </c>
      <c r="G128" s="81"/>
      <c r="H128" s="81" t="str">
        <f aca="false">_xlfn.IFNA(VLOOKUP(C128,'بيانات الآليات '!A:G,5,FALSE()),"")</f>
        <v/>
      </c>
      <c r="I128" s="82"/>
      <c r="J128" s="83" t="str">
        <f aca="false">_xlfn.IFNA(VLOOKUP(I128,Table14543[],2,FALSE()),"")</f>
        <v/>
      </c>
      <c r="K128" s="84" t="str">
        <f aca="false">_xlfn.IFNA(VLOOKUP(I128,Table14543[],3,FALSE()),"")</f>
        <v/>
      </c>
      <c r="L128" s="83" t="str">
        <f aca="false">CONCATENATE("",I128,""," ",J128," ",K128)</f>
        <v>  </v>
      </c>
      <c r="M128" s="85"/>
      <c r="N128" s="86"/>
      <c r="O128" s="86"/>
      <c r="P128" s="86" t="n">
        <f aca="false">N128*O128</f>
        <v>0</v>
      </c>
      <c r="Q128" s="86"/>
      <c r="R128" s="87" t="n">
        <f aca="false">(O128*N128)+Q128</f>
        <v>0</v>
      </c>
      <c r="S128" s="91"/>
    </row>
    <row r="129" customFormat="false" ht="14.25" hidden="false" customHeight="false" outlineLevel="0" collapsed="false">
      <c r="A129" s="77"/>
      <c r="B129" s="78"/>
      <c r="C129" s="79"/>
      <c r="D129" s="79"/>
      <c r="E129" s="80" t="str">
        <f aca="false">_xlfn.IFNA(VLOOKUP(C129,'بيانات الآليات '!A:G,4,FALSE()),"")</f>
        <v/>
      </c>
      <c r="F129" s="81" t="str">
        <f aca="false">_xlfn.IFNA(VLOOKUP(C129,'بيانات الآليات '!A:G,2,FALSE()),"")</f>
        <v/>
      </c>
      <c r="G129" s="81"/>
      <c r="H129" s="81" t="str">
        <f aca="false">_xlfn.IFNA(VLOOKUP(C129,'بيانات الآليات '!A:G,5,FALSE()),"")</f>
        <v/>
      </c>
      <c r="I129" s="82"/>
      <c r="J129" s="83" t="str">
        <f aca="false">_xlfn.IFNA(VLOOKUP(I129,Table14543[],2,FALSE()),"")</f>
        <v/>
      </c>
      <c r="K129" s="84" t="str">
        <f aca="false">_xlfn.IFNA(VLOOKUP(I129,Table14543[],3,FALSE()),"")</f>
        <v/>
      </c>
      <c r="L129" s="83" t="str">
        <f aca="false">CONCATENATE("",I129,""," ",J129," ",K129)</f>
        <v>  </v>
      </c>
      <c r="M129" s="85"/>
      <c r="N129" s="86"/>
      <c r="O129" s="86"/>
      <c r="P129" s="86" t="n">
        <f aca="false">N129*O129</f>
        <v>0</v>
      </c>
      <c r="Q129" s="86"/>
      <c r="R129" s="87" t="n">
        <f aca="false">(O129*N129)+Q129</f>
        <v>0</v>
      </c>
      <c r="S129" s="91"/>
    </row>
    <row r="130" customFormat="false" ht="14.25" hidden="false" customHeight="false" outlineLevel="0" collapsed="false">
      <c r="A130" s="77"/>
      <c r="B130" s="78"/>
      <c r="C130" s="79"/>
      <c r="D130" s="79"/>
      <c r="E130" s="80" t="str">
        <f aca="false">_xlfn.IFNA(VLOOKUP(C130,'بيانات الآليات '!A:G,4,FALSE()),"")</f>
        <v/>
      </c>
      <c r="F130" s="81" t="str">
        <f aca="false">_xlfn.IFNA(VLOOKUP(C130,'بيانات الآليات '!A:G,2,FALSE()),"")</f>
        <v/>
      </c>
      <c r="G130" s="81"/>
      <c r="H130" s="81" t="str">
        <f aca="false">_xlfn.IFNA(VLOOKUP(C130,'بيانات الآليات '!A:G,5,FALSE()),"")</f>
        <v/>
      </c>
      <c r="I130" s="82"/>
      <c r="J130" s="83" t="str">
        <f aca="false">_xlfn.IFNA(VLOOKUP(I130,Table14543[],2,FALSE()),"")</f>
        <v/>
      </c>
      <c r="K130" s="84" t="str">
        <f aca="false">_xlfn.IFNA(VLOOKUP(I130,Table14543[],3,FALSE()),"")</f>
        <v/>
      </c>
      <c r="L130" s="83" t="str">
        <f aca="false">CONCATENATE("",I130,""," ",J130," ",K130)</f>
        <v>  </v>
      </c>
      <c r="M130" s="85"/>
      <c r="N130" s="86"/>
      <c r="O130" s="86"/>
      <c r="P130" s="86" t="n">
        <f aca="false">N130*O130</f>
        <v>0</v>
      </c>
      <c r="Q130" s="86"/>
      <c r="R130" s="87" t="n">
        <f aca="false">(O130*N130)+Q130</f>
        <v>0</v>
      </c>
      <c r="S130" s="91"/>
    </row>
    <row r="131" customFormat="false" ht="14.25" hidden="false" customHeight="false" outlineLevel="0" collapsed="false">
      <c r="A131" s="77"/>
      <c r="B131" s="78"/>
      <c r="C131" s="79"/>
      <c r="D131" s="79"/>
      <c r="E131" s="80" t="str">
        <f aca="false">_xlfn.IFNA(VLOOKUP(C131,'بيانات الآليات '!A:G,4,FALSE()),"")</f>
        <v/>
      </c>
      <c r="F131" s="81" t="str">
        <f aca="false">_xlfn.IFNA(VLOOKUP(C131,'بيانات الآليات '!A:G,2,FALSE()),"")</f>
        <v/>
      </c>
      <c r="G131" s="81"/>
      <c r="H131" s="81" t="str">
        <f aca="false">_xlfn.IFNA(VLOOKUP(C131,'بيانات الآليات '!A:G,5,FALSE()),"")</f>
        <v/>
      </c>
      <c r="I131" s="82"/>
      <c r="J131" s="83" t="str">
        <f aca="false">_xlfn.IFNA(VLOOKUP(I131,Table14543[],2,FALSE()),"")</f>
        <v/>
      </c>
      <c r="K131" s="84" t="str">
        <f aca="false">_xlfn.IFNA(VLOOKUP(I131,Table14543[],3,FALSE()),"")</f>
        <v/>
      </c>
      <c r="L131" s="83" t="str">
        <f aca="false">CONCATENATE("",I131,""," ",J131," ",K131)</f>
        <v>  </v>
      </c>
      <c r="M131" s="85"/>
      <c r="N131" s="86"/>
      <c r="O131" s="86"/>
      <c r="P131" s="86" t="n">
        <f aca="false">N131*O131</f>
        <v>0</v>
      </c>
      <c r="Q131" s="86"/>
      <c r="R131" s="87" t="n">
        <f aca="false">(O131*N131)+Q131</f>
        <v>0</v>
      </c>
      <c r="S131" s="91"/>
    </row>
    <row r="132" customFormat="false" ht="14.25" hidden="false" customHeight="false" outlineLevel="0" collapsed="false">
      <c r="A132" s="77"/>
      <c r="B132" s="78"/>
      <c r="C132" s="79"/>
      <c r="D132" s="79"/>
      <c r="E132" s="80" t="str">
        <f aca="false">_xlfn.IFNA(VLOOKUP(C132,'بيانات الآليات '!A:G,4,FALSE()),"")</f>
        <v/>
      </c>
      <c r="F132" s="81" t="str">
        <f aca="false">_xlfn.IFNA(VLOOKUP(C132,'بيانات الآليات '!A:G,2,FALSE()),"")</f>
        <v/>
      </c>
      <c r="G132" s="81"/>
      <c r="H132" s="81" t="str">
        <f aca="false">_xlfn.IFNA(VLOOKUP(C132,'بيانات الآليات '!A:G,5,FALSE()),"")</f>
        <v/>
      </c>
      <c r="I132" s="82"/>
      <c r="J132" s="83" t="str">
        <f aca="false">_xlfn.IFNA(VLOOKUP(I132,Table14543[],2,FALSE()),"")</f>
        <v/>
      </c>
      <c r="K132" s="84" t="str">
        <f aca="false">_xlfn.IFNA(VLOOKUP(I132,Table14543[],3,FALSE()),"")</f>
        <v/>
      </c>
      <c r="L132" s="83" t="str">
        <f aca="false">CONCATENATE("",I132,""," ",J132," ",K132)</f>
        <v>  </v>
      </c>
      <c r="M132" s="85"/>
      <c r="N132" s="86"/>
      <c r="O132" s="86"/>
      <c r="P132" s="86" t="n">
        <f aca="false">N132*O132</f>
        <v>0</v>
      </c>
      <c r="Q132" s="86"/>
      <c r="R132" s="87" t="n">
        <f aca="false">(O132*N132)+Q132</f>
        <v>0</v>
      </c>
      <c r="S132" s="91"/>
    </row>
    <row r="133" customFormat="false" ht="14.25" hidden="false" customHeight="false" outlineLevel="0" collapsed="false">
      <c r="A133" s="77"/>
      <c r="B133" s="78"/>
      <c r="C133" s="79"/>
      <c r="D133" s="79"/>
      <c r="E133" s="80" t="str">
        <f aca="false">_xlfn.IFNA(VLOOKUP(C133,'بيانات الآليات '!A:G,4,FALSE()),"")</f>
        <v/>
      </c>
      <c r="F133" s="81" t="str">
        <f aca="false">_xlfn.IFNA(VLOOKUP(C133,'بيانات الآليات '!A:G,2,FALSE()),"")</f>
        <v/>
      </c>
      <c r="G133" s="81"/>
      <c r="H133" s="81" t="str">
        <f aca="false">_xlfn.IFNA(VLOOKUP(C133,'بيانات الآليات '!A:G,5,FALSE()),"")</f>
        <v/>
      </c>
      <c r="I133" s="82"/>
      <c r="J133" s="83" t="str">
        <f aca="false">_xlfn.IFNA(VLOOKUP(I133,Table14543[],2,FALSE()),"")</f>
        <v/>
      </c>
      <c r="K133" s="84" t="str">
        <f aca="false">_xlfn.IFNA(VLOOKUP(I133,Table14543[],3,FALSE()),"")</f>
        <v/>
      </c>
      <c r="L133" s="83" t="str">
        <f aca="false">CONCATENATE("",I133,""," ",J133," ",K133)</f>
        <v>  </v>
      </c>
      <c r="M133" s="85"/>
      <c r="N133" s="86"/>
      <c r="O133" s="86"/>
      <c r="P133" s="86" t="n">
        <f aca="false">N133*O133</f>
        <v>0</v>
      </c>
      <c r="Q133" s="86"/>
      <c r="R133" s="87" t="n">
        <f aca="false">(O133*N133)+Q133</f>
        <v>0</v>
      </c>
      <c r="S133" s="91"/>
    </row>
    <row r="134" customFormat="false" ht="14.25" hidden="false" customHeight="false" outlineLevel="0" collapsed="false">
      <c r="A134" s="77"/>
      <c r="B134" s="78"/>
      <c r="C134" s="79"/>
      <c r="D134" s="79"/>
      <c r="E134" s="80" t="str">
        <f aca="false">_xlfn.IFNA(VLOOKUP(C134,'بيانات الآليات '!A:G,4,FALSE()),"")</f>
        <v/>
      </c>
      <c r="F134" s="81" t="str">
        <f aca="false">_xlfn.IFNA(VLOOKUP(C134,'بيانات الآليات '!A:G,2,FALSE()),"")</f>
        <v/>
      </c>
      <c r="G134" s="81"/>
      <c r="H134" s="81" t="str">
        <f aca="false">_xlfn.IFNA(VLOOKUP(C134,'بيانات الآليات '!A:G,5,FALSE()),"")</f>
        <v/>
      </c>
      <c r="I134" s="82"/>
      <c r="J134" s="83" t="str">
        <f aca="false">_xlfn.IFNA(VLOOKUP(I134,Table14543[],2,FALSE()),"")</f>
        <v/>
      </c>
      <c r="K134" s="84" t="str">
        <f aca="false">_xlfn.IFNA(VLOOKUP(I134,Table14543[],3,FALSE()),"")</f>
        <v/>
      </c>
      <c r="L134" s="83" t="str">
        <f aca="false">CONCATENATE("",I134,""," ",J134," ",K134)</f>
        <v>  </v>
      </c>
      <c r="M134" s="85"/>
      <c r="N134" s="86"/>
      <c r="O134" s="86"/>
      <c r="P134" s="86" t="n">
        <f aca="false">N134*O134</f>
        <v>0</v>
      </c>
      <c r="Q134" s="86"/>
      <c r="R134" s="87" t="n">
        <f aca="false">(O134*N134)+Q134</f>
        <v>0</v>
      </c>
      <c r="S134" s="91"/>
    </row>
    <row r="135" customFormat="false" ht="14.25" hidden="false" customHeight="false" outlineLevel="0" collapsed="false">
      <c r="A135" s="77"/>
      <c r="B135" s="78"/>
      <c r="C135" s="79"/>
      <c r="D135" s="79"/>
      <c r="E135" s="80" t="str">
        <f aca="false">_xlfn.IFNA(VLOOKUP(C135,'بيانات الآليات '!A:G,4,FALSE()),"")</f>
        <v/>
      </c>
      <c r="F135" s="81" t="str">
        <f aca="false">_xlfn.IFNA(VLOOKUP(C135,'بيانات الآليات '!A:G,2,FALSE()),"")</f>
        <v/>
      </c>
      <c r="G135" s="81"/>
      <c r="H135" s="81" t="str">
        <f aca="false">_xlfn.IFNA(VLOOKUP(C135,'بيانات الآليات '!A:G,5,FALSE()),"")</f>
        <v/>
      </c>
      <c r="I135" s="82"/>
      <c r="J135" s="83" t="str">
        <f aca="false">_xlfn.IFNA(VLOOKUP(I135,Table14543[],2,FALSE()),"")</f>
        <v/>
      </c>
      <c r="K135" s="84" t="str">
        <f aca="false">_xlfn.IFNA(VLOOKUP(I135,Table14543[],3,FALSE()),"")</f>
        <v/>
      </c>
      <c r="L135" s="83" t="str">
        <f aca="false">CONCATENATE("",I135,""," ",J135," ",K135)</f>
        <v>  </v>
      </c>
      <c r="M135" s="85"/>
      <c r="N135" s="86"/>
      <c r="O135" s="86"/>
      <c r="P135" s="86" t="n">
        <f aca="false">N135*O135</f>
        <v>0</v>
      </c>
      <c r="Q135" s="86"/>
      <c r="R135" s="87" t="n">
        <f aca="false">(O135*N135)+Q135</f>
        <v>0</v>
      </c>
      <c r="S135" s="91"/>
    </row>
    <row r="136" customFormat="false" ht="14.25" hidden="false" customHeight="false" outlineLevel="0" collapsed="false">
      <c r="A136" s="77"/>
      <c r="B136" s="78"/>
      <c r="C136" s="79"/>
      <c r="D136" s="79"/>
      <c r="E136" s="80" t="str">
        <f aca="false">_xlfn.IFNA(VLOOKUP(C136,'بيانات الآليات '!A:G,4,FALSE()),"")</f>
        <v/>
      </c>
      <c r="F136" s="81" t="str">
        <f aca="false">_xlfn.IFNA(VLOOKUP(C136,'بيانات الآليات '!A:G,2,FALSE()),"")</f>
        <v/>
      </c>
      <c r="G136" s="81"/>
      <c r="H136" s="81" t="str">
        <f aca="false">_xlfn.IFNA(VLOOKUP(C136,'بيانات الآليات '!A:G,5,FALSE()),"")</f>
        <v/>
      </c>
      <c r="I136" s="82"/>
      <c r="J136" s="83" t="str">
        <f aca="false">_xlfn.IFNA(VLOOKUP(I136,Table14543[],2,FALSE()),"")</f>
        <v/>
      </c>
      <c r="K136" s="84" t="str">
        <f aca="false">_xlfn.IFNA(VLOOKUP(I136,Table14543[],3,FALSE()),"")</f>
        <v/>
      </c>
      <c r="L136" s="83" t="str">
        <f aca="false">CONCATENATE("",I136,""," ",J136," ",K136)</f>
        <v>  </v>
      </c>
      <c r="M136" s="85"/>
      <c r="N136" s="86"/>
      <c r="O136" s="86"/>
      <c r="P136" s="86" t="n">
        <f aca="false">N136*O136</f>
        <v>0</v>
      </c>
      <c r="Q136" s="86"/>
      <c r="R136" s="87" t="n">
        <f aca="false">(O136*N136)+Q136</f>
        <v>0</v>
      </c>
      <c r="S136" s="91"/>
    </row>
    <row r="137" customFormat="false" ht="14.25" hidden="false" customHeight="false" outlineLevel="0" collapsed="false">
      <c r="A137" s="77"/>
      <c r="B137" s="78"/>
      <c r="C137" s="79"/>
      <c r="D137" s="79"/>
      <c r="E137" s="80" t="str">
        <f aca="false">_xlfn.IFNA(VLOOKUP(C137,'بيانات الآليات '!A:G,4,FALSE()),"")</f>
        <v/>
      </c>
      <c r="F137" s="81" t="str">
        <f aca="false">_xlfn.IFNA(VLOOKUP(C137,'بيانات الآليات '!A:G,2,FALSE()),"")</f>
        <v/>
      </c>
      <c r="G137" s="81"/>
      <c r="H137" s="81" t="str">
        <f aca="false">_xlfn.IFNA(VLOOKUP(C137,'بيانات الآليات '!A:G,5,FALSE()),"")</f>
        <v/>
      </c>
      <c r="I137" s="82"/>
      <c r="J137" s="83" t="str">
        <f aca="false">_xlfn.IFNA(VLOOKUP(I137,Table14543[],2,FALSE()),"")</f>
        <v/>
      </c>
      <c r="K137" s="84" t="str">
        <f aca="false">_xlfn.IFNA(VLOOKUP(I137,Table14543[],3,FALSE()),"")</f>
        <v/>
      </c>
      <c r="L137" s="83" t="str">
        <f aca="false">CONCATENATE("",I137,""," ",J137," ",K137)</f>
        <v>  </v>
      </c>
      <c r="M137" s="85"/>
      <c r="N137" s="86"/>
      <c r="O137" s="86"/>
      <c r="P137" s="86" t="n">
        <f aca="false">N137*O137</f>
        <v>0</v>
      </c>
      <c r="Q137" s="86"/>
      <c r="R137" s="87" t="n">
        <f aca="false">(O137*N137)+Q137</f>
        <v>0</v>
      </c>
      <c r="S137" s="91"/>
    </row>
    <row r="138" customFormat="false" ht="14.25" hidden="false" customHeight="false" outlineLevel="0" collapsed="false">
      <c r="A138" s="77"/>
      <c r="B138" s="78"/>
      <c r="C138" s="79"/>
      <c r="D138" s="79"/>
      <c r="E138" s="80" t="str">
        <f aca="false">_xlfn.IFNA(VLOOKUP(C138,'بيانات الآليات '!A:G,4,FALSE()),"")</f>
        <v/>
      </c>
      <c r="F138" s="81" t="str">
        <f aca="false">_xlfn.IFNA(VLOOKUP(C138,'بيانات الآليات '!A:G,2,FALSE()),"")</f>
        <v/>
      </c>
      <c r="G138" s="81"/>
      <c r="H138" s="81" t="str">
        <f aca="false">_xlfn.IFNA(VLOOKUP(C138,'بيانات الآليات '!A:G,5,FALSE()),"")</f>
        <v/>
      </c>
      <c r="I138" s="82"/>
      <c r="J138" s="83" t="str">
        <f aca="false">_xlfn.IFNA(VLOOKUP(I138,Table14543[],2,FALSE()),"")</f>
        <v/>
      </c>
      <c r="K138" s="84" t="str">
        <f aca="false">_xlfn.IFNA(VLOOKUP(I138,Table14543[],3,FALSE()),"")</f>
        <v/>
      </c>
      <c r="L138" s="83" t="str">
        <f aca="false">CONCATENATE("",I138,""," ",J138," ",K138)</f>
        <v>  </v>
      </c>
      <c r="M138" s="85"/>
      <c r="N138" s="86"/>
      <c r="O138" s="86"/>
      <c r="P138" s="86" t="n">
        <f aca="false">N138*O138</f>
        <v>0</v>
      </c>
      <c r="Q138" s="86"/>
      <c r="R138" s="87" t="n">
        <f aca="false">(O138*N138)+Q138</f>
        <v>0</v>
      </c>
      <c r="S138" s="91"/>
    </row>
    <row r="139" customFormat="false" ht="14.25" hidden="false" customHeight="false" outlineLevel="0" collapsed="false">
      <c r="A139" s="77"/>
      <c r="B139" s="78"/>
      <c r="C139" s="79"/>
      <c r="D139" s="79"/>
      <c r="E139" s="80" t="str">
        <f aca="false">_xlfn.IFNA(VLOOKUP(C139,'بيانات الآليات '!A:G,4,FALSE()),"")</f>
        <v/>
      </c>
      <c r="F139" s="81" t="str">
        <f aca="false">_xlfn.IFNA(VLOOKUP(C139,'بيانات الآليات '!A:G,2,FALSE()),"")</f>
        <v/>
      </c>
      <c r="G139" s="81"/>
      <c r="H139" s="81" t="str">
        <f aca="false">_xlfn.IFNA(VLOOKUP(C139,'بيانات الآليات '!A:G,5,FALSE()),"")</f>
        <v/>
      </c>
      <c r="I139" s="82"/>
      <c r="J139" s="83" t="str">
        <f aca="false">_xlfn.IFNA(VLOOKUP(I139,Table14543[],2,FALSE()),"")</f>
        <v/>
      </c>
      <c r="K139" s="84" t="str">
        <f aca="false">_xlfn.IFNA(VLOOKUP(I139,Table14543[],3,FALSE()),"")</f>
        <v/>
      </c>
      <c r="L139" s="83" t="str">
        <f aca="false">CONCATENATE("",I139,""," ",J139," ",K139)</f>
        <v>  </v>
      </c>
      <c r="M139" s="85"/>
      <c r="N139" s="86"/>
      <c r="O139" s="86"/>
      <c r="P139" s="86" t="n">
        <f aca="false">N139*O139</f>
        <v>0</v>
      </c>
      <c r="Q139" s="86"/>
      <c r="R139" s="87" t="n">
        <f aca="false">(O139*N139)+Q139</f>
        <v>0</v>
      </c>
      <c r="S139" s="91"/>
    </row>
    <row r="140" customFormat="false" ht="14.25" hidden="false" customHeight="false" outlineLevel="0" collapsed="false">
      <c r="A140" s="77"/>
      <c r="B140" s="78"/>
      <c r="C140" s="79"/>
      <c r="D140" s="79"/>
      <c r="E140" s="80" t="str">
        <f aca="false">_xlfn.IFNA(VLOOKUP(C140,'بيانات الآليات '!A:G,4,FALSE()),"")</f>
        <v/>
      </c>
      <c r="F140" s="81" t="str">
        <f aca="false">_xlfn.IFNA(VLOOKUP(C140,'بيانات الآليات '!A:G,2,FALSE()),"")</f>
        <v/>
      </c>
      <c r="G140" s="81"/>
      <c r="H140" s="81" t="str">
        <f aca="false">_xlfn.IFNA(VLOOKUP(C140,'بيانات الآليات '!A:G,5,FALSE()),"")</f>
        <v/>
      </c>
      <c r="I140" s="82"/>
      <c r="J140" s="83" t="str">
        <f aca="false">_xlfn.IFNA(VLOOKUP(I140,Table14543[],2,FALSE()),"")</f>
        <v/>
      </c>
      <c r="K140" s="84" t="str">
        <f aca="false">_xlfn.IFNA(VLOOKUP(I140,Table14543[],3,FALSE()),"")</f>
        <v/>
      </c>
      <c r="L140" s="83" t="str">
        <f aca="false">CONCATENATE("",I140,""," ",J140," ",K140)</f>
        <v>  </v>
      </c>
      <c r="M140" s="85"/>
      <c r="N140" s="86"/>
      <c r="O140" s="86"/>
      <c r="P140" s="86" t="n">
        <f aca="false">N140*O140</f>
        <v>0</v>
      </c>
      <c r="Q140" s="86"/>
      <c r="R140" s="87" t="n">
        <f aca="false">(O140*N140)+Q140</f>
        <v>0</v>
      </c>
      <c r="S140" s="91"/>
    </row>
    <row r="141" customFormat="false" ht="14.25" hidden="false" customHeight="false" outlineLevel="0" collapsed="false">
      <c r="A141" s="77"/>
      <c r="B141" s="78"/>
      <c r="C141" s="79"/>
      <c r="D141" s="79"/>
      <c r="E141" s="80" t="str">
        <f aca="false">_xlfn.IFNA(VLOOKUP(C141,'بيانات الآليات '!A:G,4,FALSE()),"")</f>
        <v/>
      </c>
      <c r="F141" s="81" t="str">
        <f aca="false">_xlfn.IFNA(VLOOKUP(C141,'بيانات الآليات '!A:G,2,FALSE()),"")</f>
        <v/>
      </c>
      <c r="G141" s="81"/>
      <c r="H141" s="81" t="str">
        <f aca="false">_xlfn.IFNA(VLOOKUP(C141,'بيانات الآليات '!A:G,5,FALSE()),"")</f>
        <v/>
      </c>
      <c r="I141" s="82"/>
      <c r="J141" s="83" t="str">
        <f aca="false">_xlfn.IFNA(VLOOKUP(I141,Table14543[],2,FALSE()),"")</f>
        <v/>
      </c>
      <c r="K141" s="84" t="str">
        <f aca="false">_xlfn.IFNA(VLOOKUP(I141,Table14543[],3,FALSE()),"")</f>
        <v/>
      </c>
      <c r="L141" s="83" t="str">
        <f aca="false">CONCATENATE("",I141,""," ",J141," ",K141)</f>
        <v>  </v>
      </c>
      <c r="M141" s="85"/>
      <c r="N141" s="86"/>
      <c r="O141" s="86"/>
      <c r="P141" s="86" t="n">
        <f aca="false">N141*O141</f>
        <v>0</v>
      </c>
      <c r="Q141" s="86"/>
      <c r="R141" s="87" t="n">
        <f aca="false">(O141*N141)+Q141</f>
        <v>0</v>
      </c>
      <c r="S141" s="91"/>
    </row>
    <row r="142" customFormat="false" ht="14.25" hidden="false" customHeight="false" outlineLevel="0" collapsed="false">
      <c r="A142" s="77"/>
      <c r="B142" s="78"/>
      <c r="C142" s="79"/>
      <c r="D142" s="79"/>
      <c r="E142" s="80" t="str">
        <f aca="false">_xlfn.IFNA(VLOOKUP(C142,'بيانات الآليات '!A:G,4,FALSE()),"")</f>
        <v/>
      </c>
      <c r="F142" s="81" t="str">
        <f aca="false">_xlfn.IFNA(VLOOKUP(C142,'بيانات الآليات '!A:G,2,FALSE()),"")</f>
        <v/>
      </c>
      <c r="G142" s="81"/>
      <c r="H142" s="81" t="str">
        <f aca="false">_xlfn.IFNA(VLOOKUP(C142,'بيانات الآليات '!A:G,5,FALSE()),"")</f>
        <v/>
      </c>
      <c r="I142" s="82"/>
      <c r="J142" s="83" t="str">
        <f aca="false">_xlfn.IFNA(VLOOKUP(I142,Table14543[],2,FALSE()),"")</f>
        <v/>
      </c>
      <c r="K142" s="84" t="str">
        <f aca="false">_xlfn.IFNA(VLOOKUP(I142,Table14543[],3,FALSE()),"")</f>
        <v/>
      </c>
      <c r="L142" s="83" t="str">
        <f aca="false">CONCATENATE("",I142,""," ",J142," ",K142)</f>
        <v>  </v>
      </c>
      <c r="M142" s="85"/>
      <c r="N142" s="86"/>
      <c r="O142" s="86"/>
      <c r="P142" s="86" t="n">
        <f aca="false">N142*O142</f>
        <v>0</v>
      </c>
      <c r="Q142" s="86"/>
      <c r="R142" s="87" t="n">
        <f aca="false">(O142*N142)+Q142</f>
        <v>0</v>
      </c>
      <c r="S142" s="91"/>
    </row>
    <row r="143" customFormat="false" ht="14.25" hidden="false" customHeight="false" outlineLevel="0" collapsed="false">
      <c r="A143" s="77"/>
      <c r="B143" s="78"/>
      <c r="C143" s="79"/>
      <c r="D143" s="79"/>
      <c r="E143" s="80" t="str">
        <f aca="false">_xlfn.IFNA(VLOOKUP(C143,'بيانات الآليات '!A:G,4,FALSE()),"")</f>
        <v/>
      </c>
      <c r="F143" s="81" t="str">
        <f aca="false">_xlfn.IFNA(VLOOKUP(C143,'بيانات الآليات '!A:G,2,FALSE()),"")</f>
        <v/>
      </c>
      <c r="G143" s="81"/>
      <c r="H143" s="81" t="str">
        <f aca="false">_xlfn.IFNA(VLOOKUP(C143,'بيانات الآليات '!A:G,5,FALSE()),"")</f>
        <v/>
      </c>
      <c r="I143" s="82"/>
      <c r="J143" s="83" t="str">
        <f aca="false">_xlfn.IFNA(VLOOKUP(I143,Table14543[],2,FALSE()),"")</f>
        <v/>
      </c>
      <c r="K143" s="84" t="str">
        <f aca="false">_xlfn.IFNA(VLOOKUP(I143,Table14543[],3,FALSE()),"")</f>
        <v/>
      </c>
      <c r="L143" s="83" t="str">
        <f aca="false">CONCATENATE("",I143,""," ",J143," ",K143)</f>
        <v>  </v>
      </c>
      <c r="M143" s="85"/>
      <c r="N143" s="86"/>
      <c r="O143" s="86"/>
      <c r="P143" s="86" t="n">
        <f aca="false">N143*O143</f>
        <v>0</v>
      </c>
      <c r="Q143" s="86"/>
      <c r="R143" s="87" t="n">
        <f aca="false">(O143*N143)+Q143</f>
        <v>0</v>
      </c>
      <c r="S143" s="91"/>
    </row>
    <row r="144" customFormat="false" ht="14.25" hidden="false" customHeight="false" outlineLevel="0" collapsed="false">
      <c r="A144" s="77"/>
      <c r="B144" s="78"/>
      <c r="C144" s="79"/>
      <c r="D144" s="79"/>
      <c r="E144" s="80" t="str">
        <f aca="false">_xlfn.IFNA(VLOOKUP(C144,'بيانات الآليات '!A:G,4,FALSE()),"")</f>
        <v/>
      </c>
      <c r="F144" s="81" t="str">
        <f aca="false">_xlfn.IFNA(VLOOKUP(C144,'بيانات الآليات '!A:G,2,FALSE()),"")</f>
        <v/>
      </c>
      <c r="G144" s="81"/>
      <c r="H144" s="81" t="str">
        <f aca="false">_xlfn.IFNA(VLOOKUP(C144,'بيانات الآليات '!A:G,5,FALSE()),"")</f>
        <v/>
      </c>
      <c r="I144" s="82"/>
      <c r="J144" s="83" t="str">
        <f aca="false">_xlfn.IFNA(VLOOKUP(I144,Table14543[],2,FALSE()),"")</f>
        <v/>
      </c>
      <c r="K144" s="84" t="str">
        <f aca="false">_xlfn.IFNA(VLOOKUP(I144,Table14543[],3,FALSE()),"")</f>
        <v/>
      </c>
      <c r="L144" s="83" t="str">
        <f aca="false">CONCATENATE("",I144,""," ",J144," ",K144)</f>
        <v>  </v>
      </c>
      <c r="M144" s="85"/>
      <c r="N144" s="86"/>
      <c r="O144" s="86"/>
      <c r="P144" s="86" t="n">
        <f aca="false">N144*O144</f>
        <v>0</v>
      </c>
      <c r="Q144" s="86"/>
      <c r="R144" s="87" t="n">
        <f aca="false">(O144*N144)+Q144</f>
        <v>0</v>
      </c>
      <c r="S144" s="91"/>
    </row>
    <row r="145" customFormat="false" ht="14.25" hidden="false" customHeight="false" outlineLevel="0" collapsed="false">
      <c r="A145" s="77"/>
      <c r="B145" s="78"/>
      <c r="C145" s="79"/>
      <c r="D145" s="79"/>
      <c r="E145" s="80" t="str">
        <f aca="false">_xlfn.IFNA(VLOOKUP(C145,'بيانات الآليات '!A:G,4,FALSE()),"")</f>
        <v/>
      </c>
      <c r="F145" s="81" t="str">
        <f aca="false">_xlfn.IFNA(VLOOKUP(C145,'بيانات الآليات '!A:G,2,FALSE()),"")</f>
        <v/>
      </c>
      <c r="G145" s="81"/>
      <c r="H145" s="81" t="str">
        <f aca="false">_xlfn.IFNA(VLOOKUP(C145,'بيانات الآليات '!A:G,5,FALSE()),"")</f>
        <v/>
      </c>
      <c r="I145" s="82"/>
      <c r="J145" s="83" t="str">
        <f aca="false">_xlfn.IFNA(VLOOKUP(I145,Table14543[],2,FALSE()),"")</f>
        <v/>
      </c>
      <c r="K145" s="84" t="str">
        <f aca="false">_xlfn.IFNA(VLOOKUP(I145,Table14543[],3,FALSE()),"")</f>
        <v/>
      </c>
      <c r="L145" s="83" t="str">
        <f aca="false">CONCATENATE("",I145,""," ",J145," ",K145)</f>
        <v>  </v>
      </c>
      <c r="M145" s="85"/>
      <c r="N145" s="86"/>
      <c r="O145" s="86"/>
      <c r="P145" s="86" t="n">
        <f aca="false">N145*O145</f>
        <v>0</v>
      </c>
      <c r="Q145" s="86"/>
      <c r="R145" s="87" t="n">
        <f aca="false">(O145*N145)+Q145</f>
        <v>0</v>
      </c>
      <c r="S145" s="91"/>
    </row>
    <row r="146" customFormat="false" ht="14.25" hidden="false" customHeight="false" outlineLevel="0" collapsed="false">
      <c r="A146" s="77"/>
      <c r="B146" s="78"/>
      <c r="C146" s="79"/>
      <c r="D146" s="79"/>
      <c r="E146" s="80" t="str">
        <f aca="false">_xlfn.IFNA(VLOOKUP(C146,'بيانات الآليات '!A:G,4,FALSE()),"")</f>
        <v/>
      </c>
      <c r="F146" s="81" t="str">
        <f aca="false">_xlfn.IFNA(VLOOKUP(C146,'بيانات الآليات '!A:G,2,FALSE()),"")</f>
        <v/>
      </c>
      <c r="G146" s="81"/>
      <c r="H146" s="81" t="str">
        <f aca="false">_xlfn.IFNA(VLOOKUP(C146,'بيانات الآليات '!A:G,5,FALSE()),"")</f>
        <v/>
      </c>
      <c r="I146" s="82"/>
      <c r="J146" s="83" t="str">
        <f aca="false">_xlfn.IFNA(VLOOKUP(I146,Table14543[],2,FALSE()),"")</f>
        <v/>
      </c>
      <c r="K146" s="84" t="str">
        <f aca="false">_xlfn.IFNA(VLOOKUP(I146,Table14543[],3,FALSE()),"")</f>
        <v/>
      </c>
      <c r="L146" s="83" t="str">
        <f aca="false">CONCATENATE("",I146,""," ",J146," ",K146)</f>
        <v>  </v>
      </c>
      <c r="M146" s="85"/>
      <c r="N146" s="86"/>
      <c r="O146" s="86"/>
      <c r="P146" s="86" t="n">
        <f aca="false">N146*O146</f>
        <v>0</v>
      </c>
      <c r="Q146" s="86"/>
      <c r="R146" s="87" t="n">
        <f aca="false">(O146*N146)+Q146</f>
        <v>0</v>
      </c>
      <c r="S146" s="91"/>
    </row>
    <row r="147" customFormat="false" ht="14.25" hidden="false" customHeight="false" outlineLevel="0" collapsed="false">
      <c r="A147" s="77"/>
      <c r="B147" s="78"/>
      <c r="C147" s="79"/>
      <c r="D147" s="79"/>
      <c r="E147" s="80" t="str">
        <f aca="false">_xlfn.IFNA(VLOOKUP(C147,'بيانات الآليات '!A:G,4,FALSE()),"")</f>
        <v/>
      </c>
      <c r="F147" s="81" t="str">
        <f aca="false">_xlfn.IFNA(VLOOKUP(C147,'بيانات الآليات '!A:G,2,FALSE()),"")</f>
        <v/>
      </c>
      <c r="G147" s="81"/>
      <c r="H147" s="81" t="str">
        <f aca="false">_xlfn.IFNA(VLOOKUP(C147,'بيانات الآليات '!A:G,5,FALSE()),"")</f>
        <v/>
      </c>
      <c r="I147" s="82"/>
      <c r="J147" s="83" t="str">
        <f aca="false">_xlfn.IFNA(VLOOKUP(I147,Table14543[],2,FALSE()),"")</f>
        <v/>
      </c>
      <c r="K147" s="84" t="str">
        <f aca="false">_xlfn.IFNA(VLOOKUP(I147,Table14543[],3,FALSE()),"")</f>
        <v/>
      </c>
      <c r="L147" s="83" t="str">
        <f aca="false">CONCATENATE("",I147,""," ",J147," ",K147)</f>
        <v>  </v>
      </c>
      <c r="M147" s="85"/>
      <c r="N147" s="86"/>
      <c r="O147" s="86"/>
      <c r="P147" s="86" t="n">
        <f aca="false">N147*O147</f>
        <v>0</v>
      </c>
      <c r="Q147" s="86"/>
      <c r="R147" s="87" t="n">
        <f aca="false">(O147*N147)+Q147</f>
        <v>0</v>
      </c>
      <c r="S147" s="91"/>
    </row>
    <row r="148" customFormat="false" ht="14.25" hidden="false" customHeight="false" outlineLevel="0" collapsed="false">
      <c r="A148" s="77"/>
      <c r="B148" s="78"/>
      <c r="C148" s="79"/>
      <c r="D148" s="79"/>
      <c r="E148" s="80" t="str">
        <f aca="false">_xlfn.IFNA(VLOOKUP(C148,'بيانات الآليات '!A:G,4,FALSE()),"")</f>
        <v/>
      </c>
      <c r="F148" s="81" t="str">
        <f aca="false">_xlfn.IFNA(VLOOKUP(C148,'بيانات الآليات '!A:G,2,FALSE()),"")</f>
        <v/>
      </c>
      <c r="G148" s="81"/>
      <c r="H148" s="81" t="str">
        <f aca="false">_xlfn.IFNA(VLOOKUP(C148,'بيانات الآليات '!A:G,5,FALSE()),"")</f>
        <v/>
      </c>
      <c r="I148" s="82"/>
      <c r="J148" s="83" t="str">
        <f aca="false">_xlfn.IFNA(VLOOKUP(I148,Table14543[],2,FALSE()),"")</f>
        <v/>
      </c>
      <c r="K148" s="84" t="str">
        <f aca="false">_xlfn.IFNA(VLOOKUP(I148,Table14543[],3,FALSE()),"")</f>
        <v/>
      </c>
      <c r="L148" s="83" t="str">
        <f aca="false">CONCATENATE("",I148,""," ",J148," ",K148)</f>
        <v>  </v>
      </c>
      <c r="M148" s="85"/>
      <c r="N148" s="86"/>
      <c r="O148" s="86"/>
      <c r="P148" s="86" t="n">
        <f aca="false">N148*O148</f>
        <v>0</v>
      </c>
      <c r="Q148" s="86"/>
      <c r="R148" s="87" t="n">
        <f aca="false">(O148*N148)+Q148</f>
        <v>0</v>
      </c>
      <c r="S148" s="91"/>
    </row>
    <row r="149" customFormat="false" ht="14.25" hidden="false" customHeight="false" outlineLevel="0" collapsed="false">
      <c r="A149" s="77"/>
      <c r="B149" s="78"/>
      <c r="C149" s="79"/>
      <c r="D149" s="79"/>
      <c r="E149" s="80" t="str">
        <f aca="false">_xlfn.IFNA(VLOOKUP(C149,'بيانات الآليات '!A:G,4,FALSE()),"")</f>
        <v/>
      </c>
      <c r="F149" s="81" t="str">
        <f aca="false">_xlfn.IFNA(VLOOKUP(C149,'بيانات الآليات '!A:G,2,FALSE()),"")</f>
        <v/>
      </c>
      <c r="G149" s="81"/>
      <c r="H149" s="81" t="str">
        <f aca="false">_xlfn.IFNA(VLOOKUP(C149,'بيانات الآليات '!A:G,5,FALSE()),"")</f>
        <v/>
      </c>
      <c r="I149" s="82"/>
      <c r="J149" s="83" t="str">
        <f aca="false">_xlfn.IFNA(VLOOKUP(I149,Table14543[],2,FALSE()),"")</f>
        <v/>
      </c>
      <c r="K149" s="84" t="str">
        <f aca="false">_xlfn.IFNA(VLOOKUP(I149,Table14543[],3,FALSE()),"")</f>
        <v/>
      </c>
      <c r="L149" s="83" t="str">
        <f aca="false">CONCATENATE("",I149,""," ",J149," ",K149)</f>
        <v>  </v>
      </c>
      <c r="M149" s="85"/>
      <c r="N149" s="86"/>
      <c r="O149" s="86"/>
      <c r="P149" s="86" t="n">
        <f aca="false">N149*O149</f>
        <v>0</v>
      </c>
      <c r="Q149" s="86"/>
      <c r="R149" s="87" t="n">
        <f aca="false">(O149*N149)+Q149</f>
        <v>0</v>
      </c>
      <c r="S149" s="91"/>
    </row>
    <row r="150" customFormat="false" ht="14.25" hidden="false" customHeight="false" outlineLevel="0" collapsed="false">
      <c r="A150" s="77"/>
      <c r="B150" s="78"/>
      <c r="C150" s="79"/>
      <c r="D150" s="79"/>
      <c r="E150" s="80" t="str">
        <f aca="false">_xlfn.IFNA(VLOOKUP(C150,'بيانات الآليات '!A:G,4,FALSE()),"")</f>
        <v/>
      </c>
      <c r="F150" s="81" t="str">
        <f aca="false">_xlfn.IFNA(VLOOKUP(C150,'بيانات الآليات '!A:G,2,FALSE()),"")</f>
        <v/>
      </c>
      <c r="G150" s="81"/>
      <c r="H150" s="81" t="str">
        <f aca="false">_xlfn.IFNA(VLOOKUP(C150,'بيانات الآليات '!A:G,5,FALSE()),"")</f>
        <v/>
      </c>
      <c r="I150" s="82"/>
      <c r="J150" s="83" t="str">
        <f aca="false">_xlfn.IFNA(VLOOKUP(I150,Table14543[],2,FALSE()),"")</f>
        <v/>
      </c>
      <c r="K150" s="84" t="str">
        <f aca="false">_xlfn.IFNA(VLOOKUP(I150,Table14543[],3,FALSE()),"")</f>
        <v/>
      </c>
      <c r="L150" s="83" t="str">
        <f aca="false">CONCATENATE("",I150,""," ",J150," ",K150)</f>
        <v>  </v>
      </c>
      <c r="M150" s="85"/>
      <c r="N150" s="86"/>
      <c r="O150" s="86"/>
      <c r="P150" s="86" t="n">
        <f aca="false">N150*O150</f>
        <v>0</v>
      </c>
      <c r="Q150" s="86"/>
      <c r="R150" s="87" t="n">
        <f aca="false">(O150*N150)+Q150</f>
        <v>0</v>
      </c>
      <c r="S150" s="91"/>
    </row>
    <row r="151" customFormat="false" ht="14.25" hidden="false" customHeight="false" outlineLevel="0" collapsed="false">
      <c r="A151" s="77"/>
      <c r="B151" s="78"/>
      <c r="C151" s="79"/>
      <c r="D151" s="79"/>
      <c r="E151" s="80" t="str">
        <f aca="false">_xlfn.IFNA(VLOOKUP(C151,'بيانات الآليات '!A:G,4,FALSE()),"")</f>
        <v/>
      </c>
      <c r="F151" s="81" t="str">
        <f aca="false">_xlfn.IFNA(VLOOKUP(C151,'بيانات الآليات '!A:G,2,FALSE()),"")</f>
        <v/>
      </c>
      <c r="G151" s="81"/>
      <c r="H151" s="81" t="str">
        <f aca="false">_xlfn.IFNA(VLOOKUP(C151,'بيانات الآليات '!A:G,5,FALSE()),"")</f>
        <v/>
      </c>
      <c r="I151" s="82"/>
      <c r="J151" s="83" t="str">
        <f aca="false">_xlfn.IFNA(VLOOKUP(I151,Table14543[],2,FALSE()),"")</f>
        <v/>
      </c>
      <c r="K151" s="84" t="str">
        <f aca="false">_xlfn.IFNA(VLOOKUP(I151,Table14543[],3,FALSE()),"")</f>
        <v/>
      </c>
      <c r="L151" s="83" t="str">
        <f aca="false">CONCATENATE("",I151,""," ",J151," ",K151)</f>
        <v>  </v>
      </c>
      <c r="M151" s="85"/>
      <c r="N151" s="86"/>
      <c r="O151" s="86"/>
      <c r="P151" s="86" t="n">
        <f aca="false">N151*O151</f>
        <v>0</v>
      </c>
      <c r="Q151" s="86"/>
      <c r="R151" s="87" t="n">
        <f aca="false">(O151*N151)+Q151</f>
        <v>0</v>
      </c>
      <c r="S151" s="91"/>
    </row>
    <row r="152" customFormat="false" ht="14.25" hidden="false" customHeight="false" outlineLevel="0" collapsed="false">
      <c r="A152" s="77"/>
      <c r="B152" s="78"/>
      <c r="C152" s="79"/>
      <c r="D152" s="79"/>
      <c r="E152" s="80" t="str">
        <f aca="false">_xlfn.IFNA(VLOOKUP(C152,'بيانات الآليات '!A:G,4,FALSE()),"")</f>
        <v/>
      </c>
      <c r="F152" s="81" t="str">
        <f aca="false">_xlfn.IFNA(VLOOKUP(C152,'بيانات الآليات '!A:G,2,FALSE()),"")</f>
        <v/>
      </c>
      <c r="G152" s="81"/>
      <c r="H152" s="81" t="str">
        <f aca="false">_xlfn.IFNA(VLOOKUP(C152,'بيانات الآليات '!A:G,5,FALSE()),"")</f>
        <v/>
      </c>
      <c r="I152" s="82"/>
      <c r="J152" s="83" t="str">
        <f aca="false">_xlfn.IFNA(VLOOKUP(I152,Table14543[],2,FALSE()),"")</f>
        <v/>
      </c>
      <c r="K152" s="84" t="str">
        <f aca="false">_xlfn.IFNA(VLOOKUP(I152,Table14543[],3,FALSE()),"")</f>
        <v/>
      </c>
      <c r="L152" s="83" t="str">
        <f aca="false">CONCATENATE("",I152,""," ",J152," ",K152)</f>
        <v>  </v>
      </c>
      <c r="M152" s="85"/>
      <c r="N152" s="86"/>
      <c r="O152" s="86"/>
      <c r="P152" s="86" t="n">
        <f aca="false">N152*O152</f>
        <v>0</v>
      </c>
      <c r="Q152" s="86"/>
      <c r="R152" s="87" t="n">
        <f aca="false">(O152*N152)+Q152</f>
        <v>0</v>
      </c>
      <c r="S152" s="91"/>
    </row>
    <row r="153" customFormat="false" ht="14.25" hidden="false" customHeight="false" outlineLevel="0" collapsed="false">
      <c r="A153" s="77"/>
      <c r="B153" s="78"/>
      <c r="C153" s="79"/>
      <c r="D153" s="79"/>
      <c r="E153" s="80" t="str">
        <f aca="false">_xlfn.IFNA(VLOOKUP(C153,'بيانات الآليات '!A:G,4,FALSE()),"")</f>
        <v/>
      </c>
      <c r="F153" s="81" t="str">
        <f aca="false">_xlfn.IFNA(VLOOKUP(C153,'بيانات الآليات '!A:G,2,FALSE()),"")</f>
        <v/>
      </c>
      <c r="G153" s="81"/>
      <c r="H153" s="81" t="str">
        <f aca="false">_xlfn.IFNA(VLOOKUP(C153,'بيانات الآليات '!A:G,5,FALSE()),"")</f>
        <v/>
      </c>
      <c r="I153" s="82"/>
      <c r="J153" s="83" t="str">
        <f aca="false">_xlfn.IFNA(VLOOKUP(I153,Table14543[],2,FALSE()),"")</f>
        <v/>
      </c>
      <c r="K153" s="84" t="str">
        <f aca="false">_xlfn.IFNA(VLOOKUP(I153,Table14543[],3,FALSE()),"")</f>
        <v/>
      </c>
      <c r="L153" s="83" t="str">
        <f aca="false">CONCATENATE("",I153,""," ",J153," ",K153)</f>
        <v>  </v>
      </c>
      <c r="M153" s="85"/>
      <c r="N153" s="86"/>
      <c r="O153" s="86"/>
      <c r="P153" s="86" t="n">
        <f aca="false">N153*O153</f>
        <v>0</v>
      </c>
      <c r="Q153" s="86"/>
      <c r="R153" s="87" t="n">
        <f aca="false">(O153*N153)+Q153</f>
        <v>0</v>
      </c>
      <c r="S153" s="91"/>
    </row>
    <row r="154" customFormat="false" ht="14.25" hidden="false" customHeight="false" outlineLevel="0" collapsed="false">
      <c r="A154" s="77"/>
      <c r="B154" s="78"/>
      <c r="C154" s="79"/>
      <c r="D154" s="79"/>
      <c r="E154" s="80" t="str">
        <f aca="false">_xlfn.IFNA(VLOOKUP(C154,'بيانات الآليات '!A:G,4,FALSE()),"")</f>
        <v/>
      </c>
      <c r="F154" s="81" t="str">
        <f aca="false">_xlfn.IFNA(VLOOKUP(C154,'بيانات الآليات '!A:G,2,FALSE()),"")</f>
        <v/>
      </c>
      <c r="G154" s="81"/>
      <c r="H154" s="81" t="str">
        <f aca="false">_xlfn.IFNA(VLOOKUP(C154,'بيانات الآليات '!A:G,5,FALSE()),"")</f>
        <v/>
      </c>
      <c r="I154" s="82"/>
      <c r="J154" s="83" t="str">
        <f aca="false">_xlfn.IFNA(VLOOKUP(I154,Table14543[],2,FALSE()),"")</f>
        <v/>
      </c>
      <c r="K154" s="84" t="str">
        <f aca="false">_xlfn.IFNA(VLOOKUP(I154,Table14543[],3,FALSE()),"")</f>
        <v/>
      </c>
      <c r="L154" s="83" t="str">
        <f aca="false">CONCATENATE("",I154,""," ",J154," ",K154)</f>
        <v>  </v>
      </c>
      <c r="M154" s="85"/>
      <c r="N154" s="86"/>
      <c r="O154" s="86"/>
      <c r="P154" s="86" t="n">
        <f aca="false">N154*O154</f>
        <v>0</v>
      </c>
      <c r="Q154" s="86"/>
      <c r="R154" s="87" t="n">
        <f aca="false">(O154*N154)+Q154</f>
        <v>0</v>
      </c>
      <c r="S154" s="91"/>
    </row>
    <row r="155" customFormat="false" ht="14.25" hidden="false" customHeight="false" outlineLevel="0" collapsed="false">
      <c r="A155" s="77"/>
      <c r="B155" s="78"/>
      <c r="C155" s="79"/>
      <c r="D155" s="79"/>
      <c r="E155" s="80" t="str">
        <f aca="false">_xlfn.IFNA(VLOOKUP(C155,'بيانات الآليات '!A:G,4,FALSE()),"")</f>
        <v/>
      </c>
      <c r="F155" s="81" t="str">
        <f aca="false">_xlfn.IFNA(VLOOKUP(C155,'بيانات الآليات '!A:G,2,FALSE()),"")</f>
        <v/>
      </c>
      <c r="G155" s="81"/>
      <c r="H155" s="81" t="str">
        <f aca="false">_xlfn.IFNA(VLOOKUP(C155,'بيانات الآليات '!A:G,5,FALSE()),"")</f>
        <v/>
      </c>
      <c r="I155" s="82"/>
      <c r="J155" s="83" t="str">
        <f aca="false">_xlfn.IFNA(VLOOKUP(I155,Table14543[],2,FALSE()),"")</f>
        <v/>
      </c>
      <c r="K155" s="84" t="str">
        <f aca="false">_xlfn.IFNA(VLOOKUP(I155,Table14543[],3,FALSE()),"")</f>
        <v/>
      </c>
      <c r="L155" s="83" t="str">
        <f aca="false">CONCATENATE("",I155,""," ",J155," ",K155)</f>
        <v>  </v>
      </c>
      <c r="M155" s="85"/>
      <c r="N155" s="86"/>
      <c r="O155" s="86"/>
      <c r="P155" s="86" t="n">
        <f aca="false">N155*O155</f>
        <v>0</v>
      </c>
      <c r="Q155" s="86"/>
      <c r="R155" s="87" t="n">
        <f aca="false">(O155*N155)+Q155</f>
        <v>0</v>
      </c>
      <c r="S155" s="91"/>
    </row>
    <row r="156" customFormat="false" ht="14.25" hidden="false" customHeight="false" outlineLevel="0" collapsed="false">
      <c r="A156" s="77"/>
      <c r="B156" s="78"/>
      <c r="C156" s="79"/>
      <c r="D156" s="79"/>
      <c r="E156" s="80" t="str">
        <f aca="false">_xlfn.IFNA(VLOOKUP(C156,'بيانات الآليات '!A:G,4,FALSE()),"")</f>
        <v/>
      </c>
      <c r="F156" s="81" t="str">
        <f aca="false">_xlfn.IFNA(VLOOKUP(C156,'بيانات الآليات '!A:G,2,FALSE()),"")</f>
        <v/>
      </c>
      <c r="G156" s="81"/>
      <c r="H156" s="81" t="str">
        <f aca="false">_xlfn.IFNA(VLOOKUP(C156,'بيانات الآليات '!A:G,5,FALSE()),"")</f>
        <v/>
      </c>
      <c r="I156" s="82"/>
      <c r="J156" s="83" t="str">
        <f aca="false">_xlfn.IFNA(VLOOKUP(I156,Table14543[],2,FALSE()),"")</f>
        <v/>
      </c>
      <c r="K156" s="84" t="str">
        <f aca="false">_xlfn.IFNA(VLOOKUP(I156,Table14543[],3,FALSE()),"")</f>
        <v/>
      </c>
      <c r="L156" s="83" t="str">
        <f aca="false">CONCATENATE("",I156,""," ",J156," ",K156)</f>
        <v>  </v>
      </c>
      <c r="M156" s="85"/>
      <c r="N156" s="86"/>
      <c r="O156" s="86"/>
      <c r="P156" s="86" t="n">
        <f aca="false">N156*O156</f>
        <v>0</v>
      </c>
      <c r="Q156" s="86"/>
      <c r="R156" s="87" t="n">
        <f aca="false">(O156*N156)+Q156</f>
        <v>0</v>
      </c>
      <c r="S156" s="91"/>
    </row>
    <row r="157" customFormat="false" ht="14.25" hidden="false" customHeight="false" outlineLevel="0" collapsed="false">
      <c r="A157" s="77"/>
      <c r="B157" s="78"/>
      <c r="C157" s="79"/>
      <c r="D157" s="79"/>
      <c r="E157" s="80" t="str">
        <f aca="false">_xlfn.IFNA(VLOOKUP(C157,'بيانات الآليات '!A:G,4,FALSE()),"")</f>
        <v/>
      </c>
      <c r="F157" s="81" t="str">
        <f aca="false">_xlfn.IFNA(VLOOKUP(C157,'بيانات الآليات '!A:G,2,FALSE()),"")</f>
        <v/>
      </c>
      <c r="G157" s="81"/>
      <c r="H157" s="81" t="str">
        <f aca="false">_xlfn.IFNA(VLOOKUP(C157,'بيانات الآليات '!A:G,5,FALSE()),"")</f>
        <v/>
      </c>
      <c r="I157" s="82"/>
      <c r="J157" s="83" t="str">
        <f aca="false">_xlfn.IFNA(VLOOKUP(I157,Table14543[],2,FALSE()),"")</f>
        <v/>
      </c>
      <c r="K157" s="84" t="str">
        <f aca="false">_xlfn.IFNA(VLOOKUP(I157,Table14543[],3,FALSE()),"")</f>
        <v/>
      </c>
      <c r="L157" s="83" t="str">
        <f aca="false">CONCATENATE("",I157,""," ",J157," ",K157)</f>
        <v>  </v>
      </c>
      <c r="M157" s="85"/>
      <c r="N157" s="86"/>
      <c r="O157" s="86"/>
      <c r="P157" s="86" t="n">
        <f aca="false">N157*O157</f>
        <v>0</v>
      </c>
      <c r="Q157" s="86"/>
      <c r="R157" s="87" t="n">
        <f aca="false">(O157*N157)+Q157</f>
        <v>0</v>
      </c>
      <c r="S157" s="91"/>
    </row>
    <row r="158" customFormat="false" ht="14.25" hidden="false" customHeight="false" outlineLevel="0" collapsed="false">
      <c r="A158" s="77"/>
      <c r="B158" s="78"/>
      <c r="C158" s="79"/>
      <c r="D158" s="79"/>
      <c r="E158" s="80" t="str">
        <f aca="false">_xlfn.IFNA(VLOOKUP(C158,'بيانات الآليات '!A:G,4,FALSE()),"")</f>
        <v/>
      </c>
      <c r="F158" s="81" t="str">
        <f aca="false">_xlfn.IFNA(VLOOKUP(C158,'بيانات الآليات '!A:G,2,FALSE()),"")</f>
        <v/>
      </c>
      <c r="G158" s="81"/>
      <c r="H158" s="81" t="str">
        <f aca="false">_xlfn.IFNA(VLOOKUP(C158,'بيانات الآليات '!A:G,5,FALSE()),"")</f>
        <v/>
      </c>
      <c r="I158" s="82"/>
      <c r="J158" s="83" t="str">
        <f aca="false">_xlfn.IFNA(VLOOKUP(I158,Table14543[],2,FALSE()),"")</f>
        <v/>
      </c>
      <c r="K158" s="84" t="str">
        <f aca="false">_xlfn.IFNA(VLOOKUP(I158,Table14543[],3,FALSE()),"")</f>
        <v/>
      </c>
      <c r="L158" s="83" t="str">
        <f aca="false">CONCATENATE("",I158,""," ",J158," ",K158)</f>
        <v>  </v>
      </c>
      <c r="M158" s="85"/>
      <c r="N158" s="86"/>
      <c r="O158" s="86"/>
      <c r="P158" s="86" t="n">
        <f aca="false">N158*O158</f>
        <v>0</v>
      </c>
      <c r="Q158" s="86"/>
      <c r="R158" s="87" t="n">
        <f aca="false">(O158*N158)+Q158</f>
        <v>0</v>
      </c>
      <c r="S158" s="91"/>
    </row>
    <row r="159" customFormat="false" ht="14.25" hidden="false" customHeight="false" outlineLevel="0" collapsed="false">
      <c r="A159" s="77"/>
      <c r="B159" s="78"/>
      <c r="C159" s="79"/>
      <c r="D159" s="79"/>
      <c r="E159" s="80" t="str">
        <f aca="false">_xlfn.IFNA(VLOOKUP(C159,'بيانات الآليات '!A:G,4,FALSE()),"")</f>
        <v/>
      </c>
      <c r="F159" s="81" t="str">
        <f aca="false">_xlfn.IFNA(VLOOKUP(C159,'بيانات الآليات '!A:G,2,FALSE()),"")</f>
        <v/>
      </c>
      <c r="G159" s="81"/>
      <c r="H159" s="81" t="str">
        <f aca="false">_xlfn.IFNA(VLOOKUP(C159,'بيانات الآليات '!A:G,5,FALSE()),"")</f>
        <v/>
      </c>
      <c r="I159" s="82"/>
      <c r="J159" s="83" t="str">
        <f aca="false">_xlfn.IFNA(VLOOKUP(I159,Table14543[],2,FALSE()),"")</f>
        <v/>
      </c>
      <c r="K159" s="84" t="str">
        <f aca="false">_xlfn.IFNA(VLOOKUP(I159,Table14543[],3,FALSE()),"")</f>
        <v/>
      </c>
      <c r="L159" s="83" t="str">
        <f aca="false">CONCATENATE("",I159,""," ",J159," ",K159)</f>
        <v>  </v>
      </c>
      <c r="M159" s="85"/>
      <c r="N159" s="86"/>
      <c r="O159" s="86"/>
      <c r="P159" s="86" t="n">
        <f aca="false">N159*O159</f>
        <v>0</v>
      </c>
      <c r="Q159" s="86"/>
      <c r="R159" s="87" t="n">
        <f aca="false">(O159*N159)+Q159</f>
        <v>0</v>
      </c>
      <c r="S159" s="91"/>
    </row>
    <row r="160" customFormat="false" ht="14.25" hidden="false" customHeight="false" outlineLevel="0" collapsed="false">
      <c r="A160" s="77"/>
      <c r="B160" s="78"/>
      <c r="C160" s="79"/>
      <c r="D160" s="79"/>
      <c r="E160" s="80" t="str">
        <f aca="false">_xlfn.IFNA(VLOOKUP(C160,'بيانات الآليات '!A:G,4,FALSE()),"")</f>
        <v/>
      </c>
      <c r="F160" s="81" t="str">
        <f aca="false">_xlfn.IFNA(VLOOKUP(C160,'بيانات الآليات '!A:G,2,FALSE()),"")</f>
        <v/>
      </c>
      <c r="G160" s="81"/>
      <c r="H160" s="81" t="str">
        <f aca="false">_xlfn.IFNA(VLOOKUP(C160,'بيانات الآليات '!A:G,5,FALSE()),"")</f>
        <v/>
      </c>
      <c r="I160" s="82"/>
      <c r="J160" s="83" t="str">
        <f aca="false">_xlfn.IFNA(VLOOKUP(I160,Table14543[],2,FALSE()),"")</f>
        <v/>
      </c>
      <c r="K160" s="84" t="str">
        <f aca="false">_xlfn.IFNA(VLOOKUP(I160,Table14543[],3,FALSE()),"")</f>
        <v/>
      </c>
      <c r="L160" s="83" t="str">
        <f aca="false">CONCATENATE("",I160,""," ",J160," ",K160)</f>
        <v>  </v>
      </c>
      <c r="M160" s="85"/>
      <c r="N160" s="86"/>
      <c r="O160" s="86"/>
      <c r="P160" s="86" t="n">
        <f aca="false">N160*O160</f>
        <v>0</v>
      </c>
      <c r="Q160" s="86"/>
      <c r="R160" s="87" t="n">
        <f aca="false">(O160*N160)+Q160</f>
        <v>0</v>
      </c>
      <c r="S160" s="91"/>
    </row>
    <row r="161" customFormat="false" ht="14.25" hidden="false" customHeight="false" outlineLevel="0" collapsed="false">
      <c r="A161" s="77"/>
      <c r="B161" s="78"/>
      <c r="C161" s="79"/>
      <c r="D161" s="79"/>
      <c r="E161" s="80" t="str">
        <f aca="false">_xlfn.IFNA(VLOOKUP(C161,'بيانات الآليات '!A:G,4,FALSE()),"")</f>
        <v/>
      </c>
      <c r="F161" s="81" t="str">
        <f aca="false">_xlfn.IFNA(VLOOKUP(C161,'بيانات الآليات '!A:G,2,FALSE()),"")</f>
        <v/>
      </c>
      <c r="G161" s="81"/>
      <c r="H161" s="81" t="str">
        <f aca="false">_xlfn.IFNA(VLOOKUP(C161,'بيانات الآليات '!A:G,5,FALSE()),"")</f>
        <v/>
      </c>
      <c r="I161" s="82"/>
      <c r="J161" s="83" t="str">
        <f aca="false">_xlfn.IFNA(VLOOKUP(I161,Table14543[],2,FALSE()),"")</f>
        <v/>
      </c>
      <c r="K161" s="84" t="str">
        <f aca="false">_xlfn.IFNA(VLOOKUP(I161,Table14543[],3,FALSE()),"")</f>
        <v/>
      </c>
      <c r="L161" s="83" t="str">
        <f aca="false">CONCATENATE("",I161,""," ",J161," ",K161)</f>
        <v>  </v>
      </c>
      <c r="M161" s="85"/>
      <c r="N161" s="86"/>
      <c r="O161" s="86"/>
      <c r="P161" s="86" t="n">
        <f aca="false">N161*O161</f>
        <v>0</v>
      </c>
      <c r="Q161" s="86"/>
      <c r="R161" s="87" t="n">
        <f aca="false">(O161*N161)+Q161</f>
        <v>0</v>
      </c>
      <c r="S161" s="91"/>
    </row>
    <row r="162" customFormat="false" ht="14.25" hidden="false" customHeight="false" outlineLevel="0" collapsed="false">
      <c r="A162" s="77"/>
      <c r="B162" s="78"/>
      <c r="C162" s="79"/>
      <c r="D162" s="79"/>
      <c r="E162" s="80" t="str">
        <f aca="false">_xlfn.IFNA(VLOOKUP(C162,'بيانات الآليات '!A:G,4,FALSE()),"")</f>
        <v/>
      </c>
      <c r="F162" s="81" t="str">
        <f aca="false">_xlfn.IFNA(VLOOKUP(C162,'بيانات الآليات '!A:G,2,FALSE()),"")</f>
        <v/>
      </c>
      <c r="G162" s="81"/>
      <c r="H162" s="81" t="str">
        <f aca="false">_xlfn.IFNA(VLOOKUP(C162,'بيانات الآليات '!A:G,5,FALSE()),"")</f>
        <v/>
      </c>
      <c r="I162" s="82"/>
      <c r="J162" s="83" t="str">
        <f aca="false">_xlfn.IFNA(VLOOKUP(I162,Table14543[],2,FALSE()),"")</f>
        <v/>
      </c>
      <c r="K162" s="84" t="str">
        <f aca="false">_xlfn.IFNA(VLOOKUP(I162,Table14543[],3,FALSE()),"")</f>
        <v/>
      </c>
      <c r="L162" s="83" t="str">
        <f aca="false">CONCATENATE("",I162,""," ",J162," ",K162)</f>
        <v>  </v>
      </c>
      <c r="M162" s="85"/>
      <c r="N162" s="86"/>
      <c r="O162" s="86"/>
      <c r="P162" s="86" t="n">
        <f aca="false">N162*O162</f>
        <v>0</v>
      </c>
      <c r="Q162" s="86"/>
      <c r="R162" s="87" t="n">
        <f aca="false">(O162*N162)+Q162</f>
        <v>0</v>
      </c>
      <c r="S162" s="91"/>
    </row>
    <row r="163" customFormat="false" ht="14.25" hidden="false" customHeight="false" outlineLevel="0" collapsed="false">
      <c r="A163" s="77"/>
      <c r="B163" s="78"/>
      <c r="C163" s="79"/>
      <c r="D163" s="79"/>
      <c r="E163" s="80" t="str">
        <f aca="false">_xlfn.IFNA(VLOOKUP(C163,'بيانات الآليات '!A:G,4,FALSE()),"")</f>
        <v/>
      </c>
      <c r="F163" s="81" t="str">
        <f aca="false">_xlfn.IFNA(VLOOKUP(C163,'بيانات الآليات '!A:G,2,FALSE()),"")</f>
        <v/>
      </c>
      <c r="G163" s="81"/>
      <c r="H163" s="81" t="str">
        <f aca="false">_xlfn.IFNA(VLOOKUP(C163,'بيانات الآليات '!A:G,5,FALSE()),"")</f>
        <v/>
      </c>
      <c r="I163" s="82"/>
      <c r="J163" s="83" t="str">
        <f aca="false">_xlfn.IFNA(VLOOKUP(I163,Table14543[],2,FALSE()),"")</f>
        <v/>
      </c>
      <c r="K163" s="84" t="str">
        <f aca="false">_xlfn.IFNA(VLOOKUP(I163,Table14543[],3,FALSE()),"")</f>
        <v/>
      </c>
      <c r="L163" s="83" t="str">
        <f aca="false">CONCATENATE("",I163,""," ",J163," ",K163)</f>
        <v>  </v>
      </c>
      <c r="M163" s="85"/>
      <c r="N163" s="86"/>
      <c r="O163" s="86"/>
      <c r="P163" s="86" t="n">
        <f aca="false">N163*O163</f>
        <v>0</v>
      </c>
      <c r="Q163" s="86"/>
      <c r="R163" s="87" t="n">
        <f aca="false">(O163*N163)+Q163</f>
        <v>0</v>
      </c>
      <c r="S163" s="91"/>
    </row>
    <row r="164" customFormat="false" ht="14.25" hidden="false" customHeight="false" outlineLevel="0" collapsed="false">
      <c r="A164" s="77"/>
      <c r="B164" s="78"/>
      <c r="C164" s="79"/>
      <c r="D164" s="79"/>
      <c r="E164" s="80" t="str">
        <f aca="false">_xlfn.IFNA(VLOOKUP(C164,'بيانات الآليات '!A:G,4,FALSE()),"")</f>
        <v/>
      </c>
      <c r="F164" s="81" t="str">
        <f aca="false">_xlfn.IFNA(VLOOKUP(C164,'بيانات الآليات '!A:G,2,FALSE()),"")</f>
        <v/>
      </c>
      <c r="G164" s="81"/>
      <c r="H164" s="81" t="str">
        <f aca="false">_xlfn.IFNA(VLOOKUP(C164,'بيانات الآليات '!A:G,5,FALSE()),"")</f>
        <v/>
      </c>
      <c r="I164" s="82"/>
      <c r="J164" s="83" t="str">
        <f aca="false">_xlfn.IFNA(VLOOKUP(I164,Table14543[],2,FALSE()),"")</f>
        <v/>
      </c>
      <c r="K164" s="84" t="str">
        <f aca="false">_xlfn.IFNA(VLOOKUP(I164,Table14543[],3,FALSE()),"")</f>
        <v/>
      </c>
      <c r="L164" s="83" t="str">
        <f aca="false">CONCATENATE("",I164,""," ",J164," ",K164)</f>
        <v>  </v>
      </c>
      <c r="M164" s="85"/>
      <c r="N164" s="86"/>
      <c r="O164" s="86"/>
      <c r="P164" s="86" t="n">
        <f aca="false">N164*O164</f>
        <v>0</v>
      </c>
      <c r="Q164" s="86"/>
      <c r="R164" s="87" t="n">
        <f aca="false">(O164*N164)+Q164</f>
        <v>0</v>
      </c>
      <c r="S164" s="91"/>
    </row>
    <row r="165" customFormat="false" ht="14.25" hidden="false" customHeight="false" outlineLevel="0" collapsed="false">
      <c r="A165" s="77"/>
      <c r="B165" s="78"/>
      <c r="C165" s="79"/>
      <c r="D165" s="79"/>
      <c r="E165" s="80" t="str">
        <f aca="false">_xlfn.IFNA(VLOOKUP(C165,'بيانات الآليات '!A:G,4,FALSE()),"")</f>
        <v/>
      </c>
      <c r="F165" s="81" t="str">
        <f aca="false">_xlfn.IFNA(VLOOKUP(C165,'بيانات الآليات '!A:G,2,FALSE()),"")</f>
        <v/>
      </c>
      <c r="G165" s="81"/>
      <c r="H165" s="81" t="str">
        <f aca="false">_xlfn.IFNA(VLOOKUP(C165,'بيانات الآليات '!A:G,5,FALSE()),"")</f>
        <v/>
      </c>
      <c r="I165" s="82"/>
      <c r="J165" s="83" t="str">
        <f aca="false">_xlfn.IFNA(VLOOKUP(I165,Table14543[],2,FALSE()),"")</f>
        <v/>
      </c>
      <c r="K165" s="84" t="str">
        <f aca="false">_xlfn.IFNA(VLOOKUP(I165,Table14543[],3,FALSE()),"")</f>
        <v/>
      </c>
      <c r="L165" s="83" t="str">
        <f aca="false">CONCATENATE("",I165,""," ",J165," ",K165)</f>
        <v>  </v>
      </c>
      <c r="M165" s="85"/>
      <c r="N165" s="86"/>
      <c r="O165" s="86"/>
      <c r="P165" s="86" t="n">
        <f aca="false">N165*O165</f>
        <v>0</v>
      </c>
      <c r="Q165" s="86"/>
      <c r="R165" s="87" t="n">
        <f aca="false">(O165*N165)+Q165</f>
        <v>0</v>
      </c>
      <c r="S165" s="91"/>
    </row>
    <row r="166" customFormat="false" ht="14.25" hidden="false" customHeight="false" outlineLevel="0" collapsed="false">
      <c r="A166" s="77"/>
      <c r="B166" s="78"/>
      <c r="C166" s="79"/>
      <c r="D166" s="79"/>
      <c r="E166" s="80" t="str">
        <f aca="false">_xlfn.IFNA(VLOOKUP(C166,'بيانات الآليات '!A:G,4,FALSE()),"")</f>
        <v/>
      </c>
      <c r="F166" s="81" t="str">
        <f aca="false">_xlfn.IFNA(VLOOKUP(C166,'بيانات الآليات '!A:G,2,FALSE()),"")</f>
        <v/>
      </c>
      <c r="G166" s="81"/>
      <c r="H166" s="81" t="str">
        <f aca="false">_xlfn.IFNA(VLOOKUP(C166,'بيانات الآليات '!A:G,5,FALSE()),"")</f>
        <v/>
      </c>
      <c r="I166" s="82"/>
      <c r="J166" s="83" t="str">
        <f aca="false">_xlfn.IFNA(VLOOKUP(I166,Table14543[],2,FALSE()),"")</f>
        <v/>
      </c>
      <c r="K166" s="84" t="str">
        <f aca="false">_xlfn.IFNA(VLOOKUP(I166,Table14543[],3,FALSE()),"")</f>
        <v/>
      </c>
      <c r="L166" s="83" t="str">
        <f aca="false">CONCATENATE("",I166,""," ",J166," ",K166)</f>
        <v>  </v>
      </c>
      <c r="M166" s="85"/>
      <c r="N166" s="86"/>
      <c r="O166" s="86"/>
      <c r="P166" s="86" t="n">
        <f aca="false">N166*O166</f>
        <v>0</v>
      </c>
      <c r="Q166" s="86"/>
      <c r="R166" s="87" t="n">
        <f aca="false">(O166*N166)+Q166</f>
        <v>0</v>
      </c>
      <c r="S166" s="91"/>
    </row>
    <row r="167" customFormat="false" ht="14.25" hidden="false" customHeight="false" outlineLevel="0" collapsed="false">
      <c r="A167" s="77"/>
      <c r="B167" s="78"/>
      <c r="C167" s="79"/>
      <c r="D167" s="79"/>
      <c r="E167" s="80" t="str">
        <f aca="false">_xlfn.IFNA(VLOOKUP(C167,'بيانات الآليات '!A:G,4,FALSE()),"")</f>
        <v/>
      </c>
      <c r="F167" s="81" t="str">
        <f aca="false">_xlfn.IFNA(VLOOKUP(C167,'بيانات الآليات '!A:G,2,FALSE()),"")</f>
        <v/>
      </c>
      <c r="G167" s="81"/>
      <c r="H167" s="81" t="str">
        <f aca="false">_xlfn.IFNA(VLOOKUP(C167,'بيانات الآليات '!A:G,5,FALSE()),"")</f>
        <v/>
      </c>
      <c r="I167" s="82"/>
      <c r="J167" s="83" t="str">
        <f aca="false">_xlfn.IFNA(VLOOKUP(I167,Table14543[],2,FALSE()),"")</f>
        <v/>
      </c>
      <c r="K167" s="84" t="str">
        <f aca="false">_xlfn.IFNA(VLOOKUP(I167,Table14543[],3,FALSE()),"")</f>
        <v/>
      </c>
      <c r="L167" s="83" t="str">
        <f aca="false">CONCATENATE("",I167,""," ",J167," ",K167)</f>
        <v>  </v>
      </c>
      <c r="M167" s="85"/>
      <c r="N167" s="86"/>
      <c r="O167" s="86"/>
      <c r="P167" s="86" t="n">
        <f aca="false">N167*O167</f>
        <v>0</v>
      </c>
      <c r="Q167" s="86"/>
      <c r="R167" s="87" t="n">
        <f aca="false">(O167*N167)+Q167</f>
        <v>0</v>
      </c>
      <c r="S167" s="91"/>
    </row>
    <row r="168" customFormat="false" ht="14.25" hidden="false" customHeight="false" outlineLevel="0" collapsed="false">
      <c r="A168" s="77"/>
      <c r="B168" s="78"/>
      <c r="C168" s="79"/>
      <c r="D168" s="79"/>
      <c r="E168" s="80" t="str">
        <f aca="false">_xlfn.IFNA(VLOOKUP(C168,'بيانات الآليات '!A:G,4,FALSE()),"")</f>
        <v/>
      </c>
      <c r="F168" s="81" t="str">
        <f aca="false">_xlfn.IFNA(VLOOKUP(C168,'بيانات الآليات '!A:G,2,FALSE()),"")</f>
        <v/>
      </c>
      <c r="G168" s="81"/>
      <c r="H168" s="81" t="str">
        <f aca="false">_xlfn.IFNA(VLOOKUP(C168,'بيانات الآليات '!A:G,5,FALSE()),"")</f>
        <v/>
      </c>
      <c r="I168" s="82"/>
      <c r="J168" s="83" t="str">
        <f aca="false">_xlfn.IFNA(VLOOKUP(I168,Table14543[],2,FALSE()),"")</f>
        <v/>
      </c>
      <c r="K168" s="84" t="str">
        <f aca="false">_xlfn.IFNA(VLOOKUP(I168,Table14543[],3,FALSE()),"")</f>
        <v/>
      </c>
      <c r="L168" s="83" t="str">
        <f aca="false">CONCATENATE("",I168,""," ",J168," ",K168)</f>
        <v>  </v>
      </c>
      <c r="M168" s="85"/>
      <c r="N168" s="86"/>
      <c r="O168" s="86"/>
      <c r="P168" s="86" t="n">
        <f aca="false">N168*O168</f>
        <v>0</v>
      </c>
      <c r="Q168" s="86"/>
      <c r="R168" s="87" t="n">
        <f aca="false">(O168*N168)+Q168</f>
        <v>0</v>
      </c>
      <c r="S168" s="91"/>
    </row>
    <row r="169" customFormat="false" ht="14.25" hidden="false" customHeight="false" outlineLevel="0" collapsed="false">
      <c r="A169" s="77"/>
      <c r="B169" s="78"/>
      <c r="C169" s="79"/>
      <c r="D169" s="79"/>
      <c r="E169" s="80" t="str">
        <f aca="false">_xlfn.IFNA(VLOOKUP(C169,'بيانات الآليات '!A:G,4,FALSE()),"")</f>
        <v/>
      </c>
      <c r="F169" s="81" t="str">
        <f aca="false">_xlfn.IFNA(VLOOKUP(C169,'بيانات الآليات '!A:G,2,FALSE()),"")</f>
        <v/>
      </c>
      <c r="G169" s="81"/>
      <c r="H169" s="81" t="str">
        <f aca="false">_xlfn.IFNA(VLOOKUP(C169,'بيانات الآليات '!A:G,5,FALSE()),"")</f>
        <v/>
      </c>
      <c r="I169" s="82"/>
      <c r="J169" s="83" t="str">
        <f aca="false">_xlfn.IFNA(VLOOKUP(I169,Table14543[],2,FALSE()),"")</f>
        <v/>
      </c>
      <c r="K169" s="84" t="str">
        <f aca="false">_xlfn.IFNA(VLOOKUP(I169,Table14543[],3,FALSE()),"")</f>
        <v/>
      </c>
      <c r="L169" s="83" t="str">
        <f aca="false">CONCATENATE("",I169,""," ",J169," ",K169)</f>
        <v>  </v>
      </c>
      <c r="M169" s="85"/>
      <c r="N169" s="86"/>
      <c r="O169" s="86"/>
      <c r="P169" s="86" t="n">
        <f aca="false">N169*O169</f>
        <v>0</v>
      </c>
      <c r="Q169" s="86"/>
      <c r="R169" s="87" t="n">
        <f aca="false">(O169*N169)+Q169</f>
        <v>0</v>
      </c>
      <c r="S169" s="91"/>
    </row>
    <row r="170" customFormat="false" ht="14.25" hidden="false" customHeight="false" outlineLevel="0" collapsed="false">
      <c r="A170" s="77"/>
      <c r="B170" s="78"/>
      <c r="C170" s="79"/>
      <c r="D170" s="79"/>
      <c r="E170" s="80" t="str">
        <f aca="false">_xlfn.IFNA(VLOOKUP(C170,'بيانات الآليات '!A:G,4,FALSE()),"")</f>
        <v/>
      </c>
      <c r="F170" s="81" t="str">
        <f aca="false">_xlfn.IFNA(VLOOKUP(C170,'بيانات الآليات '!A:G,2,FALSE()),"")</f>
        <v/>
      </c>
      <c r="G170" s="81"/>
      <c r="H170" s="81" t="str">
        <f aca="false">_xlfn.IFNA(VLOOKUP(C170,'بيانات الآليات '!A:G,5,FALSE()),"")</f>
        <v/>
      </c>
      <c r="I170" s="82"/>
      <c r="J170" s="83" t="str">
        <f aca="false">_xlfn.IFNA(VLOOKUP(I170,Table14543[],2,FALSE()),"")</f>
        <v/>
      </c>
      <c r="K170" s="84" t="str">
        <f aca="false">_xlfn.IFNA(VLOOKUP(I170,Table14543[],3,FALSE()),"")</f>
        <v/>
      </c>
      <c r="L170" s="83" t="str">
        <f aca="false">CONCATENATE("",I170,""," ",J170," ",K170)</f>
        <v>  </v>
      </c>
      <c r="M170" s="85"/>
      <c r="N170" s="86"/>
      <c r="O170" s="86"/>
      <c r="P170" s="86" t="n">
        <f aca="false">N170*O170</f>
        <v>0</v>
      </c>
      <c r="Q170" s="86"/>
      <c r="R170" s="87" t="n">
        <f aca="false">(O170*N170)+Q170</f>
        <v>0</v>
      </c>
      <c r="S170" s="91"/>
    </row>
    <row r="171" customFormat="false" ht="14.25" hidden="false" customHeight="false" outlineLevel="0" collapsed="false">
      <c r="A171" s="77"/>
      <c r="B171" s="78"/>
      <c r="C171" s="79"/>
      <c r="D171" s="79"/>
      <c r="E171" s="80" t="str">
        <f aca="false">_xlfn.IFNA(VLOOKUP(C171,'بيانات الآليات '!A:G,4,FALSE()),"")</f>
        <v/>
      </c>
      <c r="F171" s="81" t="str">
        <f aca="false">_xlfn.IFNA(VLOOKUP(C171,'بيانات الآليات '!A:G,2,FALSE()),"")</f>
        <v/>
      </c>
      <c r="G171" s="81"/>
      <c r="H171" s="81" t="str">
        <f aca="false">_xlfn.IFNA(VLOOKUP(C171,'بيانات الآليات '!A:G,5,FALSE()),"")</f>
        <v/>
      </c>
      <c r="I171" s="82"/>
      <c r="J171" s="83" t="str">
        <f aca="false">_xlfn.IFNA(VLOOKUP(I171,Table14543[],2,FALSE()),"")</f>
        <v/>
      </c>
      <c r="K171" s="84" t="str">
        <f aca="false">_xlfn.IFNA(VLOOKUP(I171,Table14543[],3,FALSE()),"")</f>
        <v/>
      </c>
      <c r="L171" s="83" t="str">
        <f aca="false">CONCATENATE("",I171,""," ",J171," ",K171)</f>
        <v>  </v>
      </c>
      <c r="M171" s="85"/>
      <c r="N171" s="86"/>
      <c r="O171" s="86"/>
      <c r="P171" s="86" t="n">
        <f aca="false">N171*O171</f>
        <v>0</v>
      </c>
      <c r="Q171" s="86"/>
      <c r="R171" s="87" t="n">
        <f aca="false">(O171*N171)+Q171</f>
        <v>0</v>
      </c>
      <c r="S171" s="91"/>
    </row>
    <row r="172" customFormat="false" ht="14.25" hidden="false" customHeight="false" outlineLevel="0" collapsed="false">
      <c r="A172" s="77"/>
      <c r="B172" s="78"/>
      <c r="C172" s="79"/>
      <c r="D172" s="79"/>
      <c r="E172" s="80" t="str">
        <f aca="false">_xlfn.IFNA(VLOOKUP(C172,'بيانات الآليات '!A:G,4,FALSE()),"")</f>
        <v/>
      </c>
      <c r="F172" s="81" t="str">
        <f aca="false">_xlfn.IFNA(VLOOKUP(C172,'بيانات الآليات '!A:G,2,FALSE()),"")</f>
        <v/>
      </c>
      <c r="G172" s="81"/>
      <c r="H172" s="81" t="str">
        <f aca="false">_xlfn.IFNA(VLOOKUP(C172,'بيانات الآليات '!A:G,5,FALSE()),"")</f>
        <v/>
      </c>
      <c r="I172" s="82"/>
      <c r="J172" s="83" t="str">
        <f aca="false">_xlfn.IFNA(VLOOKUP(I172,Table14543[],2,FALSE()),"")</f>
        <v/>
      </c>
      <c r="K172" s="84" t="str">
        <f aca="false">_xlfn.IFNA(VLOOKUP(I172,Table14543[],3,FALSE()),"")</f>
        <v/>
      </c>
      <c r="L172" s="83" t="str">
        <f aca="false">CONCATENATE("",I172,""," ",J172," ",K172)</f>
        <v>  </v>
      </c>
      <c r="M172" s="85"/>
      <c r="N172" s="86"/>
      <c r="O172" s="86"/>
      <c r="P172" s="86" t="n">
        <f aca="false">N172*O172</f>
        <v>0</v>
      </c>
      <c r="Q172" s="86"/>
      <c r="R172" s="87" t="n">
        <f aca="false">(O172*N172)+Q172</f>
        <v>0</v>
      </c>
      <c r="S172" s="91"/>
    </row>
    <row r="173" customFormat="false" ht="14.25" hidden="false" customHeight="false" outlineLevel="0" collapsed="false">
      <c r="A173" s="77"/>
      <c r="B173" s="78"/>
      <c r="C173" s="79"/>
      <c r="D173" s="79"/>
      <c r="E173" s="80" t="str">
        <f aca="false">_xlfn.IFNA(VLOOKUP(C173,'بيانات الآليات '!A:G,4,FALSE()),"")</f>
        <v/>
      </c>
      <c r="F173" s="81" t="str">
        <f aca="false">_xlfn.IFNA(VLOOKUP(C173,'بيانات الآليات '!A:G,2,FALSE()),"")</f>
        <v/>
      </c>
      <c r="G173" s="81"/>
      <c r="H173" s="81" t="str">
        <f aca="false">_xlfn.IFNA(VLOOKUP(C173,'بيانات الآليات '!A:G,5,FALSE()),"")</f>
        <v/>
      </c>
      <c r="I173" s="82"/>
      <c r="J173" s="83" t="str">
        <f aca="false">_xlfn.IFNA(VLOOKUP(I173,Table14543[],2,FALSE()),"")</f>
        <v/>
      </c>
      <c r="K173" s="84" t="str">
        <f aca="false">_xlfn.IFNA(VLOOKUP(I173,Table14543[],3,FALSE()),"")</f>
        <v/>
      </c>
      <c r="L173" s="83" t="str">
        <f aca="false">CONCATENATE("",I173,""," ",J173," ",K173)</f>
        <v>  </v>
      </c>
      <c r="M173" s="85"/>
      <c r="N173" s="86"/>
      <c r="O173" s="86"/>
      <c r="P173" s="86" t="n">
        <f aca="false">N173*O173</f>
        <v>0</v>
      </c>
      <c r="Q173" s="86"/>
      <c r="R173" s="87" t="n">
        <f aca="false">(O173*N173)+Q173</f>
        <v>0</v>
      </c>
      <c r="S173" s="91"/>
    </row>
    <row r="174" customFormat="false" ht="14.25" hidden="false" customHeight="false" outlineLevel="0" collapsed="false">
      <c r="A174" s="77"/>
      <c r="B174" s="78"/>
      <c r="C174" s="79"/>
      <c r="D174" s="79"/>
      <c r="E174" s="80" t="str">
        <f aca="false">_xlfn.IFNA(VLOOKUP(C174,'بيانات الآليات '!A:G,4,FALSE()),"")</f>
        <v/>
      </c>
      <c r="F174" s="81" t="str">
        <f aca="false">_xlfn.IFNA(VLOOKUP(C174,'بيانات الآليات '!A:G,2,FALSE()),"")</f>
        <v/>
      </c>
      <c r="G174" s="81"/>
      <c r="H174" s="81" t="str">
        <f aca="false">_xlfn.IFNA(VLOOKUP(C174,'بيانات الآليات '!A:G,5,FALSE()),"")</f>
        <v/>
      </c>
      <c r="I174" s="82"/>
      <c r="J174" s="83" t="str">
        <f aca="false">_xlfn.IFNA(VLOOKUP(I174,Table14543[],2,FALSE()),"")</f>
        <v/>
      </c>
      <c r="K174" s="84" t="str">
        <f aca="false">_xlfn.IFNA(VLOOKUP(I174,Table14543[],3,FALSE()),"")</f>
        <v/>
      </c>
      <c r="L174" s="83" t="str">
        <f aca="false">CONCATENATE("",I174,""," ",J174," ",K174)</f>
        <v>  </v>
      </c>
      <c r="M174" s="85"/>
      <c r="N174" s="86"/>
      <c r="O174" s="86"/>
      <c r="P174" s="86" t="n">
        <f aca="false">N174*O174</f>
        <v>0</v>
      </c>
      <c r="Q174" s="86"/>
      <c r="R174" s="87" t="n">
        <f aca="false">(O174*N174)+Q174</f>
        <v>0</v>
      </c>
      <c r="S174" s="91"/>
    </row>
    <row r="175" customFormat="false" ht="14.25" hidden="false" customHeight="false" outlineLevel="0" collapsed="false">
      <c r="A175" s="77"/>
      <c r="B175" s="78"/>
      <c r="C175" s="79"/>
      <c r="D175" s="79"/>
      <c r="E175" s="80" t="str">
        <f aca="false">_xlfn.IFNA(VLOOKUP(C175,'بيانات الآليات '!A:G,4,FALSE()),"")</f>
        <v/>
      </c>
      <c r="F175" s="81" t="str">
        <f aca="false">_xlfn.IFNA(VLOOKUP(C175,'بيانات الآليات '!A:G,2,FALSE()),"")</f>
        <v/>
      </c>
      <c r="G175" s="81"/>
      <c r="H175" s="81" t="str">
        <f aca="false">_xlfn.IFNA(VLOOKUP(C175,'بيانات الآليات '!A:G,5,FALSE()),"")</f>
        <v/>
      </c>
      <c r="I175" s="82"/>
      <c r="J175" s="83" t="str">
        <f aca="false">_xlfn.IFNA(VLOOKUP(I175,Table14543[],2,FALSE()),"")</f>
        <v/>
      </c>
      <c r="K175" s="84" t="str">
        <f aca="false">_xlfn.IFNA(VLOOKUP(I175,Table14543[],3,FALSE()),"")</f>
        <v/>
      </c>
      <c r="L175" s="83" t="str">
        <f aca="false">CONCATENATE("",I175,""," ",J175," ",K175)</f>
        <v>  </v>
      </c>
      <c r="M175" s="85"/>
      <c r="N175" s="86"/>
      <c r="O175" s="86"/>
      <c r="P175" s="86" t="n">
        <f aca="false">N175*O175</f>
        <v>0</v>
      </c>
      <c r="Q175" s="86"/>
      <c r="R175" s="87" t="n">
        <f aca="false">(O175*N175)+Q175</f>
        <v>0</v>
      </c>
      <c r="S175" s="91"/>
    </row>
    <row r="176" customFormat="false" ht="14.25" hidden="false" customHeight="false" outlineLevel="0" collapsed="false">
      <c r="A176" s="77"/>
      <c r="B176" s="78"/>
      <c r="C176" s="79"/>
      <c r="D176" s="79"/>
      <c r="E176" s="80" t="str">
        <f aca="false">_xlfn.IFNA(VLOOKUP(C176,'بيانات الآليات '!A:G,4,FALSE()),"")</f>
        <v/>
      </c>
      <c r="F176" s="81" t="str">
        <f aca="false">_xlfn.IFNA(VLOOKUP(C176,'بيانات الآليات '!A:G,2,FALSE()),"")</f>
        <v/>
      </c>
      <c r="G176" s="81"/>
      <c r="H176" s="81" t="str">
        <f aca="false">_xlfn.IFNA(VLOOKUP(C176,'بيانات الآليات '!A:G,5,FALSE()),"")</f>
        <v/>
      </c>
      <c r="I176" s="82"/>
      <c r="J176" s="83" t="str">
        <f aca="false">_xlfn.IFNA(VLOOKUP(I176,Table14543[],2,FALSE()),"")</f>
        <v/>
      </c>
      <c r="K176" s="84" t="str">
        <f aca="false">_xlfn.IFNA(VLOOKUP(I176,Table14543[],3,FALSE()),"")</f>
        <v/>
      </c>
      <c r="L176" s="83" t="str">
        <f aca="false">CONCATENATE("",I176,""," ",J176," ",K176)</f>
        <v>  </v>
      </c>
      <c r="M176" s="85"/>
      <c r="N176" s="86"/>
      <c r="O176" s="86"/>
      <c r="P176" s="86" t="n">
        <f aca="false">N176*O176</f>
        <v>0</v>
      </c>
      <c r="Q176" s="86"/>
      <c r="R176" s="87" t="n">
        <f aca="false">(O176*N176)+Q176</f>
        <v>0</v>
      </c>
      <c r="S176" s="91"/>
    </row>
    <row r="177" customFormat="false" ht="14.25" hidden="false" customHeight="false" outlineLevel="0" collapsed="false">
      <c r="A177" s="77"/>
      <c r="B177" s="78"/>
      <c r="C177" s="79"/>
      <c r="D177" s="79"/>
      <c r="E177" s="80" t="str">
        <f aca="false">_xlfn.IFNA(VLOOKUP(C177,'بيانات الآليات '!A:G,4,FALSE()),"")</f>
        <v/>
      </c>
      <c r="F177" s="81" t="str">
        <f aca="false">_xlfn.IFNA(VLOOKUP(C177,'بيانات الآليات '!A:G,2,FALSE()),"")</f>
        <v/>
      </c>
      <c r="G177" s="81"/>
      <c r="H177" s="81" t="str">
        <f aca="false">_xlfn.IFNA(VLOOKUP(C177,'بيانات الآليات '!A:G,5,FALSE()),"")</f>
        <v/>
      </c>
      <c r="I177" s="82"/>
      <c r="J177" s="83" t="str">
        <f aca="false">_xlfn.IFNA(VLOOKUP(I177,Table14543[],2,FALSE()),"")</f>
        <v/>
      </c>
      <c r="K177" s="84" t="str">
        <f aca="false">_xlfn.IFNA(VLOOKUP(I177,Table14543[],3,FALSE()),"")</f>
        <v/>
      </c>
      <c r="L177" s="83" t="str">
        <f aca="false">CONCATENATE("",I177,""," ",J177," ",K177)</f>
        <v>  </v>
      </c>
      <c r="M177" s="85"/>
      <c r="N177" s="86"/>
      <c r="O177" s="86"/>
      <c r="P177" s="86" t="n">
        <f aca="false">N177*O177</f>
        <v>0</v>
      </c>
      <c r="Q177" s="86"/>
      <c r="R177" s="87" t="n">
        <f aca="false">(O177*N177)+Q177</f>
        <v>0</v>
      </c>
      <c r="S177" s="91"/>
    </row>
    <row r="178" customFormat="false" ht="14.25" hidden="false" customHeight="false" outlineLevel="0" collapsed="false">
      <c r="A178" s="77"/>
      <c r="B178" s="78"/>
      <c r="C178" s="79"/>
      <c r="D178" s="79"/>
      <c r="E178" s="80" t="str">
        <f aca="false">_xlfn.IFNA(VLOOKUP(C178,'بيانات الآليات '!A:G,4,FALSE()),"")</f>
        <v/>
      </c>
      <c r="F178" s="81" t="str">
        <f aca="false">_xlfn.IFNA(VLOOKUP(C178,'بيانات الآليات '!A:G,2,FALSE()),"")</f>
        <v/>
      </c>
      <c r="G178" s="81"/>
      <c r="H178" s="81" t="str">
        <f aca="false">_xlfn.IFNA(VLOOKUP(C178,'بيانات الآليات '!A:G,5,FALSE()),"")</f>
        <v/>
      </c>
      <c r="I178" s="82"/>
      <c r="J178" s="83" t="str">
        <f aca="false">_xlfn.IFNA(VLOOKUP(I178,Table14543[],2,FALSE()),"")</f>
        <v/>
      </c>
      <c r="K178" s="84" t="str">
        <f aca="false">_xlfn.IFNA(VLOOKUP(I178,Table14543[],3,FALSE()),"")</f>
        <v/>
      </c>
      <c r="L178" s="83" t="str">
        <f aca="false">CONCATENATE("",I178,""," ",J178," ",K178)</f>
        <v>  </v>
      </c>
      <c r="M178" s="85"/>
      <c r="N178" s="86"/>
      <c r="O178" s="86"/>
      <c r="P178" s="86" t="n">
        <f aca="false">N178*O178</f>
        <v>0</v>
      </c>
      <c r="Q178" s="86"/>
      <c r="R178" s="87" t="n">
        <f aca="false">(O178*N178)+Q178</f>
        <v>0</v>
      </c>
      <c r="S178" s="91"/>
    </row>
    <row r="179" customFormat="false" ht="14.25" hidden="false" customHeight="false" outlineLevel="0" collapsed="false">
      <c r="A179" s="77"/>
      <c r="B179" s="78"/>
      <c r="C179" s="79"/>
      <c r="D179" s="79"/>
      <c r="E179" s="80" t="str">
        <f aca="false">_xlfn.IFNA(VLOOKUP(C179,'بيانات الآليات '!A:G,4,FALSE()),"")</f>
        <v/>
      </c>
      <c r="F179" s="81" t="str">
        <f aca="false">_xlfn.IFNA(VLOOKUP(C179,'بيانات الآليات '!A:G,2,FALSE()),"")</f>
        <v/>
      </c>
      <c r="G179" s="81"/>
      <c r="H179" s="81" t="str">
        <f aca="false">_xlfn.IFNA(VLOOKUP(C179,'بيانات الآليات '!A:G,5,FALSE()),"")</f>
        <v/>
      </c>
      <c r="I179" s="82"/>
      <c r="J179" s="83" t="str">
        <f aca="false">_xlfn.IFNA(VLOOKUP(I179,Table14543[],2,FALSE()),"")</f>
        <v/>
      </c>
      <c r="K179" s="84" t="str">
        <f aca="false">_xlfn.IFNA(VLOOKUP(I179,Table14543[],3,FALSE()),"")</f>
        <v/>
      </c>
      <c r="L179" s="83" t="str">
        <f aca="false">CONCATENATE("",I179,""," ",J179," ",K179)</f>
        <v>  </v>
      </c>
      <c r="M179" s="85"/>
      <c r="N179" s="86"/>
      <c r="O179" s="86"/>
      <c r="P179" s="86" t="n">
        <f aca="false">N179*O179</f>
        <v>0</v>
      </c>
      <c r="Q179" s="86"/>
      <c r="R179" s="87" t="n">
        <f aca="false">(O179*N179)+Q179</f>
        <v>0</v>
      </c>
      <c r="S179" s="91"/>
    </row>
    <row r="180" customFormat="false" ht="14.25" hidden="false" customHeight="false" outlineLevel="0" collapsed="false">
      <c r="A180" s="77"/>
      <c r="B180" s="78"/>
      <c r="C180" s="79"/>
      <c r="D180" s="79"/>
      <c r="E180" s="80" t="str">
        <f aca="false">_xlfn.IFNA(VLOOKUP(C180,'بيانات الآليات '!A:G,4,FALSE()),"")</f>
        <v/>
      </c>
      <c r="F180" s="81" t="str">
        <f aca="false">_xlfn.IFNA(VLOOKUP(C180,'بيانات الآليات '!A:G,2,FALSE()),"")</f>
        <v/>
      </c>
      <c r="G180" s="81"/>
      <c r="H180" s="81" t="str">
        <f aca="false">_xlfn.IFNA(VLOOKUP(C180,'بيانات الآليات '!A:G,5,FALSE()),"")</f>
        <v/>
      </c>
      <c r="I180" s="82"/>
      <c r="J180" s="83" t="str">
        <f aca="false">_xlfn.IFNA(VLOOKUP(I180,Table14543[],2,FALSE()),"")</f>
        <v/>
      </c>
      <c r="K180" s="84" t="str">
        <f aca="false">_xlfn.IFNA(VLOOKUP(I180,Table14543[],3,FALSE()),"")</f>
        <v/>
      </c>
      <c r="L180" s="83" t="str">
        <f aca="false">CONCATENATE("",I180,""," ",J180," ",K180)</f>
        <v>  </v>
      </c>
      <c r="M180" s="85"/>
      <c r="N180" s="86"/>
      <c r="O180" s="86"/>
      <c r="P180" s="86" t="n">
        <f aca="false">N180*O180</f>
        <v>0</v>
      </c>
      <c r="Q180" s="86"/>
      <c r="R180" s="87" t="n">
        <f aca="false">(O180*N180)+Q180</f>
        <v>0</v>
      </c>
      <c r="S180" s="91"/>
    </row>
    <row r="181" customFormat="false" ht="14.25" hidden="false" customHeight="false" outlineLevel="0" collapsed="false">
      <c r="A181" s="77"/>
      <c r="B181" s="78"/>
      <c r="C181" s="79"/>
      <c r="D181" s="79"/>
      <c r="E181" s="80" t="str">
        <f aca="false">_xlfn.IFNA(VLOOKUP(C181,'بيانات الآليات '!A:G,4,FALSE()),"")</f>
        <v/>
      </c>
      <c r="F181" s="81" t="str">
        <f aca="false">_xlfn.IFNA(VLOOKUP(C181,'بيانات الآليات '!A:G,2,FALSE()),"")</f>
        <v/>
      </c>
      <c r="G181" s="81"/>
      <c r="H181" s="81" t="str">
        <f aca="false">_xlfn.IFNA(VLOOKUP(C181,'بيانات الآليات '!A:G,5,FALSE()),"")</f>
        <v/>
      </c>
      <c r="I181" s="82"/>
      <c r="J181" s="83" t="str">
        <f aca="false">_xlfn.IFNA(VLOOKUP(I181,Table14543[],2,FALSE()),"")</f>
        <v/>
      </c>
      <c r="K181" s="84" t="str">
        <f aca="false">_xlfn.IFNA(VLOOKUP(I181,Table14543[],3,FALSE()),"")</f>
        <v/>
      </c>
      <c r="L181" s="83" t="str">
        <f aca="false">CONCATENATE("",I181,""," ",J181," ",K181)</f>
        <v>  </v>
      </c>
      <c r="M181" s="85"/>
      <c r="N181" s="86"/>
      <c r="O181" s="86"/>
      <c r="P181" s="86" t="n">
        <f aca="false">N181*O181</f>
        <v>0</v>
      </c>
      <c r="Q181" s="86"/>
      <c r="R181" s="87" t="n">
        <f aca="false">(O181*N181)+Q181</f>
        <v>0</v>
      </c>
      <c r="S181" s="91"/>
    </row>
    <row r="182" customFormat="false" ht="14.25" hidden="false" customHeight="false" outlineLevel="0" collapsed="false">
      <c r="A182" s="77"/>
      <c r="B182" s="78"/>
      <c r="C182" s="79"/>
      <c r="D182" s="79"/>
      <c r="E182" s="80" t="str">
        <f aca="false">_xlfn.IFNA(VLOOKUP(C182,'بيانات الآليات '!A:G,4,FALSE()),"")</f>
        <v/>
      </c>
      <c r="F182" s="81" t="str">
        <f aca="false">_xlfn.IFNA(VLOOKUP(C182,'بيانات الآليات '!A:G,2,FALSE()),"")</f>
        <v/>
      </c>
      <c r="G182" s="81"/>
      <c r="H182" s="81" t="str">
        <f aca="false">_xlfn.IFNA(VLOOKUP(C182,'بيانات الآليات '!A:G,5,FALSE()),"")</f>
        <v/>
      </c>
      <c r="I182" s="82"/>
      <c r="J182" s="83" t="str">
        <f aca="false">_xlfn.IFNA(VLOOKUP(I182,Table14543[],2,FALSE()),"")</f>
        <v/>
      </c>
      <c r="K182" s="84" t="str">
        <f aca="false">_xlfn.IFNA(VLOOKUP(I182,Table14543[],3,FALSE()),"")</f>
        <v/>
      </c>
      <c r="L182" s="83" t="str">
        <f aca="false">CONCATENATE("",I182,""," ",J182," ",K182)</f>
        <v>  </v>
      </c>
      <c r="M182" s="85"/>
      <c r="N182" s="86"/>
      <c r="O182" s="86"/>
      <c r="P182" s="86" t="n">
        <f aca="false">N182*O182</f>
        <v>0</v>
      </c>
      <c r="Q182" s="86"/>
      <c r="R182" s="87" t="n">
        <f aca="false">(O182*N182)+Q182</f>
        <v>0</v>
      </c>
      <c r="S182" s="91"/>
    </row>
    <row r="183" customFormat="false" ht="14.25" hidden="false" customHeight="false" outlineLevel="0" collapsed="false">
      <c r="A183" s="77"/>
      <c r="B183" s="78"/>
      <c r="C183" s="79"/>
      <c r="D183" s="79"/>
      <c r="E183" s="80" t="str">
        <f aca="false">_xlfn.IFNA(VLOOKUP(C183,'بيانات الآليات '!A:G,4,FALSE()),"")</f>
        <v/>
      </c>
      <c r="F183" s="81" t="str">
        <f aca="false">_xlfn.IFNA(VLOOKUP(C183,'بيانات الآليات '!A:G,2,FALSE()),"")</f>
        <v/>
      </c>
      <c r="G183" s="81"/>
      <c r="H183" s="81" t="str">
        <f aca="false">_xlfn.IFNA(VLOOKUP(C183,'بيانات الآليات '!A:G,5,FALSE()),"")</f>
        <v/>
      </c>
      <c r="I183" s="82"/>
      <c r="J183" s="83" t="str">
        <f aca="false">_xlfn.IFNA(VLOOKUP(I183,Table14543[],2,FALSE()),"")</f>
        <v/>
      </c>
      <c r="K183" s="84" t="str">
        <f aca="false">_xlfn.IFNA(VLOOKUP(I183,Table14543[],3,FALSE()),"")</f>
        <v/>
      </c>
      <c r="L183" s="83" t="str">
        <f aca="false">CONCATENATE("",I183,""," ",J183," ",K183)</f>
        <v>  </v>
      </c>
      <c r="M183" s="85"/>
      <c r="N183" s="86"/>
      <c r="O183" s="86"/>
      <c r="P183" s="86" t="n">
        <f aca="false">N183*O183</f>
        <v>0</v>
      </c>
      <c r="Q183" s="86"/>
      <c r="R183" s="87" t="n">
        <f aca="false">(O183*N183)+Q183</f>
        <v>0</v>
      </c>
      <c r="S183" s="91"/>
    </row>
    <row r="184" customFormat="false" ht="14.25" hidden="false" customHeight="false" outlineLevel="0" collapsed="false">
      <c r="A184" s="77"/>
      <c r="B184" s="78"/>
      <c r="C184" s="79"/>
      <c r="D184" s="79"/>
      <c r="E184" s="80" t="str">
        <f aca="false">_xlfn.IFNA(VLOOKUP(C184,'بيانات الآليات '!A:G,4,FALSE()),"")</f>
        <v/>
      </c>
      <c r="F184" s="81" t="str">
        <f aca="false">_xlfn.IFNA(VLOOKUP(C184,'بيانات الآليات '!A:G,2,FALSE()),"")</f>
        <v/>
      </c>
      <c r="G184" s="81"/>
      <c r="H184" s="81" t="str">
        <f aca="false">_xlfn.IFNA(VLOOKUP(C184,'بيانات الآليات '!A:G,5,FALSE()),"")</f>
        <v/>
      </c>
      <c r="I184" s="82"/>
      <c r="J184" s="83" t="str">
        <f aca="false">_xlfn.IFNA(VLOOKUP(I184,Table14543[],2,FALSE()),"")</f>
        <v/>
      </c>
      <c r="K184" s="84" t="str">
        <f aca="false">_xlfn.IFNA(VLOOKUP(I184,Table14543[],3,FALSE()),"")</f>
        <v/>
      </c>
      <c r="L184" s="83" t="str">
        <f aca="false">CONCATENATE("",I184,""," ",J184," ",K184)</f>
        <v>  </v>
      </c>
      <c r="M184" s="85"/>
      <c r="N184" s="86"/>
      <c r="O184" s="86"/>
      <c r="P184" s="86" t="n">
        <f aca="false">N184*O184</f>
        <v>0</v>
      </c>
      <c r="Q184" s="86"/>
      <c r="R184" s="87" t="n">
        <f aca="false">(O184*N184)+Q184</f>
        <v>0</v>
      </c>
      <c r="S184" s="91"/>
    </row>
    <row r="185" customFormat="false" ht="14.25" hidden="false" customHeight="false" outlineLevel="0" collapsed="false">
      <c r="A185" s="77"/>
      <c r="B185" s="78"/>
      <c r="C185" s="79"/>
      <c r="D185" s="79"/>
      <c r="E185" s="80" t="str">
        <f aca="false">_xlfn.IFNA(VLOOKUP(C185,'بيانات الآليات '!A:G,4,FALSE()),"")</f>
        <v/>
      </c>
      <c r="F185" s="81" t="str">
        <f aca="false">_xlfn.IFNA(VLOOKUP(C185,'بيانات الآليات '!A:G,2,FALSE()),"")</f>
        <v/>
      </c>
      <c r="G185" s="81"/>
      <c r="H185" s="81" t="str">
        <f aca="false">_xlfn.IFNA(VLOOKUP(C185,'بيانات الآليات '!A:G,5,FALSE()),"")</f>
        <v/>
      </c>
      <c r="I185" s="82"/>
      <c r="J185" s="83" t="str">
        <f aca="false">_xlfn.IFNA(VLOOKUP(I185,Table14543[],2,FALSE()),"")</f>
        <v/>
      </c>
      <c r="K185" s="84" t="str">
        <f aca="false">_xlfn.IFNA(VLOOKUP(I185,Table14543[],3,FALSE()),"")</f>
        <v/>
      </c>
      <c r="L185" s="83" t="str">
        <f aca="false">CONCATENATE("",I185,""," ",J185," ",K185)</f>
        <v>  </v>
      </c>
      <c r="M185" s="85"/>
      <c r="N185" s="86"/>
      <c r="O185" s="86"/>
      <c r="P185" s="86" t="n">
        <f aca="false">N185*O185</f>
        <v>0</v>
      </c>
      <c r="Q185" s="86"/>
      <c r="R185" s="87" t="n">
        <f aca="false">(O185*N185)+Q185</f>
        <v>0</v>
      </c>
      <c r="S185" s="91"/>
    </row>
    <row r="186" customFormat="false" ht="14.25" hidden="false" customHeight="false" outlineLevel="0" collapsed="false">
      <c r="A186" s="77"/>
      <c r="B186" s="78"/>
      <c r="C186" s="79"/>
      <c r="D186" s="79"/>
      <c r="E186" s="80" t="str">
        <f aca="false">_xlfn.IFNA(VLOOKUP(C186,'بيانات الآليات '!A:G,4,FALSE()),"")</f>
        <v/>
      </c>
      <c r="F186" s="81" t="str">
        <f aca="false">_xlfn.IFNA(VLOOKUP(C186,'بيانات الآليات '!A:G,2,FALSE()),"")</f>
        <v/>
      </c>
      <c r="G186" s="81"/>
      <c r="H186" s="81" t="str">
        <f aca="false">_xlfn.IFNA(VLOOKUP(C186,'بيانات الآليات '!A:G,5,FALSE()),"")</f>
        <v/>
      </c>
      <c r="I186" s="82"/>
      <c r="J186" s="83" t="str">
        <f aca="false">_xlfn.IFNA(VLOOKUP(I186,Table14543[],2,FALSE()),"")</f>
        <v/>
      </c>
      <c r="K186" s="84" t="str">
        <f aca="false">_xlfn.IFNA(VLOOKUP(I186,Table14543[],3,FALSE()),"")</f>
        <v/>
      </c>
      <c r="L186" s="83" t="str">
        <f aca="false">CONCATENATE("",I186,""," ",J186," ",K186)</f>
        <v>  </v>
      </c>
      <c r="M186" s="85"/>
      <c r="N186" s="86"/>
      <c r="O186" s="86"/>
      <c r="P186" s="86" t="n">
        <f aca="false">N186*O186</f>
        <v>0</v>
      </c>
      <c r="Q186" s="86"/>
      <c r="R186" s="87" t="n">
        <f aca="false">(O186*N186)+Q186</f>
        <v>0</v>
      </c>
      <c r="S186" s="91"/>
    </row>
    <row r="187" customFormat="false" ht="14.25" hidden="false" customHeight="false" outlineLevel="0" collapsed="false">
      <c r="A187" s="77"/>
      <c r="B187" s="78"/>
      <c r="C187" s="79"/>
      <c r="D187" s="79"/>
      <c r="E187" s="80" t="str">
        <f aca="false">_xlfn.IFNA(VLOOKUP(C187,'بيانات الآليات '!A:G,4,FALSE()),"")</f>
        <v/>
      </c>
      <c r="F187" s="81" t="str">
        <f aca="false">_xlfn.IFNA(VLOOKUP(C187,'بيانات الآليات '!A:G,2,FALSE()),"")</f>
        <v/>
      </c>
      <c r="G187" s="81"/>
      <c r="H187" s="81" t="str">
        <f aca="false">_xlfn.IFNA(VLOOKUP(C187,'بيانات الآليات '!A:G,5,FALSE()),"")</f>
        <v/>
      </c>
      <c r="I187" s="82"/>
      <c r="J187" s="83" t="str">
        <f aca="false">_xlfn.IFNA(VLOOKUP(I187,Table14543[],2,FALSE()),"")</f>
        <v/>
      </c>
      <c r="K187" s="84" t="str">
        <f aca="false">_xlfn.IFNA(VLOOKUP(I187,Table14543[],3,FALSE()),"")</f>
        <v/>
      </c>
      <c r="L187" s="83" t="str">
        <f aca="false">CONCATENATE("",I187,""," ",J187," ",K187)</f>
        <v>  </v>
      </c>
      <c r="M187" s="85"/>
      <c r="N187" s="86"/>
      <c r="O187" s="86"/>
      <c r="P187" s="86" t="n">
        <f aca="false">N187*O187</f>
        <v>0</v>
      </c>
      <c r="Q187" s="86"/>
      <c r="R187" s="87" t="n">
        <f aca="false">(O187*N187)+Q187</f>
        <v>0</v>
      </c>
      <c r="S187" s="91"/>
    </row>
    <row r="188" customFormat="false" ht="14.25" hidden="false" customHeight="false" outlineLevel="0" collapsed="false">
      <c r="A188" s="77"/>
      <c r="B188" s="78"/>
      <c r="C188" s="79"/>
      <c r="D188" s="79"/>
      <c r="E188" s="80" t="str">
        <f aca="false">_xlfn.IFNA(VLOOKUP(C188,'بيانات الآليات '!A:G,4,FALSE()),"")</f>
        <v/>
      </c>
      <c r="F188" s="81" t="str">
        <f aca="false">_xlfn.IFNA(VLOOKUP(C188,'بيانات الآليات '!A:G,2,FALSE()),"")</f>
        <v/>
      </c>
      <c r="G188" s="81"/>
      <c r="H188" s="81" t="str">
        <f aca="false">_xlfn.IFNA(VLOOKUP(C188,'بيانات الآليات '!A:G,5,FALSE()),"")</f>
        <v/>
      </c>
      <c r="I188" s="82"/>
      <c r="J188" s="83" t="str">
        <f aca="false">_xlfn.IFNA(VLOOKUP(I188,Table14543[],2,FALSE()),"")</f>
        <v/>
      </c>
      <c r="K188" s="84" t="str">
        <f aca="false">_xlfn.IFNA(VLOOKUP(I188,Table14543[],3,FALSE()),"")</f>
        <v/>
      </c>
      <c r="L188" s="83" t="str">
        <f aca="false">CONCATENATE("",I188,""," ",J188," ",K188)</f>
        <v>  </v>
      </c>
      <c r="M188" s="85"/>
      <c r="N188" s="86"/>
      <c r="O188" s="86"/>
      <c r="P188" s="86" t="n">
        <f aca="false">N188*O188</f>
        <v>0</v>
      </c>
      <c r="Q188" s="86"/>
      <c r="R188" s="87" t="n">
        <f aca="false">(O188*N188)+Q188</f>
        <v>0</v>
      </c>
      <c r="S188" s="91"/>
    </row>
    <row r="189" customFormat="false" ht="14.25" hidden="false" customHeight="false" outlineLevel="0" collapsed="false">
      <c r="A189" s="77"/>
      <c r="B189" s="78"/>
      <c r="C189" s="79"/>
      <c r="D189" s="79"/>
      <c r="E189" s="80" t="str">
        <f aca="false">_xlfn.IFNA(VLOOKUP(C189,'بيانات الآليات '!A:G,4,FALSE()),"")</f>
        <v/>
      </c>
      <c r="F189" s="81" t="str">
        <f aca="false">_xlfn.IFNA(VLOOKUP(C189,'بيانات الآليات '!A:G,2,FALSE()),"")</f>
        <v/>
      </c>
      <c r="G189" s="81"/>
      <c r="H189" s="81" t="str">
        <f aca="false">_xlfn.IFNA(VLOOKUP(C189,'بيانات الآليات '!A:G,5,FALSE()),"")</f>
        <v/>
      </c>
      <c r="I189" s="82"/>
      <c r="J189" s="83" t="str">
        <f aca="false">_xlfn.IFNA(VLOOKUP(I189,Table14543[],2,FALSE()),"")</f>
        <v/>
      </c>
      <c r="K189" s="84" t="str">
        <f aca="false">_xlfn.IFNA(VLOOKUP(I189,Table14543[],3,FALSE()),"")</f>
        <v/>
      </c>
      <c r="L189" s="83" t="str">
        <f aca="false">CONCATENATE("",I189,""," ",J189," ",K189)</f>
        <v>  </v>
      </c>
      <c r="M189" s="85"/>
      <c r="N189" s="86"/>
      <c r="O189" s="86"/>
      <c r="P189" s="86" t="n">
        <f aca="false">N189*O189</f>
        <v>0</v>
      </c>
      <c r="Q189" s="86"/>
      <c r="R189" s="87" t="n">
        <f aca="false">(O189*N189)+Q189</f>
        <v>0</v>
      </c>
      <c r="S189" s="91"/>
    </row>
    <row r="190" customFormat="false" ht="14.25" hidden="false" customHeight="false" outlineLevel="0" collapsed="false">
      <c r="A190" s="77"/>
      <c r="B190" s="78"/>
      <c r="C190" s="79"/>
      <c r="D190" s="79"/>
      <c r="E190" s="80" t="str">
        <f aca="false">_xlfn.IFNA(VLOOKUP(C190,'بيانات الآليات '!A:G,4,FALSE()),"")</f>
        <v/>
      </c>
      <c r="F190" s="81" t="str">
        <f aca="false">_xlfn.IFNA(VLOOKUP(C190,'بيانات الآليات '!A:G,2,FALSE()),"")</f>
        <v/>
      </c>
      <c r="G190" s="81"/>
      <c r="H190" s="81" t="str">
        <f aca="false">_xlfn.IFNA(VLOOKUP(C190,'بيانات الآليات '!A:G,5,FALSE()),"")</f>
        <v/>
      </c>
      <c r="I190" s="82"/>
      <c r="J190" s="83" t="str">
        <f aca="false">_xlfn.IFNA(VLOOKUP(I190,Table14543[],2,FALSE()),"")</f>
        <v/>
      </c>
      <c r="K190" s="84" t="str">
        <f aca="false">_xlfn.IFNA(VLOOKUP(I190,Table14543[],3,FALSE()),"")</f>
        <v/>
      </c>
      <c r="L190" s="83" t="str">
        <f aca="false">CONCATENATE("",I190,""," ",J190," ",K190)</f>
        <v>  </v>
      </c>
      <c r="M190" s="85"/>
      <c r="N190" s="86"/>
      <c r="O190" s="86"/>
      <c r="P190" s="86" t="n">
        <f aca="false">N190*O190</f>
        <v>0</v>
      </c>
      <c r="Q190" s="86"/>
      <c r="R190" s="87" t="n">
        <f aca="false">(O190*N190)+Q190</f>
        <v>0</v>
      </c>
      <c r="S190" s="91"/>
    </row>
    <row r="191" customFormat="false" ht="14.25" hidden="false" customHeight="false" outlineLevel="0" collapsed="false">
      <c r="A191" s="77"/>
      <c r="B191" s="78"/>
      <c r="C191" s="79"/>
      <c r="D191" s="79"/>
      <c r="E191" s="80" t="str">
        <f aca="false">_xlfn.IFNA(VLOOKUP(C191,'بيانات الآليات '!A:G,4,FALSE()),"")</f>
        <v/>
      </c>
      <c r="F191" s="81" t="str">
        <f aca="false">_xlfn.IFNA(VLOOKUP(C191,'بيانات الآليات '!A:G,2,FALSE()),"")</f>
        <v/>
      </c>
      <c r="G191" s="81"/>
      <c r="H191" s="81" t="str">
        <f aca="false">_xlfn.IFNA(VLOOKUP(C191,'بيانات الآليات '!A:G,5,FALSE()),"")</f>
        <v/>
      </c>
      <c r="I191" s="82"/>
      <c r="J191" s="83" t="str">
        <f aca="false">_xlfn.IFNA(VLOOKUP(I191,Table14543[],2,FALSE()),"")</f>
        <v/>
      </c>
      <c r="K191" s="84" t="str">
        <f aca="false">_xlfn.IFNA(VLOOKUP(I191,Table14543[],3,FALSE()),"")</f>
        <v/>
      </c>
      <c r="L191" s="83" t="str">
        <f aca="false">CONCATENATE("",I191,""," ",J191," ",K191)</f>
        <v>  </v>
      </c>
      <c r="M191" s="85"/>
      <c r="N191" s="86"/>
      <c r="O191" s="86"/>
      <c r="P191" s="86" t="n">
        <f aca="false">N191*O191</f>
        <v>0</v>
      </c>
      <c r="Q191" s="86"/>
      <c r="R191" s="87" t="n">
        <f aca="false">(O191*N191)+Q191</f>
        <v>0</v>
      </c>
      <c r="S191" s="91"/>
    </row>
    <row r="192" customFormat="false" ht="14.25" hidden="false" customHeight="false" outlineLevel="0" collapsed="false">
      <c r="A192" s="77"/>
      <c r="B192" s="78"/>
      <c r="C192" s="79"/>
      <c r="D192" s="79"/>
      <c r="E192" s="80" t="str">
        <f aca="false">_xlfn.IFNA(VLOOKUP(C192,'بيانات الآليات '!A:G,4,FALSE()),"")</f>
        <v/>
      </c>
      <c r="F192" s="81" t="str">
        <f aca="false">_xlfn.IFNA(VLOOKUP(C192,'بيانات الآليات '!A:G,2,FALSE()),"")</f>
        <v/>
      </c>
      <c r="G192" s="81"/>
      <c r="H192" s="81" t="str">
        <f aca="false">_xlfn.IFNA(VLOOKUP(C192,'بيانات الآليات '!A:G,5,FALSE()),"")</f>
        <v/>
      </c>
      <c r="I192" s="82"/>
      <c r="J192" s="83" t="str">
        <f aca="false">_xlfn.IFNA(VLOOKUP(I192,Table14543[],2,FALSE()),"")</f>
        <v/>
      </c>
      <c r="K192" s="84" t="str">
        <f aca="false">_xlfn.IFNA(VLOOKUP(I192,Table14543[],3,FALSE()),"")</f>
        <v/>
      </c>
      <c r="L192" s="83" t="str">
        <f aca="false">CONCATENATE("",I192,""," ",J192," ",K192)</f>
        <v>  </v>
      </c>
      <c r="M192" s="85"/>
      <c r="N192" s="86"/>
      <c r="O192" s="86"/>
      <c r="P192" s="86" t="n">
        <f aca="false">N192*O192</f>
        <v>0</v>
      </c>
      <c r="Q192" s="86"/>
      <c r="R192" s="87" t="n">
        <f aca="false">(O192*N192)+Q192</f>
        <v>0</v>
      </c>
      <c r="S192" s="91"/>
    </row>
    <row r="193" customFormat="false" ht="14.25" hidden="false" customHeight="false" outlineLevel="0" collapsed="false">
      <c r="A193" s="77"/>
      <c r="B193" s="78"/>
      <c r="C193" s="79"/>
      <c r="D193" s="79"/>
      <c r="E193" s="80" t="str">
        <f aca="false">_xlfn.IFNA(VLOOKUP(C193,'بيانات الآليات '!A:G,4,FALSE()),"")</f>
        <v/>
      </c>
      <c r="F193" s="81" t="str">
        <f aca="false">_xlfn.IFNA(VLOOKUP(C193,'بيانات الآليات '!A:G,2,FALSE()),"")</f>
        <v/>
      </c>
      <c r="G193" s="81"/>
      <c r="H193" s="81" t="str">
        <f aca="false">_xlfn.IFNA(VLOOKUP(C193,'بيانات الآليات '!A:G,5,FALSE()),"")</f>
        <v/>
      </c>
      <c r="I193" s="82"/>
      <c r="J193" s="83" t="str">
        <f aca="false">_xlfn.IFNA(VLOOKUP(I193,Table14543[],2,FALSE()),"")</f>
        <v/>
      </c>
      <c r="K193" s="84" t="str">
        <f aca="false">_xlfn.IFNA(VLOOKUP(I193,Table14543[],3,FALSE()),"")</f>
        <v/>
      </c>
      <c r="L193" s="83" t="str">
        <f aca="false">CONCATENATE("",I193,""," ",J193," ",K193)</f>
        <v>  </v>
      </c>
      <c r="M193" s="85"/>
      <c r="N193" s="86"/>
      <c r="O193" s="86"/>
      <c r="P193" s="86" t="n">
        <f aca="false">N193*O193</f>
        <v>0</v>
      </c>
      <c r="Q193" s="86"/>
      <c r="R193" s="87" t="n">
        <f aca="false">(O193*N193)+Q193</f>
        <v>0</v>
      </c>
      <c r="S193" s="91"/>
    </row>
    <row r="194" customFormat="false" ht="14.25" hidden="false" customHeight="false" outlineLevel="0" collapsed="false">
      <c r="A194" s="77"/>
      <c r="B194" s="78"/>
      <c r="C194" s="79"/>
      <c r="D194" s="79"/>
      <c r="E194" s="80" t="str">
        <f aca="false">_xlfn.IFNA(VLOOKUP(C194,'بيانات الآليات '!A:G,4,FALSE()),"")</f>
        <v/>
      </c>
      <c r="F194" s="81" t="str">
        <f aca="false">_xlfn.IFNA(VLOOKUP(C194,'بيانات الآليات '!A:G,2,FALSE()),"")</f>
        <v/>
      </c>
      <c r="G194" s="81"/>
      <c r="H194" s="81" t="str">
        <f aca="false">_xlfn.IFNA(VLOOKUP(C194,'بيانات الآليات '!A:G,5,FALSE()),"")</f>
        <v/>
      </c>
      <c r="I194" s="82"/>
      <c r="J194" s="83" t="str">
        <f aca="false">_xlfn.IFNA(VLOOKUP(I194,Table14543[],2,FALSE()),"")</f>
        <v/>
      </c>
      <c r="K194" s="84" t="str">
        <f aca="false">_xlfn.IFNA(VLOOKUP(I194,Table14543[],3,FALSE()),"")</f>
        <v/>
      </c>
      <c r="L194" s="83" t="str">
        <f aca="false">CONCATENATE("",I194,""," ",J194," ",K194)</f>
        <v>  </v>
      </c>
      <c r="M194" s="85"/>
      <c r="N194" s="86"/>
      <c r="O194" s="86"/>
      <c r="P194" s="86" t="n">
        <f aca="false">N194*O194</f>
        <v>0</v>
      </c>
      <c r="Q194" s="86"/>
      <c r="R194" s="87" t="n">
        <f aca="false">(O194*N194)+Q194</f>
        <v>0</v>
      </c>
      <c r="S194" s="91"/>
    </row>
    <row r="195" customFormat="false" ht="14.25" hidden="false" customHeight="false" outlineLevel="0" collapsed="false">
      <c r="A195" s="77"/>
      <c r="B195" s="78"/>
      <c r="C195" s="79"/>
      <c r="D195" s="79"/>
      <c r="E195" s="80" t="str">
        <f aca="false">_xlfn.IFNA(VLOOKUP(C195,'بيانات الآليات '!A:G,4,FALSE()),"")</f>
        <v/>
      </c>
      <c r="F195" s="81" t="str">
        <f aca="false">_xlfn.IFNA(VLOOKUP(C195,'بيانات الآليات '!A:G,2,FALSE()),"")</f>
        <v/>
      </c>
      <c r="G195" s="81"/>
      <c r="H195" s="81" t="str">
        <f aca="false">_xlfn.IFNA(VLOOKUP(C195,'بيانات الآليات '!A:G,5,FALSE()),"")</f>
        <v/>
      </c>
      <c r="I195" s="82"/>
      <c r="J195" s="83" t="str">
        <f aca="false">_xlfn.IFNA(VLOOKUP(I195,Table14543[],2,FALSE()),"")</f>
        <v/>
      </c>
      <c r="K195" s="84" t="str">
        <f aca="false">_xlfn.IFNA(VLOOKUP(I195,Table14543[],3,FALSE()),"")</f>
        <v/>
      </c>
      <c r="L195" s="83" t="str">
        <f aca="false">CONCATENATE("",I195,""," ",J195," ",K195)</f>
        <v>  </v>
      </c>
      <c r="M195" s="85"/>
      <c r="N195" s="86"/>
      <c r="O195" s="86"/>
      <c r="P195" s="86" t="n">
        <f aca="false">N195*O195</f>
        <v>0</v>
      </c>
      <c r="Q195" s="86"/>
      <c r="R195" s="87" t="n">
        <f aca="false">(O195*N195)+Q195</f>
        <v>0</v>
      </c>
      <c r="S195" s="91"/>
    </row>
    <row r="196" customFormat="false" ht="14.25" hidden="false" customHeight="false" outlineLevel="0" collapsed="false">
      <c r="A196" s="77"/>
      <c r="B196" s="78"/>
      <c r="C196" s="79"/>
      <c r="D196" s="79"/>
      <c r="E196" s="80" t="str">
        <f aca="false">_xlfn.IFNA(VLOOKUP(C196,'بيانات الآليات '!A:G,4,FALSE()),"")</f>
        <v/>
      </c>
      <c r="F196" s="81" t="str">
        <f aca="false">_xlfn.IFNA(VLOOKUP(C196,'بيانات الآليات '!A:G,2,FALSE()),"")</f>
        <v/>
      </c>
      <c r="G196" s="81"/>
      <c r="H196" s="81" t="str">
        <f aca="false">_xlfn.IFNA(VLOOKUP(C196,'بيانات الآليات '!A:G,5,FALSE()),"")</f>
        <v/>
      </c>
      <c r="I196" s="82"/>
      <c r="J196" s="83" t="str">
        <f aca="false">_xlfn.IFNA(VLOOKUP(I196,Table14543[],2,FALSE()),"")</f>
        <v/>
      </c>
      <c r="K196" s="84" t="str">
        <f aca="false">_xlfn.IFNA(VLOOKUP(I196,Table14543[],3,FALSE()),"")</f>
        <v/>
      </c>
      <c r="L196" s="83" t="str">
        <f aca="false">CONCATENATE("",I196,""," ",J196," ",K196)</f>
        <v>  </v>
      </c>
      <c r="M196" s="85"/>
      <c r="N196" s="86"/>
      <c r="O196" s="86"/>
      <c r="P196" s="86" t="n">
        <f aca="false">N196*O196</f>
        <v>0</v>
      </c>
      <c r="Q196" s="86"/>
      <c r="R196" s="87" t="n">
        <f aca="false">(O196*N196)+Q196</f>
        <v>0</v>
      </c>
      <c r="S196" s="91"/>
    </row>
    <row r="197" customFormat="false" ht="14.25" hidden="false" customHeight="false" outlineLevel="0" collapsed="false">
      <c r="A197" s="77"/>
      <c r="B197" s="78"/>
      <c r="C197" s="79"/>
      <c r="D197" s="79"/>
      <c r="E197" s="80" t="str">
        <f aca="false">_xlfn.IFNA(VLOOKUP(C197,'بيانات الآليات '!A:G,4,FALSE()),"")</f>
        <v/>
      </c>
      <c r="F197" s="81" t="str">
        <f aca="false">_xlfn.IFNA(VLOOKUP(C197,'بيانات الآليات '!A:G,2,FALSE()),"")</f>
        <v/>
      </c>
      <c r="G197" s="81"/>
      <c r="H197" s="81" t="str">
        <f aca="false">_xlfn.IFNA(VLOOKUP(C197,'بيانات الآليات '!A:G,5,FALSE()),"")</f>
        <v/>
      </c>
      <c r="I197" s="82"/>
      <c r="J197" s="83" t="str">
        <f aca="false">_xlfn.IFNA(VLOOKUP(I197,Table14543[],2,FALSE()),"")</f>
        <v/>
      </c>
      <c r="K197" s="84" t="str">
        <f aca="false">_xlfn.IFNA(VLOOKUP(I197,Table14543[],3,FALSE()),"")</f>
        <v/>
      </c>
      <c r="L197" s="83" t="str">
        <f aca="false">CONCATENATE("",I197,""," ",J197," ",K197)</f>
        <v>  </v>
      </c>
      <c r="M197" s="85"/>
      <c r="N197" s="86"/>
      <c r="O197" s="86"/>
      <c r="P197" s="86" t="n">
        <f aca="false">N197*O197</f>
        <v>0</v>
      </c>
      <c r="Q197" s="86"/>
      <c r="R197" s="87" t="n">
        <f aca="false">(O197*N197)+Q197</f>
        <v>0</v>
      </c>
      <c r="S197" s="91"/>
    </row>
    <row r="198" customFormat="false" ht="14.25" hidden="false" customHeight="false" outlineLevel="0" collapsed="false">
      <c r="A198" s="77"/>
      <c r="B198" s="78"/>
      <c r="C198" s="79"/>
      <c r="D198" s="79"/>
      <c r="E198" s="80" t="str">
        <f aca="false">_xlfn.IFNA(VLOOKUP(C198,'بيانات الآليات '!A:G,4,FALSE()),"")</f>
        <v/>
      </c>
      <c r="F198" s="81" t="str">
        <f aca="false">_xlfn.IFNA(VLOOKUP(C198,'بيانات الآليات '!A:G,2,FALSE()),"")</f>
        <v/>
      </c>
      <c r="G198" s="81"/>
      <c r="H198" s="81" t="str">
        <f aca="false">_xlfn.IFNA(VLOOKUP(C198,'بيانات الآليات '!A:G,5,FALSE()),"")</f>
        <v/>
      </c>
      <c r="I198" s="82"/>
      <c r="J198" s="83" t="str">
        <f aca="false">_xlfn.IFNA(VLOOKUP(I198,Table14543[],2,FALSE()),"")</f>
        <v/>
      </c>
      <c r="K198" s="84" t="str">
        <f aca="false">_xlfn.IFNA(VLOOKUP(I198,Table14543[],3,FALSE()),"")</f>
        <v/>
      </c>
      <c r="L198" s="83" t="str">
        <f aca="false">CONCATENATE("",I198,""," ",J198," ",K198)</f>
        <v>  </v>
      </c>
      <c r="M198" s="85"/>
      <c r="N198" s="86"/>
      <c r="O198" s="86"/>
      <c r="P198" s="86" t="n">
        <f aca="false">N198*O198</f>
        <v>0</v>
      </c>
      <c r="Q198" s="86"/>
      <c r="R198" s="87" t="n">
        <f aca="false">(O198*N198)+Q198</f>
        <v>0</v>
      </c>
      <c r="S198" s="91"/>
    </row>
    <row r="199" customFormat="false" ht="14.25" hidden="false" customHeight="false" outlineLevel="0" collapsed="false">
      <c r="A199" s="77"/>
      <c r="B199" s="78"/>
      <c r="C199" s="79"/>
      <c r="D199" s="79"/>
      <c r="E199" s="80" t="str">
        <f aca="false">_xlfn.IFNA(VLOOKUP(C199,'بيانات الآليات '!A:G,4,FALSE()),"")</f>
        <v/>
      </c>
      <c r="F199" s="81" t="str">
        <f aca="false">_xlfn.IFNA(VLOOKUP(C199,'بيانات الآليات '!A:G,2,FALSE()),"")</f>
        <v/>
      </c>
      <c r="G199" s="81"/>
      <c r="H199" s="81" t="str">
        <f aca="false">_xlfn.IFNA(VLOOKUP(C199,'بيانات الآليات '!A:G,5,FALSE()),"")</f>
        <v/>
      </c>
      <c r="I199" s="82"/>
      <c r="J199" s="83" t="str">
        <f aca="false">_xlfn.IFNA(VLOOKUP(I199,Table14543[],2,FALSE()),"")</f>
        <v/>
      </c>
      <c r="K199" s="84" t="str">
        <f aca="false">_xlfn.IFNA(VLOOKUP(I199,Table14543[],3,FALSE()),"")</f>
        <v/>
      </c>
      <c r="L199" s="83" t="str">
        <f aca="false">CONCATENATE("",I199,""," ",J199," ",K199)</f>
        <v>  </v>
      </c>
      <c r="M199" s="85"/>
      <c r="N199" s="86"/>
      <c r="O199" s="86"/>
      <c r="P199" s="86" t="n">
        <f aca="false">N199*O199</f>
        <v>0</v>
      </c>
      <c r="Q199" s="86"/>
      <c r="R199" s="87" t="n">
        <f aca="false">(O199*N199)+Q199</f>
        <v>0</v>
      </c>
      <c r="S199" s="91"/>
    </row>
    <row r="200" customFormat="false" ht="14.25" hidden="false" customHeight="false" outlineLevel="0" collapsed="false">
      <c r="A200" s="77"/>
      <c r="B200" s="78"/>
      <c r="C200" s="79"/>
      <c r="D200" s="79"/>
      <c r="E200" s="80" t="str">
        <f aca="false">_xlfn.IFNA(VLOOKUP(C200,'بيانات الآليات '!A:G,4,FALSE()),"")</f>
        <v/>
      </c>
      <c r="F200" s="81" t="str">
        <f aca="false">_xlfn.IFNA(VLOOKUP(C200,'بيانات الآليات '!A:G,2,FALSE()),"")</f>
        <v/>
      </c>
      <c r="G200" s="81"/>
      <c r="H200" s="81" t="str">
        <f aca="false">_xlfn.IFNA(VLOOKUP(C200,'بيانات الآليات '!A:G,5,FALSE()),"")</f>
        <v/>
      </c>
      <c r="I200" s="82"/>
      <c r="J200" s="83" t="str">
        <f aca="false">_xlfn.IFNA(VLOOKUP(I200,Table14543[],2,FALSE()),"")</f>
        <v/>
      </c>
      <c r="K200" s="84" t="str">
        <f aca="false">_xlfn.IFNA(VLOOKUP(I200,Table14543[],3,FALSE()),"")</f>
        <v/>
      </c>
      <c r="L200" s="83" t="str">
        <f aca="false">CONCATENATE("",I200,""," ",J200," ",K200)</f>
        <v>  </v>
      </c>
      <c r="M200" s="85"/>
      <c r="N200" s="86"/>
      <c r="O200" s="86"/>
      <c r="P200" s="86" t="n">
        <f aca="false">N200*O200</f>
        <v>0</v>
      </c>
      <c r="Q200" s="86"/>
      <c r="R200" s="87" t="n">
        <f aca="false">(O200*N200)+Q200</f>
        <v>0</v>
      </c>
      <c r="S200" s="91"/>
    </row>
    <row r="201" customFormat="false" ht="14.25" hidden="false" customHeight="false" outlineLevel="0" collapsed="false">
      <c r="A201" s="77"/>
      <c r="B201" s="78"/>
      <c r="C201" s="79"/>
      <c r="D201" s="79"/>
      <c r="E201" s="80" t="str">
        <f aca="false">_xlfn.IFNA(VLOOKUP(C201,'بيانات الآليات '!A:G,4,FALSE()),"")</f>
        <v/>
      </c>
      <c r="F201" s="81" t="str">
        <f aca="false">_xlfn.IFNA(VLOOKUP(C201,'بيانات الآليات '!A:G,2,FALSE()),"")</f>
        <v/>
      </c>
      <c r="G201" s="81"/>
      <c r="H201" s="81" t="str">
        <f aca="false">_xlfn.IFNA(VLOOKUP(C201,'بيانات الآليات '!A:G,5,FALSE()),"")</f>
        <v/>
      </c>
      <c r="I201" s="82"/>
      <c r="J201" s="83" t="str">
        <f aca="false">_xlfn.IFNA(VLOOKUP(I201,Table14543[],2,FALSE()),"")</f>
        <v/>
      </c>
      <c r="K201" s="84" t="str">
        <f aca="false">_xlfn.IFNA(VLOOKUP(I201,Table14543[],3,FALSE()),"")</f>
        <v/>
      </c>
      <c r="L201" s="83" t="str">
        <f aca="false">CONCATENATE("",I201,""," ",J201," ",K201)</f>
        <v>  </v>
      </c>
      <c r="M201" s="85"/>
      <c r="N201" s="86"/>
      <c r="O201" s="86"/>
      <c r="P201" s="86" t="n">
        <f aca="false">N201*O201</f>
        <v>0</v>
      </c>
      <c r="Q201" s="86"/>
      <c r="R201" s="87" t="n">
        <f aca="false">(O201*N201)+Q201</f>
        <v>0</v>
      </c>
      <c r="S201" s="91"/>
    </row>
    <row r="202" customFormat="false" ht="14.25" hidden="false" customHeight="false" outlineLevel="0" collapsed="false">
      <c r="A202" s="77"/>
      <c r="B202" s="78"/>
      <c r="C202" s="79"/>
      <c r="D202" s="79"/>
      <c r="E202" s="80" t="str">
        <f aca="false">_xlfn.IFNA(VLOOKUP(C202,'بيانات الآليات '!A:G,4,FALSE()),"")</f>
        <v/>
      </c>
      <c r="F202" s="81" t="str">
        <f aca="false">_xlfn.IFNA(VLOOKUP(C202,'بيانات الآليات '!A:G,2,FALSE()),"")</f>
        <v/>
      </c>
      <c r="G202" s="81"/>
      <c r="H202" s="81" t="str">
        <f aca="false">_xlfn.IFNA(VLOOKUP(C202,'بيانات الآليات '!A:G,5,FALSE()),"")</f>
        <v/>
      </c>
      <c r="I202" s="82"/>
      <c r="J202" s="83" t="str">
        <f aca="false">_xlfn.IFNA(VLOOKUP(I202,Table14543[],2,FALSE()),"")</f>
        <v/>
      </c>
      <c r="K202" s="84" t="str">
        <f aca="false">_xlfn.IFNA(VLOOKUP(I202,Table14543[],3,FALSE()),"")</f>
        <v/>
      </c>
      <c r="L202" s="83" t="str">
        <f aca="false">CONCATENATE("",I202,""," ",J202," ",K202)</f>
        <v>  </v>
      </c>
      <c r="M202" s="85"/>
      <c r="N202" s="86"/>
      <c r="O202" s="86"/>
      <c r="P202" s="86" t="n">
        <f aca="false">N202*O202</f>
        <v>0</v>
      </c>
      <c r="Q202" s="86"/>
      <c r="R202" s="87" t="n">
        <f aca="false">(O202*N202)+Q202</f>
        <v>0</v>
      </c>
      <c r="S202" s="91"/>
    </row>
    <row r="203" customFormat="false" ht="14.25" hidden="false" customHeight="false" outlineLevel="0" collapsed="false">
      <c r="A203" s="77"/>
      <c r="B203" s="78"/>
      <c r="C203" s="79"/>
      <c r="D203" s="79"/>
      <c r="E203" s="80" t="str">
        <f aca="false">_xlfn.IFNA(VLOOKUP(C203,'بيانات الآليات '!A:G,4,FALSE()),"")</f>
        <v/>
      </c>
      <c r="F203" s="81" t="str">
        <f aca="false">_xlfn.IFNA(VLOOKUP(C203,'بيانات الآليات '!A:G,2,FALSE()),"")</f>
        <v/>
      </c>
      <c r="G203" s="81"/>
      <c r="H203" s="81" t="str">
        <f aca="false">_xlfn.IFNA(VLOOKUP(C203,'بيانات الآليات '!A:G,5,FALSE()),"")</f>
        <v/>
      </c>
      <c r="I203" s="82"/>
      <c r="J203" s="83" t="str">
        <f aca="false">_xlfn.IFNA(VLOOKUP(I203,Table14543[],2,FALSE()),"")</f>
        <v/>
      </c>
      <c r="K203" s="84" t="str">
        <f aca="false">_xlfn.IFNA(VLOOKUP(I203,Table14543[],3,FALSE()),"")</f>
        <v/>
      </c>
      <c r="L203" s="83" t="str">
        <f aca="false">CONCATENATE("",I203,""," ",J203," ",K203)</f>
        <v>  </v>
      </c>
      <c r="M203" s="85"/>
      <c r="N203" s="86"/>
      <c r="O203" s="86"/>
      <c r="P203" s="86" t="n">
        <f aca="false">N203*O203</f>
        <v>0</v>
      </c>
      <c r="Q203" s="86"/>
      <c r="R203" s="87" t="n">
        <f aca="false">(O203*N203)+Q203</f>
        <v>0</v>
      </c>
      <c r="S203" s="91"/>
    </row>
    <row r="204" customFormat="false" ht="14.25" hidden="false" customHeight="false" outlineLevel="0" collapsed="false">
      <c r="A204" s="77"/>
      <c r="B204" s="78"/>
      <c r="C204" s="79"/>
      <c r="D204" s="79"/>
      <c r="E204" s="80" t="str">
        <f aca="false">_xlfn.IFNA(VLOOKUP(C204,'بيانات الآليات '!A:G,4,FALSE()),"")</f>
        <v/>
      </c>
      <c r="F204" s="81" t="str">
        <f aca="false">_xlfn.IFNA(VLOOKUP(C204,'بيانات الآليات '!A:G,2,FALSE()),"")</f>
        <v/>
      </c>
      <c r="G204" s="81"/>
      <c r="H204" s="81" t="str">
        <f aca="false">_xlfn.IFNA(VLOOKUP(C204,'بيانات الآليات '!A:G,5,FALSE()),"")</f>
        <v/>
      </c>
      <c r="I204" s="82"/>
      <c r="J204" s="83" t="str">
        <f aca="false">_xlfn.IFNA(VLOOKUP(I204,Table14543[],2,FALSE()),"")</f>
        <v/>
      </c>
      <c r="K204" s="84" t="str">
        <f aca="false">_xlfn.IFNA(VLOOKUP(I204,Table14543[],3,FALSE()),"")</f>
        <v/>
      </c>
      <c r="L204" s="83" t="str">
        <f aca="false">CONCATENATE("",I204,""," ",J204," ",K204)</f>
        <v>  </v>
      </c>
      <c r="M204" s="85"/>
      <c r="N204" s="86"/>
      <c r="O204" s="86"/>
      <c r="P204" s="86" t="n">
        <f aca="false">N204*O204</f>
        <v>0</v>
      </c>
      <c r="Q204" s="86"/>
      <c r="R204" s="87" t="n">
        <f aca="false">(O204*N204)+Q204</f>
        <v>0</v>
      </c>
      <c r="S204" s="91"/>
    </row>
    <row r="205" customFormat="false" ht="14.25" hidden="false" customHeight="false" outlineLevel="0" collapsed="false">
      <c r="A205" s="77"/>
      <c r="B205" s="78"/>
      <c r="C205" s="79"/>
      <c r="D205" s="79"/>
      <c r="E205" s="80" t="str">
        <f aca="false">_xlfn.IFNA(VLOOKUP(C205,'بيانات الآليات '!A:G,4,FALSE()),"")</f>
        <v/>
      </c>
      <c r="F205" s="81" t="str">
        <f aca="false">_xlfn.IFNA(VLOOKUP(C205,'بيانات الآليات '!A:G,2,FALSE()),"")</f>
        <v/>
      </c>
      <c r="G205" s="81"/>
      <c r="H205" s="81" t="str">
        <f aca="false">_xlfn.IFNA(VLOOKUP(C205,'بيانات الآليات '!A:G,5,FALSE()),"")</f>
        <v/>
      </c>
      <c r="I205" s="82"/>
      <c r="J205" s="83" t="str">
        <f aca="false">_xlfn.IFNA(VLOOKUP(I205,Table14543[],2,FALSE()),"")</f>
        <v/>
      </c>
      <c r="K205" s="84" t="str">
        <f aca="false">_xlfn.IFNA(VLOOKUP(I205,Table14543[],3,FALSE()),"")</f>
        <v/>
      </c>
      <c r="L205" s="83" t="str">
        <f aca="false">CONCATENATE("",I205,""," ",J205," ",K205)</f>
        <v>  </v>
      </c>
      <c r="M205" s="85"/>
      <c r="N205" s="86"/>
      <c r="O205" s="86"/>
      <c r="P205" s="86" t="n">
        <f aca="false">N205*O205</f>
        <v>0</v>
      </c>
      <c r="Q205" s="86"/>
      <c r="R205" s="87" t="n">
        <f aca="false">(O205*N205)+Q205</f>
        <v>0</v>
      </c>
      <c r="S205" s="91"/>
    </row>
    <row r="206" customFormat="false" ht="14.25" hidden="false" customHeight="false" outlineLevel="0" collapsed="false">
      <c r="A206" s="77"/>
      <c r="B206" s="78"/>
      <c r="C206" s="79"/>
      <c r="D206" s="79"/>
      <c r="E206" s="80" t="str">
        <f aca="false">_xlfn.IFNA(VLOOKUP(C206,'بيانات الآليات '!A:G,4,FALSE()),"")</f>
        <v/>
      </c>
      <c r="F206" s="81" t="str">
        <f aca="false">_xlfn.IFNA(VLOOKUP(C206,'بيانات الآليات '!A:G,2,FALSE()),"")</f>
        <v/>
      </c>
      <c r="G206" s="81"/>
      <c r="H206" s="81" t="str">
        <f aca="false">_xlfn.IFNA(VLOOKUP(C206,'بيانات الآليات '!A:G,5,FALSE()),"")</f>
        <v/>
      </c>
      <c r="I206" s="82"/>
      <c r="J206" s="83" t="str">
        <f aca="false">_xlfn.IFNA(VLOOKUP(I206,Table14543[],2,FALSE()),"")</f>
        <v/>
      </c>
      <c r="K206" s="84" t="str">
        <f aca="false">_xlfn.IFNA(VLOOKUP(I206,Table14543[],3,FALSE()),"")</f>
        <v/>
      </c>
      <c r="L206" s="83" t="str">
        <f aca="false">CONCATENATE("",I206,""," ",J206," ",K206)</f>
        <v>  </v>
      </c>
      <c r="M206" s="85"/>
      <c r="N206" s="86"/>
      <c r="O206" s="86"/>
      <c r="P206" s="86" t="n">
        <f aca="false">N206*O206</f>
        <v>0</v>
      </c>
      <c r="Q206" s="86"/>
      <c r="R206" s="87" t="n">
        <f aca="false">(O206*N206)+Q206</f>
        <v>0</v>
      </c>
      <c r="S206" s="91"/>
    </row>
    <row r="207" customFormat="false" ht="14.25" hidden="false" customHeight="false" outlineLevel="0" collapsed="false">
      <c r="A207" s="77"/>
      <c r="B207" s="78"/>
      <c r="C207" s="79"/>
      <c r="D207" s="79"/>
      <c r="E207" s="80" t="str">
        <f aca="false">_xlfn.IFNA(VLOOKUP(C207,'بيانات الآليات '!A:G,4,FALSE()),"")</f>
        <v/>
      </c>
      <c r="F207" s="81" t="str">
        <f aca="false">_xlfn.IFNA(VLOOKUP(C207,'بيانات الآليات '!A:G,2,FALSE()),"")</f>
        <v/>
      </c>
      <c r="G207" s="81"/>
      <c r="H207" s="81" t="str">
        <f aca="false">_xlfn.IFNA(VLOOKUP(C207,'بيانات الآليات '!A:G,5,FALSE()),"")</f>
        <v/>
      </c>
      <c r="I207" s="82"/>
      <c r="J207" s="83" t="str">
        <f aca="false">_xlfn.IFNA(VLOOKUP(I207,Table14543[],2,FALSE()),"")</f>
        <v/>
      </c>
      <c r="K207" s="84" t="str">
        <f aca="false">_xlfn.IFNA(VLOOKUP(I207,Table14543[],3,FALSE()),"")</f>
        <v/>
      </c>
      <c r="L207" s="83" t="str">
        <f aca="false">CONCATENATE("",I207,""," ",J207," ",K207)</f>
        <v>  </v>
      </c>
      <c r="M207" s="85"/>
      <c r="N207" s="86"/>
      <c r="O207" s="86"/>
      <c r="P207" s="86" t="n">
        <f aca="false">N207*O207</f>
        <v>0</v>
      </c>
      <c r="Q207" s="86"/>
      <c r="R207" s="87" t="n">
        <f aca="false">(O207*N207)+Q207</f>
        <v>0</v>
      </c>
      <c r="S207" s="91"/>
    </row>
    <row r="208" customFormat="false" ht="14.25" hidden="false" customHeight="false" outlineLevel="0" collapsed="false">
      <c r="A208" s="77"/>
      <c r="B208" s="78"/>
      <c r="C208" s="79"/>
      <c r="D208" s="79"/>
      <c r="E208" s="80" t="str">
        <f aca="false">_xlfn.IFNA(VLOOKUP(C208,'بيانات الآليات '!A:G,4,FALSE()),"")</f>
        <v/>
      </c>
      <c r="F208" s="81" t="str">
        <f aca="false">_xlfn.IFNA(VLOOKUP(C208,'بيانات الآليات '!A:G,2,FALSE()),"")</f>
        <v/>
      </c>
      <c r="G208" s="81"/>
      <c r="H208" s="81" t="str">
        <f aca="false">_xlfn.IFNA(VLOOKUP(C208,'بيانات الآليات '!A:G,5,FALSE()),"")</f>
        <v/>
      </c>
      <c r="I208" s="82"/>
      <c r="J208" s="83" t="str">
        <f aca="false">_xlfn.IFNA(VLOOKUP(I208,Table14543[],2,FALSE()),"")</f>
        <v/>
      </c>
      <c r="K208" s="84" t="str">
        <f aca="false">_xlfn.IFNA(VLOOKUP(I208,Table14543[],3,FALSE()),"")</f>
        <v/>
      </c>
      <c r="L208" s="83" t="str">
        <f aca="false">CONCATENATE("",I208,""," ",J208," ",K208)</f>
        <v>  </v>
      </c>
      <c r="M208" s="85"/>
      <c r="N208" s="86"/>
      <c r="O208" s="86"/>
      <c r="P208" s="86" t="n">
        <f aca="false">N208*O208</f>
        <v>0</v>
      </c>
      <c r="Q208" s="86"/>
      <c r="R208" s="87" t="n">
        <f aca="false">(O208*N208)+Q208</f>
        <v>0</v>
      </c>
      <c r="S208" s="91"/>
    </row>
    <row r="209" customFormat="false" ht="14.25" hidden="false" customHeight="false" outlineLevel="0" collapsed="false">
      <c r="A209" s="77"/>
      <c r="B209" s="78"/>
      <c r="C209" s="79"/>
      <c r="D209" s="79"/>
      <c r="E209" s="80" t="str">
        <f aca="false">_xlfn.IFNA(VLOOKUP(C209,'بيانات الآليات '!A:G,4,FALSE()),"")</f>
        <v/>
      </c>
      <c r="F209" s="81" t="str">
        <f aca="false">_xlfn.IFNA(VLOOKUP(C209,'بيانات الآليات '!A:G,2,FALSE()),"")</f>
        <v/>
      </c>
      <c r="G209" s="81"/>
      <c r="H209" s="81" t="str">
        <f aca="false">_xlfn.IFNA(VLOOKUP(C209,'بيانات الآليات '!A:G,5,FALSE()),"")</f>
        <v/>
      </c>
      <c r="I209" s="82"/>
      <c r="J209" s="83" t="str">
        <f aca="false">_xlfn.IFNA(VLOOKUP(I209,Table14543[],2,FALSE()),"")</f>
        <v/>
      </c>
      <c r="K209" s="84" t="str">
        <f aca="false">_xlfn.IFNA(VLOOKUP(I209,Table14543[],3,FALSE()),"")</f>
        <v/>
      </c>
      <c r="L209" s="83" t="str">
        <f aca="false">CONCATENATE("",I209,""," ",J209," ",K209)</f>
        <v>  </v>
      </c>
      <c r="M209" s="85"/>
      <c r="N209" s="86"/>
      <c r="O209" s="86"/>
      <c r="P209" s="86" t="n">
        <f aca="false">N209*O209</f>
        <v>0</v>
      </c>
      <c r="Q209" s="86"/>
      <c r="R209" s="87" t="n">
        <f aca="false">(O209*N209)+Q209</f>
        <v>0</v>
      </c>
      <c r="S209" s="91"/>
    </row>
    <row r="210" customFormat="false" ht="14.25" hidden="false" customHeight="false" outlineLevel="0" collapsed="false">
      <c r="A210" s="77"/>
      <c r="B210" s="78"/>
      <c r="C210" s="79"/>
      <c r="D210" s="79"/>
      <c r="E210" s="80" t="str">
        <f aca="false">_xlfn.IFNA(VLOOKUP(C210,'بيانات الآليات '!A:G,4,FALSE()),"")</f>
        <v/>
      </c>
      <c r="F210" s="81" t="str">
        <f aca="false">_xlfn.IFNA(VLOOKUP(C210,'بيانات الآليات '!A:G,2,FALSE()),"")</f>
        <v/>
      </c>
      <c r="G210" s="81"/>
      <c r="H210" s="81" t="str">
        <f aca="false">_xlfn.IFNA(VLOOKUP(C210,'بيانات الآليات '!A:G,5,FALSE()),"")</f>
        <v/>
      </c>
      <c r="I210" s="82"/>
      <c r="J210" s="83" t="str">
        <f aca="false">_xlfn.IFNA(VLOOKUP(I210,Table14543[],2,FALSE()),"")</f>
        <v/>
      </c>
      <c r="K210" s="84" t="str">
        <f aca="false">_xlfn.IFNA(VLOOKUP(I210,Table14543[],3,FALSE()),"")</f>
        <v/>
      </c>
      <c r="L210" s="83" t="str">
        <f aca="false">CONCATENATE("",I210,""," ",J210," ",K210)</f>
        <v>  </v>
      </c>
      <c r="M210" s="85"/>
      <c r="N210" s="86"/>
      <c r="O210" s="86"/>
      <c r="P210" s="86" t="n">
        <f aca="false">N210*O210</f>
        <v>0</v>
      </c>
      <c r="Q210" s="86"/>
      <c r="R210" s="87" t="n">
        <f aca="false">(O210*N210)+Q210</f>
        <v>0</v>
      </c>
      <c r="S210" s="91"/>
    </row>
    <row r="211" customFormat="false" ht="14.25" hidden="false" customHeight="false" outlineLevel="0" collapsed="false">
      <c r="A211" s="77"/>
      <c r="B211" s="78"/>
      <c r="C211" s="79"/>
      <c r="D211" s="79"/>
      <c r="E211" s="80" t="str">
        <f aca="false">_xlfn.IFNA(VLOOKUP(C211,'بيانات الآليات '!A:G,4,FALSE()),"")</f>
        <v/>
      </c>
      <c r="F211" s="81" t="str">
        <f aca="false">_xlfn.IFNA(VLOOKUP(C211,'بيانات الآليات '!A:G,2,FALSE()),"")</f>
        <v/>
      </c>
      <c r="G211" s="81"/>
      <c r="H211" s="81" t="str">
        <f aca="false">_xlfn.IFNA(VLOOKUP(C211,'بيانات الآليات '!A:G,5,FALSE()),"")</f>
        <v/>
      </c>
      <c r="I211" s="82"/>
      <c r="J211" s="83" t="str">
        <f aca="false">_xlfn.IFNA(VLOOKUP(I211,Table14543[],2,FALSE()),"")</f>
        <v/>
      </c>
      <c r="K211" s="84" t="str">
        <f aca="false">_xlfn.IFNA(VLOOKUP(I211,Table14543[],3,FALSE()),"")</f>
        <v/>
      </c>
      <c r="L211" s="83" t="str">
        <f aca="false">CONCATENATE("",I211,""," ",J211," ",K211)</f>
        <v>  </v>
      </c>
      <c r="M211" s="85"/>
      <c r="N211" s="86"/>
      <c r="O211" s="86"/>
      <c r="P211" s="86" t="n">
        <f aca="false">N211*O211</f>
        <v>0</v>
      </c>
      <c r="Q211" s="86"/>
      <c r="R211" s="87" t="n">
        <f aca="false">(O211*N211)+Q211</f>
        <v>0</v>
      </c>
      <c r="S211" s="91"/>
    </row>
    <row r="212" customFormat="false" ht="14.25" hidden="false" customHeight="false" outlineLevel="0" collapsed="false">
      <c r="A212" s="77"/>
      <c r="B212" s="78"/>
      <c r="C212" s="79"/>
      <c r="D212" s="79"/>
      <c r="E212" s="80" t="str">
        <f aca="false">_xlfn.IFNA(VLOOKUP(C212,'بيانات الآليات '!A:G,4,FALSE()),"")</f>
        <v/>
      </c>
      <c r="F212" s="81" t="str">
        <f aca="false">_xlfn.IFNA(VLOOKUP(C212,'بيانات الآليات '!A:G,2,FALSE()),"")</f>
        <v/>
      </c>
      <c r="G212" s="81"/>
      <c r="H212" s="81" t="str">
        <f aca="false">_xlfn.IFNA(VLOOKUP(C212,'بيانات الآليات '!A:G,5,FALSE()),"")</f>
        <v/>
      </c>
      <c r="I212" s="82"/>
      <c r="J212" s="83" t="str">
        <f aca="false">_xlfn.IFNA(VLOOKUP(I212,Table14543[],2,FALSE()),"")</f>
        <v/>
      </c>
      <c r="K212" s="84" t="str">
        <f aca="false">_xlfn.IFNA(VLOOKUP(I212,Table14543[],3,FALSE()),"")</f>
        <v/>
      </c>
      <c r="L212" s="83" t="str">
        <f aca="false">CONCATENATE("",I212,""," ",J212," ",K212)</f>
        <v>  </v>
      </c>
      <c r="M212" s="85"/>
      <c r="N212" s="86"/>
      <c r="O212" s="86"/>
      <c r="P212" s="86" t="n">
        <f aca="false">N212*O212</f>
        <v>0</v>
      </c>
      <c r="Q212" s="86"/>
      <c r="R212" s="87" t="n">
        <f aca="false">(O212*N212)+Q212</f>
        <v>0</v>
      </c>
      <c r="S212" s="91"/>
    </row>
    <row r="213" customFormat="false" ht="14.25" hidden="false" customHeight="false" outlineLevel="0" collapsed="false">
      <c r="A213" s="77"/>
      <c r="B213" s="78"/>
      <c r="C213" s="79"/>
      <c r="D213" s="79"/>
      <c r="E213" s="80" t="str">
        <f aca="false">_xlfn.IFNA(VLOOKUP(C213,'بيانات الآليات '!A:G,4,FALSE()),"")</f>
        <v/>
      </c>
      <c r="F213" s="81" t="str">
        <f aca="false">_xlfn.IFNA(VLOOKUP(C213,'بيانات الآليات '!A:G,2,FALSE()),"")</f>
        <v/>
      </c>
      <c r="G213" s="81"/>
      <c r="H213" s="81" t="str">
        <f aca="false">_xlfn.IFNA(VLOOKUP(C213,'بيانات الآليات '!A:G,5,FALSE()),"")</f>
        <v/>
      </c>
      <c r="I213" s="82"/>
      <c r="J213" s="83" t="str">
        <f aca="false">_xlfn.IFNA(VLOOKUP(I213,Table14543[],2,FALSE()),"")</f>
        <v/>
      </c>
      <c r="K213" s="84" t="str">
        <f aca="false">_xlfn.IFNA(VLOOKUP(I213,Table14543[],3,FALSE()),"")</f>
        <v/>
      </c>
      <c r="L213" s="83" t="str">
        <f aca="false">CONCATENATE("",I213,""," ",J213," ",K213)</f>
        <v>  </v>
      </c>
      <c r="M213" s="85"/>
      <c r="N213" s="86"/>
      <c r="O213" s="86"/>
      <c r="P213" s="86" t="n">
        <f aca="false">N213*O213</f>
        <v>0</v>
      </c>
      <c r="Q213" s="86"/>
      <c r="R213" s="87" t="n">
        <f aca="false">(O213*N213)+Q213</f>
        <v>0</v>
      </c>
      <c r="S213" s="91"/>
    </row>
    <row r="214" customFormat="false" ht="14.25" hidden="false" customHeight="false" outlineLevel="0" collapsed="false">
      <c r="A214" s="77"/>
      <c r="B214" s="78"/>
      <c r="C214" s="79"/>
      <c r="D214" s="79"/>
      <c r="E214" s="80" t="str">
        <f aca="false">_xlfn.IFNA(VLOOKUP(C214,'بيانات الآليات '!A:G,4,FALSE()),"")</f>
        <v/>
      </c>
      <c r="F214" s="81" t="str">
        <f aca="false">_xlfn.IFNA(VLOOKUP(C214,'بيانات الآليات '!A:G,2,FALSE()),"")</f>
        <v/>
      </c>
      <c r="G214" s="81"/>
      <c r="H214" s="81" t="str">
        <f aca="false">_xlfn.IFNA(VLOOKUP(C214,'بيانات الآليات '!A:G,5,FALSE()),"")</f>
        <v/>
      </c>
      <c r="I214" s="82"/>
      <c r="J214" s="83" t="str">
        <f aca="false">_xlfn.IFNA(VLOOKUP(I214,Table14543[],2,FALSE()),"")</f>
        <v/>
      </c>
      <c r="K214" s="84" t="str">
        <f aca="false">_xlfn.IFNA(VLOOKUP(I214,Table14543[],3,FALSE()),"")</f>
        <v/>
      </c>
      <c r="L214" s="83" t="str">
        <f aca="false">CONCATENATE("",I214,""," ",J214," ",K214)</f>
        <v>  </v>
      </c>
      <c r="M214" s="85"/>
      <c r="N214" s="86"/>
      <c r="O214" s="86"/>
      <c r="P214" s="86" t="n">
        <f aca="false">N214*O214</f>
        <v>0</v>
      </c>
      <c r="Q214" s="86"/>
      <c r="R214" s="87" t="n">
        <f aca="false">(O214*N214)+Q214</f>
        <v>0</v>
      </c>
      <c r="S214" s="91"/>
    </row>
    <row r="215" customFormat="false" ht="14.25" hidden="false" customHeight="false" outlineLevel="0" collapsed="false">
      <c r="A215" s="77"/>
      <c r="B215" s="78"/>
      <c r="C215" s="79"/>
      <c r="D215" s="79"/>
      <c r="E215" s="80" t="str">
        <f aca="false">_xlfn.IFNA(VLOOKUP(C215,'بيانات الآليات '!A:G,4,FALSE()),"")</f>
        <v/>
      </c>
      <c r="F215" s="81" t="str">
        <f aca="false">_xlfn.IFNA(VLOOKUP(C215,'بيانات الآليات '!A:G,2,FALSE()),"")</f>
        <v/>
      </c>
      <c r="G215" s="81"/>
      <c r="H215" s="81" t="str">
        <f aca="false">_xlfn.IFNA(VLOOKUP(C215,'بيانات الآليات '!A:G,5,FALSE()),"")</f>
        <v/>
      </c>
      <c r="I215" s="82"/>
      <c r="J215" s="83" t="str">
        <f aca="false">_xlfn.IFNA(VLOOKUP(I215,Table14543[],2,FALSE()),"")</f>
        <v/>
      </c>
      <c r="K215" s="84" t="str">
        <f aca="false">_xlfn.IFNA(VLOOKUP(I215,Table14543[],3,FALSE()),"")</f>
        <v/>
      </c>
      <c r="L215" s="83" t="str">
        <f aca="false">CONCATENATE("",I215,""," ",J215," ",K215)</f>
        <v>  </v>
      </c>
      <c r="M215" s="85"/>
      <c r="N215" s="86"/>
      <c r="O215" s="86"/>
      <c r="P215" s="86" t="n">
        <f aca="false">N215*O215</f>
        <v>0</v>
      </c>
      <c r="Q215" s="86"/>
      <c r="R215" s="87" t="n">
        <f aca="false">(O215*N215)+Q215</f>
        <v>0</v>
      </c>
      <c r="S215" s="91"/>
    </row>
    <row r="216" customFormat="false" ht="14.25" hidden="false" customHeight="false" outlineLevel="0" collapsed="false">
      <c r="A216" s="77"/>
      <c r="B216" s="78"/>
      <c r="C216" s="79"/>
      <c r="D216" s="79"/>
      <c r="E216" s="80" t="str">
        <f aca="false">_xlfn.IFNA(VLOOKUP(C216,'بيانات الآليات '!A:G,4,FALSE()),"")</f>
        <v/>
      </c>
      <c r="F216" s="81" t="str">
        <f aca="false">_xlfn.IFNA(VLOOKUP(C216,'بيانات الآليات '!A:G,2,FALSE()),"")</f>
        <v/>
      </c>
      <c r="G216" s="81"/>
      <c r="H216" s="81" t="str">
        <f aca="false">_xlfn.IFNA(VLOOKUP(C216,'بيانات الآليات '!A:G,5,FALSE()),"")</f>
        <v/>
      </c>
      <c r="I216" s="82"/>
      <c r="J216" s="83" t="str">
        <f aca="false">_xlfn.IFNA(VLOOKUP(I216,Table14543[],2,FALSE()),"")</f>
        <v/>
      </c>
      <c r="K216" s="84" t="str">
        <f aca="false">_xlfn.IFNA(VLOOKUP(I216,Table14543[],3,FALSE()),"")</f>
        <v/>
      </c>
      <c r="L216" s="83" t="str">
        <f aca="false">CONCATENATE("",I216,""," ",J216," ",K216)</f>
        <v>  </v>
      </c>
      <c r="M216" s="85"/>
      <c r="N216" s="86"/>
      <c r="O216" s="86"/>
      <c r="P216" s="86" t="n">
        <f aca="false">N216*O216</f>
        <v>0</v>
      </c>
      <c r="Q216" s="86"/>
      <c r="R216" s="87" t="n">
        <f aca="false">(O216*N216)+Q216</f>
        <v>0</v>
      </c>
      <c r="S216" s="91"/>
    </row>
    <row r="217" customFormat="false" ht="14.25" hidden="false" customHeight="false" outlineLevel="0" collapsed="false">
      <c r="A217" s="77"/>
      <c r="B217" s="78"/>
      <c r="C217" s="79"/>
      <c r="D217" s="79"/>
      <c r="E217" s="80" t="str">
        <f aca="false">_xlfn.IFNA(VLOOKUP(C217,'بيانات الآليات '!A:G,4,FALSE()),"")</f>
        <v/>
      </c>
      <c r="F217" s="81" t="str">
        <f aca="false">_xlfn.IFNA(VLOOKUP(C217,'بيانات الآليات '!A:G,2,FALSE()),"")</f>
        <v/>
      </c>
      <c r="G217" s="81"/>
      <c r="H217" s="81" t="str">
        <f aca="false">_xlfn.IFNA(VLOOKUP(C217,'بيانات الآليات '!A:G,5,FALSE()),"")</f>
        <v/>
      </c>
      <c r="I217" s="82"/>
      <c r="J217" s="83" t="str">
        <f aca="false">_xlfn.IFNA(VLOOKUP(I217,Table14543[],2,FALSE()),"")</f>
        <v/>
      </c>
      <c r="K217" s="84" t="str">
        <f aca="false">_xlfn.IFNA(VLOOKUP(I217,Table14543[],3,FALSE()),"")</f>
        <v/>
      </c>
      <c r="L217" s="83" t="str">
        <f aca="false">CONCATENATE("",I217,""," ",J217," ",K217)</f>
        <v>  </v>
      </c>
      <c r="M217" s="85"/>
      <c r="N217" s="86"/>
      <c r="O217" s="86"/>
      <c r="P217" s="86" t="n">
        <f aca="false">N217*O217</f>
        <v>0</v>
      </c>
      <c r="Q217" s="86"/>
      <c r="R217" s="87" t="n">
        <f aca="false">(O217*N217)+Q217</f>
        <v>0</v>
      </c>
      <c r="S217" s="91"/>
    </row>
    <row r="218" customFormat="false" ht="14.25" hidden="false" customHeight="false" outlineLevel="0" collapsed="false">
      <c r="A218" s="77"/>
      <c r="B218" s="78"/>
      <c r="C218" s="79"/>
      <c r="D218" s="79"/>
      <c r="E218" s="80" t="str">
        <f aca="false">_xlfn.IFNA(VLOOKUP(C218,'بيانات الآليات '!A:G,4,FALSE()),"")</f>
        <v/>
      </c>
      <c r="F218" s="81" t="str">
        <f aca="false">_xlfn.IFNA(VLOOKUP(C218,'بيانات الآليات '!A:G,2,FALSE()),"")</f>
        <v/>
      </c>
      <c r="G218" s="81"/>
      <c r="H218" s="81" t="str">
        <f aca="false">_xlfn.IFNA(VLOOKUP(C218,'بيانات الآليات '!A:G,5,FALSE()),"")</f>
        <v/>
      </c>
      <c r="I218" s="82"/>
      <c r="J218" s="83" t="str">
        <f aca="false">_xlfn.IFNA(VLOOKUP(I218,Table14543[],2,FALSE()),"")</f>
        <v/>
      </c>
      <c r="K218" s="84" t="str">
        <f aca="false">_xlfn.IFNA(VLOOKUP(I218,Table14543[],3,FALSE()),"")</f>
        <v/>
      </c>
      <c r="L218" s="83" t="str">
        <f aca="false">CONCATENATE("",I218,""," ",J218," ",K218)</f>
        <v>  </v>
      </c>
      <c r="M218" s="85"/>
      <c r="N218" s="86"/>
      <c r="O218" s="86"/>
      <c r="P218" s="86" t="n">
        <f aca="false">N218*O218</f>
        <v>0</v>
      </c>
      <c r="Q218" s="86"/>
      <c r="R218" s="87" t="n">
        <f aca="false">(O218*N218)+Q218</f>
        <v>0</v>
      </c>
      <c r="S218" s="91"/>
    </row>
    <row r="219" customFormat="false" ht="14.25" hidden="false" customHeight="false" outlineLevel="0" collapsed="false">
      <c r="A219" s="77"/>
      <c r="B219" s="78"/>
      <c r="C219" s="79"/>
      <c r="D219" s="79"/>
      <c r="E219" s="80" t="str">
        <f aca="false">_xlfn.IFNA(VLOOKUP(C219,'بيانات الآليات '!A:G,4,FALSE()),"")</f>
        <v/>
      </c>
      <c r="F219" s="81" t="str">
        <f aca="false">_xlfn.IFNA(VLOOKUP(C219,'بيانات الآليات '!A:G,2,FALSE()),"")</f>
        <v/>
      </c>
      <c r="G219" s="81"/>
      <c r="H219" s="81" t="str">
        <f aca="false">_xlfn.IFNA(VLOOKUP(C219,'بيانات الآليات '!A:G,5,FALSE()),"")</f>
        <v/>
      </c>
      <c r="I219" s="82"/>
      <c r="J219" s="83" t="str">
        <f aca="false">_xlfn.IFNA(VLOOKUP(I219,Table14543[],2,FALSE()),"")</f>
        <v/>
      </c>
      <c r="K219" s="84" t="str">
        <f aca="false">_xlfn.IFNA(VLOOKUP(I219,Table14543[],3,FALSE()),"")</f>
        <v/>
      </c>
      <c r="L219" s="83" t="str">
        <f aca="false">CONCATENATE("",I219,""," ",J219," ",K219)</f>
        <v>  </v>
      </c>
      <c r="M219" s="85"/>
      <c r="N219" s="86"/>
      <c r="O219" s="86"/>
      <c r="P219" s="86" t="n">
        <f aca="false">N219*O219</f>
        <v>0</v>
      </c>
      <c r="Q219" s="86"/>
      <c r="R219" s="87" t="n">
        <f aca="false">(O219*N219)+Q219</f>
        <v>0</v>
      </c>
      <c r="S219" s="91"/>
    </row>
    <row r="220" customFormat="false" ht="14.25" hidden="false" customHeight="false" outlineLevel="0" collapsed="false">
      <c r="A220" s="77"/>
      <c r="B220" s="78"/>
      <c r="C220" s="79"/>
      <c r="D220" s="79"/>
      <c r="E220" s="80" t="str">
        <f aca="false">_xlfn.IFNA(VLOOKUP(C220,'بيانات الآليات '!A:G,4,FALSE()),"")</f>
        <v/>
      </c>
      <c r="F220" s="81" t="str">
        <f aca="false">_xlfn.IFNA(VLOOKUP(C220,'بيانات الآليات '!A:G,2,FALSE()),"")</f>
        <v/>
      </c>
      <c r="G220" s="81"/>
      <c r="H220" s="81" t="str">
        <f aca="false">_xlfn.IFNA(VLOOKUP(C220,'بيانات الآليات '!A:G,5,FALSE()),"")</f>
        <v/>
      </c>
      <c r="I220" s="82"/>
      <c r="J220" s="83" t="str">
        <f aca="false">_xlfn.IFNA(VLOOKUP(I220,Table14543[],2,FALSE()),"")</f>
        <v/>
      </c>
      <c r="K220" s="84" t="str">
        <f aca="false">_xlfn.IFNA(VLOOKUP(I220,Table14543[],3,FALSE()),"")</f>
        <v/>
      </c>
      <c r="L220" s="83" t="str">
        <f aca="false">CONCATENATE("",I220,""," ",J220," ",K220)</f>
        <v>  </v>
      </c>
      <c r="M220" s="85"/>
      <c r="N220" s="86"/>
      <c r="O220" s="86"/>
      <c r="P220" s="86" t="n">
        <f aca="false">N220*O220</f>
        <v>0</v>
      </c>
      <c r="Q220" s="86"/>
      <c r="R220" s="87" t="n">
        <f aca="false">(O220*N220)+Q220</f>
        <v>0</v>
      </c>
      <c r="S220" s="91"/>
    </row>
    <row r="221" customFormat="false" ht="14.25" hidden="false" customHeight="false" outlineLevel="0" collapsed="false">
      <c r="A221" s="77"/>
      <c r="B221" s="78"/>
      <c r="C221" s="79"/>
      <c r="D221" s="79"/>
      <c r="E221" s="80" t="str">
        <f aca="false">_xlfn.IFNA(VLOOKUP(C221,'بيانات الآليات '!A:G,4,FALSE()),"")</f>
        <v/>
      </c>
      <c r="F221" s="81" t="str">
        <f aca="false">_xlfn.IFNA(VLOOKUP(C221,'بيانات الآليات '!A:G,2,FALSE()),"")</f>
        <v/>
      </c>
      <c r="G221" s="81"/>
      <c r="H221" s="81" t="str">
        <f aca="false">_xlfn.IFNA(VLOOKUP(C221,'بيانات الآليات '!A:G,5,FALSE()),"")</f>
        <v/>
      </c>
      <c r="I221" s="82"/>
      <c r="J221" s="83" t="str">
        <f aca="false">_xlfn.IFNA(VLOOKUP(I221,Table14543[],2,FALSE()),"")</f>
        <v/>
      </c>
      <c r="K221" s="84" t="str">
        <f aca="false">_xlfn.IFNA(VLOOKUP(I221,Table14543[],3,FALSE()),"")</f>
        <v/>
      </c>
      <c r="L221" s="83" t="str">
        <f aca="false">CONCATENATE("",I221,""," ",J221," ",K221)</f>
        <v>  </v>
      </c>
      <c r="M221" s="85"/>
      <c r="N221" s="86"/>
      <c r="O221" s="86"/>
      <c r="P221" s="86" t="n">
        <f aca="false">N221*O221</f>
        <v>0</v>
      </c>
      <c r="Q221" s="86"/>
      <c r="R221" s="87" t="n">
        <f aca="false">(O221*N221)+Q221</f>
        <v>0</v>
      </c>
      <c r="S221" s="91"/>
    </row>
    <row r="222" customFormat="false" ht="14.25" hidden="false" customHeight="false" outlineLevel="0" collapsed="false">
      <c r="A222" s="77"/>
      <c r="B222" s="78"/>
      <c r="C222" s="79"/>
      <c r="D222" s="79"/>
      <c r="E222" s="80" t="str">
        <f aca="false">_xlfn.IFNA(VLOOKUP(C222,'بيانات الآليات '!A:G,4,FALSE()),"")</f>
        <v/>
      </c>
      <c r="F222" s="81" t="str">
        <f aca="false">_xlfn.IFNA(VLOOKUP(C222,'بيانات الآليات '!A:G,2,FALSE()),"")</f>
        <v/>
      </c>
      <c r="G222" s="81"/>
      <c r="H222" s="81" t="str">
        <f aca="false">_xlfn.IFNA(VLOOKUP(C222,'بيانات الآليات '!A:G,5,FALSE()),"")</f>
        <v/>
      </c>
      <c r="I222" s="82"/>
      <c r="J222" s="83" t="str">
        <f aca="false">_xlfn.IFNA(VLOOKUP(I222,Table14543[],2,FALSE()),"")</f>
        <v/>
      </c>
      <c r="K222" s="84" t="str">
        <f aca="false">_xlfn.IFNA(VLOOKUP(I222,Table14543[],3,FALSE()),"")</f>
        <v/>
      </c>
      <c r="L222" s="83" t="str">
        <f aca="false">CONCATENATE("",I222,""," ",J222," ",K222)</f>
        <v>  </v>
      </c>
      <c r="M222" s="85"/>
      <c r="N222" s="86"/>
      <c r="O222" s="86"/>
      <c r="P222" s="86" t="n">
        <f aca="false">N222*O222</f>
        <v>0</v>
      </c>
      <c r="Q222" s="86"/>
      <c r="R222" s="87" t="n">
        <f aca="false">(O222*N222)+Q222</f>
        <v>0</v>
      </c>
      <c r="S222" s="91"/>
    </row>
    <row r="223" customFormat="false" ht="14.25" hidden="false" customHeight="false" outlineLevel="0" collapsed="false">
      <c r="A223" s="77"/>
      <c r="B223" s="78"/>
      <c r="C223" s="79"/>
      <c r="D223" s="79"/>
      <c r="E223" s="80" t="str">
        <f aca="false">_xlfn.IFNA(VLOOKUP(C223,'بيانات الآليات '!A:G,4,FALSE()),"")</f>
        <v/>
      </c>
      <c r="F223" s="81" t="str">
        <f aca="false">_xlfn.IFNA(VLOOKUP(C223,'بيانات الآليات '!A:G,2,FALSE()),"")</f>
        <v/>
      </c>
      <c r="G223" s="81"/>
      <c r="H223" s="81" t="str">
        <f aca="false">_xlfn.IFNA(VLOOKUP(C223,'بيانات الآليات '!A:G,5,FALSE()),"")</f>
        <v/>
      </c>
      <c r="I223" s="82"/>
      <c r="J223" s="83" t="str">
        <f aca="false">_xlfn.IFNA(VLOOKUP(I223,Table14543[],2,FALSE()),"")</f>
        <v/>
      </c>
      <c r="K223" s="84" t="str">
        <f aca="false">_xlfn.IFNA(VLOOKUP(I223,Table14543[],3,FALSE()),"")</f>
        <v/>
      </c>
      <c r="L223" s="83" t="str">
        <f aca="false">CONCATENATE("",I223,""," ",J223," ",K223)</f>
        <v>  </v>
      </c>
      <c r="M223" s="85"/>
      <c r="N223" s="86"/>
      <c r="O223" s="86"/>
      <c r="P223" s="86" t="n">
        <f aca="false">N223*O223</f>
        <v>0</v>
      </c>
      <c r="Q223" s="86"/>
      <c r="R223" s="87" t="n">
        <f aca="false">(O223*N223)+Q223</f>
        <v>0</v>
      </c>
      <c r="S223" s="91"/>
    </row>
    <row r="224" customFormat="false" ht="14.25" hidden="false" customHeight="false" outlineLevel="0" collapsed="false">
      <c r="A224" s="77"/>
      <c r="B224" s="78"/>
      <c r="C224" s="79"/>
      <c r="D224" s="79"/>
      <c r="E224" s="80" t="str">
        <f aca="false">_xlfn.IFNA(VLOOKUP(C224,'بيانات الآليات '!A:G,4,FALSE()),"")</f>
        <v/>
      </c>
      <c r="F224" s="81" t="str">
        <f aca="false">_xlfn.IFNA(VLOOKUP(C224,'بيانات الآليات '!A:G,2,FALSE()),"")</f>
        <v/>
      </c>
      <c r="G224" s="81"/>
      <c r="H224" s="81" t="str">
        <f aca="false">_xlfn.IFNA(VLOOKUP(C224,'بيانات الآليات '!A:G,5,FALSE()),"")</f>
        <v/>
      </c>
      <c r="I224" s="82"/>
      <c r="J224" s="83" t="str">
        <f aca="false">_xlfn.IFNA(VLOOKUP(I224,Table14543[],2,FALSE()),"")</f>
        <v/>
      </c>
      <c r="K224" s="84" t="str">
        <f aca="false">_xlfn.IFNA(VLOOKUP(I224,Table14543[],3,FALSE()),"")</f>
        <v/>
      </c>
      <c r="L224" s="83" t="str">
        <f aca="false">CONCATENATE("",I224,""," ",J224," ",K224)</f>
        <v>  </v>
      </c>
      <c r="M224" s="85"/>
      <c r="N224" s="86"/>
      <c r="O224" s="86"/>
      <c r="P224" s="86" t="n">
        <f aca="false">N224*O224</f>
        <v>0</v>
      </c>
      <c r="Q224" s="86"/>
      <c r="R224" s="87" t="n">
        <f aca="false">(O224*N224)+Q224</f>
        <v>0</v>
      </c>
      <c r="S224" s="91"/>
    </row>
    <row r="225" customFormat="false" ht="14.25" hidden="false" customHeight="false" outlineLevel="0" collapsed="false">
      <c r="A225" s="77"/>
      <c r="B225" s="78"/>
      <c r="C225" s="79"/>
      <c r="D225" s="79"/>
      <c r="E225" s="80" t="str">
        <f aca="false">_xlfn.IFNA(VLOOKUP(C225,'بيانات الآليات '!A:G,4,FALSE()),"")</f>
        <v/>
      </c>
      <c r="F225" s="81" t="str">
        <f aca="false">_xlfn.IFNA(VLOOKUP(C225,'بيانات الآليات '!A:G,2,FALSE()),"")</f>
        <v/>
      </c>
      <c r="G225" s="81"/>
      <c r="H225" s="81" t="str">
        <f aca="false">_xlfn.IFNA(VLOOKUP(C225,'بيانات الآليات '!A:G,5,FALSE()),"")</f>
        <v/>
      </c>
      <c r="I225" s="82"/>
      <c r="J225" s="83" t="str">
        <f aca="false">_xlfn.IFNA(VLOOKUP(I225,Table14543[],2,FALSE()),"")</f>
        <v/>
      </c>
      <c r="K225" s="84" t="str">
        <f aca="false">_xlfn.IFNA(VLOOKUP(I225,Table14543[],3,FALSE()),"")</f>
        <v/>
      </c>
      <c r="L225" s="83" t="str">
        <f aca="false">CONCATENATE("",I225,""," ",J225," ",K225)</f>
        <v>  </v>
      </c>
      <c r="M225" s="85"/>
      <c r="N225" s="86"/>
      <c r="O225" s="86"/>
      <c r="P225" s="86" t="n">
        <f aca="false">N225*O225</f>
        <v>0</v>
      </c>
      <c r="Q225" s="86"/>
      <c r="R225" s="87" t="n">
        <f aca="false">(O225*N225)+Q225</f>
        <v>0</v>
      </c>
      <c r="S225" s="91"/>
    </row>
    <row r="226" customFormat="false" ht="14.25" hidden="false" customHeight="false" outlineLevel="0" collapsed="false">
      <c r="A226" s="77"/>
      <c r="B226" s="78"/>
      <c r="C226" s="79"/>
      <c r="D226" s="79"/>
      <c r="E226" s="80" t="str">
        <f aca="false">_xlfn.IFNA(VLOOKUP(C226,'بيانات الآليات '!A:G,4,FALSE()),"")</f>
        <v/>
      </c>
      <c r="F226" s="81" t="str">
        <f aca="false">_xlfn.IFNA(VLOOKUP(C226,'بيانات الآليات '!A:G,2,FALSE()),"")</f>
        <v/>
      </c>
      <c r="G226" s="81"/>
      <c r="H226" s="81" t="str">
        <f aca="false">_xlfn.IFNA(VLOOKUP(C226,'بيانات الآليات '!A:G,5,FALSE()),"")</f>
        <v/>
      </c>
      <c r="I226" s="82"/>
      <c r="J226" s="83" t="str">
        <f aca="false">_xlfn.IFNA(VLOOKUP(I226,Table14543[],2,FALSE()),"")</f>
        <v/>
      </c>
      <c r="K226" s="84" t="str">
        <f aca="false">_xlfn.IFNA(VLOOKUP(I226,Table14543[],3,FALSE()),"")</f>
        <v/>
      </c>
      <c r="L226" s="83" t="str">
        <f aca="false">CONCATENATE("",I226,""," ",J226," ",K226)</f>
        <v>  </v>
      </c>
      <c r="M226" s="85"/>
      <c r="N226" s="86"/>
      <c r="O226" s="86"/>
      <c r="P226" s="86" t="n">
        <f aca="false">N226*O226</f>
        <v>0</v>
      </c>
      <c r="Q226" s="86"/>
      <c r="R226" s="87" t="n">
        <f aca="false">(O226*N226)+Q226</f>
        <v>0</v>
      </c>
      <c r="S226" s="91"/>
    </row>
    <row r="227" customFormat="false" ht="14.25" hidden="false" customHeight="false" outlineLevel="0" collapsed="false">
      <c r="A227" s="77"/>
      <c r="B227" s="78"/>
      <c r="C227" s="79"/>
      <c r="D227" s="79"/>
      <c r="E227" s="80" t="str">
        <f aca="false">_xlfn.IFNA(VLOOKUP(C227,'بيانات الآليات '!A:G,4,FALSE()),"")</f>
        <v/>
      </c>
      <c r="F227" s="81" t="str">
        <f aca="false">_xlfn.IFNA(VLOOKUP(C227,'بيانات الآليات '!A:G,2,FALSE()),"")</f>
        <v/>
      </c>
      <c r="G227" s="81"/>
      <c r="H227" s="81" t="str">
        <f aca="false">_xlfn.IFNA(VLOOKUP(C227,'بيانات الآليات '!A:G,5,FALSE()),"")</f>
        <v/>
      </c>
      <c r="I227" s="82"/>
      <c r="J227" s="83" t="str">
        <f aca="false">_xlfn.IFNA(VLOOKUP(I227,Table14543[],2,FALSE()),"")</f>
        <v/>
      </c>
      <c r="K227" s="84" t="str">
        <f aca="false">_xlfn.IFNA(VLOOKUP(I227,Table14543[],3,FALSE()),"")</f>
        <v/>
      </c>
      <c r="L227" s="83" t="str">
        <f aca="false">CONCATENATE("",I227,""," ",J227," ",K227)</f>
        <v>  </v>
      </c>
      <c r="M227" s="85"/>
      <c r="N227" s="86"/>
      <c r="O227" s="86"/>
      <c r="P227" s="86" t="n">
        <f aca="false">N227*O227</f>
        <v>0</v>
      </c>
      <c r="Q227" s="86"/>
      <c r="R227" s="87" t="n">
        <f aca="false">(O227*N227)+Q227</f>
        <v>0</v>
      </c>
      <c r="S227" s="91"/>
    </row>
    <row r="228" customFormat="false" ht="14.25" hidden="false" customHeight="false" outlineLevel="0" collapsed="false">
      <c r="A228" s="77"/>
      <c r="B228" s="78"/>
      <c r="C228" s="79"/>
      <c r="D228" s="79"/>
      <c r="E228" s="80" t="str">
        <f aca="false">_xlfn.IFNA(VLOOKUP(C228,'بيانات الآليات '!A:G,4,FALSE()),"")</f>
        <v/>
      </c>
      <c r="F228" s="81" t="str">
        <f aca="false">_xlfn.IFNA(VLOOKUP(C228,'بيانات الآليات '!A:G,2,FALSE()),"")</f>
        <v/>
      </c>
      <c r="G228" s="81"/>
      <c r="H228" s="81" t="str">
        <f aca="false">_xlfn.IFNA(VLOOKUP(C228,'بيانات الآليات '!A:G,5,FALSE()),"")</f>
        <v/>
      </c>
      <c r="I228" s="82"/>
      <c r="J228" s="83" t="str">
        <f aca="false">_xlfn.IFNA(VLOOKUP(I228,Table14543[],2,FALSE()),"")</f>
        <v/>
      </c>
      <c r="K228" s="84" t="str">
        <f aca="false">_xlfn.IFNA(VLOOKUP(I228,Table14543[],3,FALSE()),"")</f>
        <v/>
      </c>
      <c r="L228" s="83" t="str">
        <f aca="false">CONCATENATE("",I228,""," ",J228," ",K228)</f>
        <v>  </v>
      </c>
      <c r="M228" s="85"/>
      <c r="N228" s="86"/>
      <c r="O228" s="86"/>
      <c r="P228" s="86" t="n">
        <f aca="false">N228*O228</f>
        <v>0</v>
      </c>
      <c r="Q228" s="86"/>
      <c r="R228" s="87" t="n">
        <f aca="false">(O228*N228)+Q228</f>
        <v>0</v>
      </c>
      <c r="S228" s="91"/>
    </row>
    <row r="229" customFormat="false" ht="14.25" hidden="false" customHeight="false" outlineLevel="0" collapsed="false">
      <c r="A229" s="77"/>
      <c r="B229" s="78"/>
      <c r="C229" s="79"/>
      <c r="D229" s="79"/>
      <c r="E229" s="80" t="str">
        <f aca="false">_xlfn.IFNA(VLOOKUP(C229,'بيانات الآليات '!A:G,4,FALSE()),"")</f>
        <v/>
      </c>
      <c r="F229" s="81" t="str">
        <f aca="false">_xlfn.IFNA(VLOOKUP(C229,'بيانات الآليات '!A:G,2,FALSE()),"")</f>
        <v/>
      </c>
      <c r="G229" s="81"/>
      <c r="H229" s="81" t="str">
        <f aca="false">_xlfn.IFNA(VLOOKUP(C229,'بيانات الآليات '!A:G,5,FALSE()),"")</f>
        <v/>
      </c>
      <c r="I229" s="82"/>
      <c r="J229" s="83" t="str">
        <f aca="false">_xlfn.IFNA(VLOOKUP(I229,Table14543[],2,FALSE()),"")</f>
        <v/>
      </c>
      <c r="K229" s="84" t="str">
        <f aca="false">_xlfn.IFNA(VLOOKUP(I229,Table14543[],3,FALSE()),"")</f>
        <v/>
      </c>
      <c r="L229" s="83" t="str">
        <f aca="false">CONCATENATE("",I229,""," ",J229," ",K229)</f>
        <v>  </v>
      </c>
      <c r="M229" s="85"/>
      <c r="N229" s="86"/>
      <c r="O229" s="86"/>
      <c r="P229" s="86" t="n">
        <f aca="false">N229*O229</f>
        <v>0</v>
      </c>
      <c r="Q229" s="86"/>
      <c r="R229" s="87" t="n">
        <f aca="false">(O229*N229)+Q229</f>
        <v>0</v>
      </c>
      <c r="S229" s="91"/>
    </row>
    <row r="230" customFormat="false" ht="14.25" hidden="false" customHeight="false" outlineLevel="0" collapsed="false">
      <c r="A230" s="77"/>
      <c r="B230" s="78"/>
      <c r="C230" s="79"/>
      <c r="D230" s="79"/>
      <c r="E230" s="80" t="str">
        <f aca="false">_xlfn.IFNA(VLOOKUP(C230,'بيانات الآليات '!A:G,4,FALSE()),"")</f>
        <v/>
      </c>
      <c r="F230" s="81" t="str">
        <f aca="false">_xlfn.IFNA(VLOOKUP(C230,'بيانات الآليات '!A:G,2,FALSE()),"")</f>
        <v/>
      </c>
      <c r="G230" s="81"/>
      <c r="H230" s="81" t="str">
        <f aca="false">_xlfn.IFNA(VLOOKUP(C230,'بيانات الآليات '!A:G,5,FALSE()),"")</f>
        <v/>
      </c>
      <c r="I230" s="82"/>
      <c r="J230" s="83" t="str">
        <f aca="false">_xlfn.IFNA(VLOOKUP(I230,Table14543[],2,FALSE()),"")</f>
        <v/>
      </c>
      <c r="K230" s="84" t="str">
        <f aca="false">_xlfn.IFNA(VLOOKUP(I230,Table14543[],3,FALSE()),"")</f>
        <v/>
      </c>
      <c r="L230" s="83" t="str">
        <f aca="false">CONCATENATE("",I230,""," ",J230," ",K230)</f>
        <v>  </v>
      </c>
      <c r="M230" s="85"/>
      <c r="N230" s="86"/>
      <c r="O230" s="86"/>
      <c r="P230" s="86" t="n">
        <f aca="false">N230*O230</f>
        <v>0</v>
      </c>
      <c r="Q230" s="86"/>
      <c r="R230" s="87" t="n">
        <f aca="false">(O230*N230)+Q230</f>
        <v>0</v>
      </c>
      <c r="S230" s="91"/>
    </row>
    <row r="231" customFormat="false" ht="14.25" hidden="false" customHeight="false" outlineLevel="0" collapsed="false">
      <c r="A231" s="77"/>
      <c r="B231" s="78"/>
      <c r="C231" s="79"/>
      <c r="D231" s="79"/>
      <c r="E231" s="80" t="str">
        <f aca="false">_xlfn.IFNA(VLOOKUP(C231,'بيانات الآليات '!A:G,4,FALSE()),"")</f>
        <v/>
      </c>
      <c r="F231" s="81" t="str">
        <f aca="false">_xlfn.IFNA(VLOOKUP(C231,'بيانات الآليات '!A:G,2,FALSE()),"")</f>
        <v/>
      </c>
      <c r="G231" s="81"/>
      <c r="H231" s="81" t="str">
        <f aca="false">_xlfn.IFNA(VLOOKUP(C231,'بيانات الآليات '!A:G,5,FALSE()),"")</f>
        <v/>
      </c>
      <c r="I231" s="82"/>
      <c r="J231" s="83" t="str">
        <f aca="false">_xlfn.IFNA(VLOOKUP(I231,Table14543[],2,FALSE()),"")</f>
        <v/>
      </c>
      <c r="K231" s="84" t="str">
        <f aca="false">_xlfn.IFNA(VLOOKUP(I231,Table14543[],3,FALSE()),"")</f>
        <v/>
      </c>
      <c r="L231" s="83" t="str">
        <f aca="false">CONCATENATE("",I231,""," ",J231," ",K231)</f>
        <v>  </v>
      </c>
      <c r="M231" s="85"/>
      <c r="N231" s="86"/>
      <c r="O231" s="86"/>
      <c r="P231" s="86" t="n">
        <f aca="false">N231*O231</f>
        <v>0</v>
      </c>
      <c r="Q231" s="86"/>
      <c r="R231" s="87" t="n">
        <f aca="false">(O231*N231)+Q231</f>
        <v>0</v>
      </c>
      <c r="S231" s="91"/>
    </row>
    <row r="232" customFormat="false" ht="14.25" hidden="false" customHeight="false" outlineLevel="0" collapsed="false">
      <c r="A232" s="77"/>
      <c r="B232" s="78"/>
      <c r="C232" s="79"/>
      <c r="D232" s="79"/>
      <c r="E232" s="80" t="str">
        <f aca="false">_xlfn.IFNA(VLOOKUP(C232,'بيانات الآليات '!A:G,4,FALSE()),"")</f>
        <v/>
      </c>
      <c r="F232" s="81" t="str">
        <f aca="false">_xlfn.IFNA(VLOOKUP(C232,'بيانات الآليات '!A:G,2,FALSE()),"")</f>
        <v/>
      </c>
      <c r="G232" s="81"/>
      <c r="H232" s="81" t="str">
        <f aca="false">_xlfn.IFNA(VLOOKUP(C232,'بيانات الآليات '!A:G,5,FALSE()),"")</f>
        <v/>
      </c>
      <c r="I232" s="82"/>
      <c r="J232" s="83" t="str">
        <f aca="false">_xlfn.IFNA(VLOOKUP(I232,Table14543[],2,FALSE()),"")</f>
        <v/>
      </c>
      <c r="K232" s="84" t="str">
        <f aca="false">_xlfn.IFNA(VLOOKUP(I232,Table14543[],3,FALSE()),"")</f>
        <v/>
      </c>
      <c r="L232" s="83" t="str">
        <f aca="false">CONCATENATE("",I232,""," ",J232," ",K232)</f>
        <v>  </v>
      </c>
      <c r="M232" s="85"/>
      <c r="N232" s="86"/>
      <c r="O232" s="86"/>
      <c r="P232" s="86" t="n">
        <f aca="false">N232*O232</f>
        <v>0</v>
      </c>
      <c r="Q232" s="86"/>
      <c r="R232" s="87" t="n">
        <f aca="false">(O232*N232)+Q232</f>
        <v>0</v>
      </c>
      <c r="S232" s="91"/>
    </row>
    <row r="233" customFormat="false" ht="14.25" hidden="false" customHeight="false" outlineLevel="0" collapsed="false">
      <c r="A233" s="77"/>
      <c r="B233" s="78"/>
      <c r="C233" s="79"/>
      <c r="D233" s="79"/>
      <c r="E233" s="80" t="str">
        <f aca="false">_xlfn.IFNA(VLOOKUP(C233,'بيانات الآليات '!A:G,4,FALSE()),"")</f>
        <v/>
      </c>
      <c r="F233" s="81" t="str">
        <f aca="false">_xlfn.IFNA(VLOOKUP(C233,'بيانات الآليات '!A:G,2,FALSE()),"")</f>
        <v/>
      </c>
      <c r="G233" s="81"/>
      <c r="H233" s="81" t="str">
        <f aca="false">_xlfn.IFNA(VLOOKUP(C233,'بيانات الآليات '!A:G,5,FALSE()),"")</f>
        <v/>
      </c>
      <c r="I233" s="82"/>
      <c r="J233" s="83" t="str">
        <f aca="false">_xlfn.IFNA(VLOOKUP(I233,Table14543[],2,FALSE()),"")</f>
        <v/>
      </c>
      <c r="K233" s="84" t="str">
        <f aca="false">_xlfn.IFNA(VLOOKUP(I233,Table14543[],3,FALSE()),"")</f>
        <v/>
      </c>
      <c r="L233" s="83" t="str">
        <f aca="false">CONCATENATE("",I233,""," ",J233," ",K233)</f>
        <v>  </v>
      </c>
      <c r="M233" s="85"/>
      <c r="N233" s="86"/>
      <c r="O233" s="86"/>
      <c r="P233" s="86" t="n">
        <f aca="false">N233*O233</f>
        <v>0</v>
      </c>
      <c r="Q233" s="86"/>
      <c r="R233" s="87" t="n">
        <f aca="false">(O233*N233)+Q233</f>
        <v>0</v>
      </c>
      <c r="S233" s="91"/>
    </row>
    <row r="234" customFormat="false" ht="14.25" hidden="false" customHeight="false" outlineLevel="0" collapsed="false">
      <c r="A234" s="77"/>
      <c r="B234" s="78"/>
      <c r="C234" s="79"/>
      <c r="D234" s="79"/>
      <c r="E234" s="80" t="str">
        <f aca="false">_xlfn.IFNA(VLOOKUP(C234,'بيانات الآليات '!A:G,4,FALSE()),"")</f>
        <v/>
      </c>
      <c r="F234" s="81" t="str">
        <f aca="false">_xlfn.IFNA(VLOOKUP(C234,'بيانات الآليات '!A:G,2,FALSE()),"")</f>
        <v/>
      </c>
      <c r="G234" s="81"/>
      <c r="H234" s="81" t="str">
        <f aca="false">_xlfn.IFNA(VLOOKUP(C234,'بيانات الآليات '!A:G,5,FALSE()),"")</f>
        <v/>
      </c>
      <c r="I234" s="82"/>
      <c r="J234" s="83" t="str">
        <f aca="false">_xlfn.IFNA(VLOOKUP(I234,Table14543[],2,FALSE()),"")</f>
        <v/>
      </c>
      <c r="K234" s="84" t="str">
        <f aca="false">_xlfn.IFNA(VLOOKUP(I234,Table14543[],3,FALSE()),"")</f>
        <v/>
      </c>
      <c r="L234" s="83" t="str">
        <f aca="false">CONCATENATE("",I234,""," ",J234," ",K234)</f>
        <v>  </v>
      </c>
      <c r="M234" s="85"/>
      <c r="N234" s="86"/>
      <c r="O234" s="86"/>
      <c r="P234" s="86" t="n">
        <f aca="false">N234*O234</f>
        <v>0</v>
      </c>
      <c r="Q234" s="86"/>
      <c r="R234" s="87" t="n">
        <f aca="false">(O234*N234)+Q234</f>
        <v>0</v>
      </c>
      <c r="S234" s="91"/>
    </row>
    <row r="235" customFormat="false" ht="14.25" hidden="false" customHeight="false" outlineLevel="0" collapsed="false">
      <c r="A235" s="77"/>
      <c r="B235" s="78"/>
      <c r="C235" s="79"/>
      <c r="D235" s="79"/>
      <c r="E235" s="80" t="str">
        <f aca="false">_xlfn.IFNA(VLOOKUP(C235,'بيانات الآليات '!A:G,4,FALSE()),"")</f>
        <v/>
      </c>
      <c r="F235" s="81" t="str">
        <f aca="false">_xlfn.IFNA(VLOOKUP(C235,'بيانات الآليات '!A:G,2,FALSE()),"")</f>
        <v/>
      </c>
      <c r="G235" s="81"/>
      <c r="H235" s="81" t="str">
        <f aca="false">_xlfn.IFNA(VLOOKUP(C235,'بيانات الآليات '!A:G,5,FALSE()),"")</f>
        <v/>
      </c>
      <c r="I235" s="82"/>
      <c r="J235" s="83" t="str">
        <f aca="false">_xlfn.IFNA(VLOOKUP(I235,Table14543[],2,FALSE()),"")</f>
        <v/>
      </c>
      <c r="K235" s="84" t="str">
        <f aca="false">_xlfn.IFNA(VLOOKUP(I235,Table14543[],3,FALSE()),"")</f>
        <v/>
      </c>
      <c r="L235" s="83" t="str">
        <f aca="false">CONCATENATE("",I235,""," ",J235," ",K235)</f>
        <v>  </v>
      </c>
      <c r="M235" s="85"/>
      <c r="N235" s="86"/>
      <c r="O235" s="86"/>
      <c r="P235" s="86" t="n">
        <f aca="false">N235*O235</f>
        <v>0</v>
      </c>
      <c r="Q235" s="86"/>
      <c r="R235" s="87" t="n">
        <f aca="false">(O235*N235)+Q235</f>
        <v>0</v>
      </c>
      <c r="S235" s="91"/>
    </row>
    <row r="236" customFormat="false" ht="14.25" hidden="false" customHeight="false" outlineLevel="0" collapsed="false">
      <c r="A236" s="77"/>
      <c r="B236" s="78"/>
      <c r="C236" s="79"/>
      <c r="D236" s="79"/>
      <c r="E236" s="80" t="str">
        <f aca="false">_xlfn.IFNA(VLOOKUP(C236,'بيانات الآليات '!A:G,4,FALSE()),"")</f>
        <v/>
      </c>
      <c r="F236" s="81" t="str">
        <f aca="false">_xlfn.IFNA(VLOOKUP(C236,'بيانات الآليات '!A:G,2,FALSE()),"")</f>
        <v/>
      </c>
      <c r="G236" s="81"/>
      <c r="H236" s="81" t="str">
        <f aca="false">_xlfn.IFNA(VLOOKUP(C236,'بيانات الآليات '!A:G,5,FALSE()),"")</f>
        <v/>
      </c>
      <c r="I236" s="82"/>
      <c r="J236" s="83" t="str">
        <f aca="false">_xlfn.IFNA(VLOOKUP(I236,Table14543[],2,FALSE()),"")</f>
        <v/>
      </c>
      <c r="K236" s="84" t="str">
        <f aca="false">_xlfn.IFNA(VLOOKUP(I236,Table14543[],3,FALSE()),"")</f>
        <v/>
      </c>
      <c r="L236" s="83" t="str">
        <f aca="false">CONCATENATE("",I236,""," ",J236," ",K236)</f>
        <v>  </v>
      </c>
      <c r="M236" s="85"/>
      <c r="N236" s="86"/>
      <c r="O236" s="86"/>
      <c r="P236" s="86" t="n">
        <f aca="false">N236*O236</f>
        <v>0</v>
      </c>
      <c r="Q236" s="86"/>
      <c r="R236" s="87" t="n">
        <f aca="false">(O236*N236)+Q236</f>
        <v>0</v>
      </c>
      <c r="S236" s="91"/>
    </row>
    <row r="237" customFormat="false" ht="14.25" hidden="false" customHeight="false" outlineLevel="0" collapsed="false">
      <c r="A237" s="77"/>
      <c r="B237" s="78"/>
      <c r="C237" s="79"/>
      <c r="D237" s="79"/>
      <c r="E237" s="80" t="str">
        <f aca="false">_xlfn.IFNA(VLOOKUP(C237,'بيانات الآليات '!A:G,4,FALSE()),"")</f>
        <v/>
      </c>
      <c r="F237" s="81" t="str">
        <f aca="false">_xlfn.IFNA(VLOOKUP(C237,'بيانات الآليات '!A:G,2,FALSE()),"")</f>
        <v/>
      </c>
      <c r="G237" s="81"/>
      <c r="H237" s="81" t="str">
        <f aca="false">_xlfn.IFNA(VLOOKUP(C237,'بيانات الآليات '!A:G,5,FALSE()),"")</f>
        <v/>
      </c>
      <c r="I237" s="82"/>
      <c r="J237" s="83" t="str">
        <f aca="false">_xlfn.IFNA(VLOOKUP(I237,Table14543[],2,FALSE()),"")</f>
        <v/>
      </c>
      <c r="K237" s="84" t="str">
        <f aca="false">_xlfn.IFNA(VLOOKUP(I237,Table14543[],3,FALSE()),"")</f>
        <v/>
      </c>
      <c r="L237" s="83" t="str">
        <f aca="false">CONCATENATE("",I237,""," ",J237," ",K237)</f>
        <v>  </v>
      </c>
      <c r="M237" s="85"/>
      <c r="N237" s="86"/>
      <c r="O237" s="86"/>
      <c r="P237" s="86" t="n">
        <f aca="false">N237*O237</f>
        <v>0</v>
      </c>
      <c r="Q237" s="86"/>
      <c r="R237" s="87" t="n">
        <f aca="false">(O237*N237)+Q237</f>
        <v>0</v>
      </c>
      <c r="S237" s="91"/>
    </row>
    <row r="238" customFormat="false" ht="14.25" hidden="false" customHeight="false" outlineLevel="0" collapsed="false">
      <c r="A238" s="77"/>
      <c r="B238" s="78"/>
      <c r="C238" s="79"/>
      <c r="D238" s="79"/>
      <c r="E238" s="80" t="str">
        <f aca="false">_xlfn.IFNA(VLOOKUP(C238,'بيانات الآليات '!A:G,4,FALSE()),"")</f>
        <v/>
      </c>
      <c r="F238" s="81" t="str">
        <f aca="false">_xlfn.IFNA(VLOOKUP(C238,'بيانات الآليات '!A:G,2,FALSE()),"")</f>
        <v/>
      </c>
      <c r="G238" s="81"/>
      <c r="H238" s="81" t="str">
        <f aca="false">_xlfn.IFNA(VLOOKUP(C238,'بيانات الآليات '!A:G,5,FALSE()),"")</f>
        <v/>
      </c>
      <c r="I238" s="82"/>
      <c r="J238" s="83" t="str">
        <f aca="false">_xlfn.IFNA(VLOOKUP(I238,Table14543[],2,FALSE()),"")</f>
        <v/>
      </c>
      <c r="K238" s="84" t="str">
        <f aca="false">_xlfn.IFNA(VLOOKUP(I238,Table14543[],3,FALSE()),"")</f>
        <v/>
      </c>
      <c r="L238" s="83" t="str">
        <f aca="false">CONCATENATE("",I238,""," ",J238," ",K238)</f>
        <v>  </v>
      </c>
      <c r="M238" s="85"/>
      <c r="N238" s="86"/>
      <c r="O238" s="86"/>
      <c r="P238" s="86" t="n">
        <f aca="false">N238*O238</f>
        <v>0</v>
      </c>
      <c r="Q238" s="86"/>
      <c r="R238" s="87" t="n">
        <f aca="false">(O238*N238)+Q238</f>
        <v>0</v>
      </c>
      <c r="S238" s="91"/>
    </row>
    <row r="239" customFormat="false" ht="14.25" hidden="false" customHeight="false" outlineLevel="0" collapsed="false">
      <c r="A239" s="77"/>
      <c r="B239" s="78"/>
      <c r="C239" s="79"/>
      <c r="D239" s="79"/>
      <c r="E239" s="80" t="str">
        <f aca="false">_xlfn.IFNA(VLOOKUP(C239,'بيانات الآليات '!A:G,4,FALSE()),"")</f>
        <v/>
      </c>
      <c r="F239" s="81" t="str">
        <f aca="false">_xlfn.IFNA(VLOOKUP(C239,'بيانات الآليات '!A:G,2,FALSE()),"")</f>
        <v/>
      </c>
      <c r="G239" s="81"/>
      <c r="H239" s="81" t="str">
        <f aca="false">_xlfn.IFNA(VLOOKUP(C239,'بيانات الآليات '!A:G,5,FALSE()),"")</f>
        <v/>
      </c>
      <c r="I239" s="82"/>
      <c r="J239" s="83" t="str">
        <f aca="false">_xlfn.IFNA(VLOOKUP(I239,Table14543[],2,FALSE()),"")</f>
        <v/>
      </c>
      <c r="K239" s="84" t="str">
        <f aca="false">_xlfn.IFNA(VLOOKUP(I239,Table14543[],3,FALSE()),"")</f>
        <v/>
      </c>
      <c r="L239" s="83" t="str">
        <f aca="false">CONCATENATE("",I239,""," ",J239," ",K239)</f>
        <v>  </v>
      </c>
      <c r="M239" s="85"/>
      <c r="N239" s="86"/>
      <c r="O239" s="86"/>
      <c r="P239" s="86" t="n">
        <f aca="false">N239*O239</f>
        <v>0</v>
      </c>
      <c r="Q239" s="86"/>
      <c r="R239" s="87" t="n">
        <f aca="false">(O239*N239)+Q239</f>
        <v>0</v>
      </c>
      <c r="S239" s="91"/>
    </row>
    <row r="240" customFormat="false" ht="14.25" hidden="false" customHeight="false" outlineLevel="0" collapsed="false">
      <c r="A240" s="77"/>
      <c r="B240" s="78"/>
      <c r="C240" s="79"/>
      <c r="D240" s="79"/>
      <c r="E240" s="80" t="str">
        <f aca="false">_xlfn.IFNA(VLOOKUP(C240,'بيانات الآليات '!A:G,4,FALSE()),"")</f>
        <v/>
      </c>
      <c r="F240" s="81" t="str">
        <f aca="false">_xlfn.IFNA(VLOOKUP(C240,'بيانات الآليات '!A:G,2,FALSE()),"")</f>
        <v/>
      </c>
      <c r="G240" s="81"/>
      <c r="H240" s="81" t="str">
        <f aca="false">_xlfn.IFNA(VLOOKUP(C240,'بيانات الآليات '!A:G,5,FALSE()),"")</f>
        <v/>
      </c>
      <c r="I240" s="82"/>
      <c r="J240" s="83" t="str">
        <f aca="false">_xlfn.IFNA(VLOOKUP(I240,Table14543[],2,FALSE()),"")</f>
        <v/>
      </c>
      <c r="K240" s="84" t="str">
        <f aca="false">_xlfn.IFNA(VLOOKUP(I240,Table14543[],3,FALSE()),"")</f>
        <v/>
      </c>
      <c r="L240" s="83" t="str">
        <f aca="false">CONCATENATE("",I240,""," ",J240," ",K240)</f>
        <v>  </v>
      </c>
      <c r="M240" s="85"/>
      <c r="N240" s="86"/>
      <c r="O240" s="86"/>
      <c r="P240" s="86" t="n">
        <f aca="false">N240*O240</f>
        <v>0</v>
      </c>
      <c r="Q240" s="86"/>
      <c r="R240" s="87" t="n">
        <f aca="false">(O240*N240)+Q240</f>
        <v>0</v>
      </c>
      <c r="S240" s="91"/>
    </row>
    <row r="241" customFormat="false" ht="14.25" hidden="false" customHeight="false" outlineLevel="0" collapsed="false">
      <c r="A241" s="77"/>
      <c r="B241" s="78"/>
      <c r="C241" s="79"/>
      <c r="D241" s="79"/>
      <c r="E241" s="80" t="str">
        <f aca="false">_xlfn.IFNA(VLOOKUP(C241,'بيانات الآليات '!A:G,4,FALSE()),"")</f>
        <v/>
      </c>
      <c r="F241" s="81" t="str">
        <f aca="false">_xlfn.IFNA(VLOOKUP(C241,'بيانات الآليات '!A:G,2,FALSE()),"")</f>
        <v/>
      </c>
      <c r="G241" s="81"/>
      <c r="H241" s="81" t="str">
        <f aca="false">_xlfn.IFNA(VLOOKUP(C241,'بيانات الآليات '!A:G,5,FALSE()),"")</f>
        <v/>
      </c>
      <c r="I241" s="82"/>
      <c r="J241" s="83" t="str">
        <f aca="false">_xlfn.IFNA(VLOOKUP(I241,Table14543[],2,FALSE()),"")</f>
        <v/>
      </c>
      <c r="K241" s="84" t="str">
        <f aca="false">_xlfn.IFNA(VLOOKUP(I241,Table14543[],3,FALSE()),"")</f>
        <v/>
      </c>
      <c r="L241" s="83" t="str">
        <f aca="false">CONCATENATE("",I241,""," ",J241," ",K241)</f>
        <v>  </v>
      </c>
      <c r="M241" s="85"/>
      <c r="N241" s="86"/>
      <c r="O241" s="86"/>
      <c r="P241" s="86" t="n">
        <f aca="false">N241*O241</f>
        <v>0</v>
      </c>
      <c r="Q241" s="86"/>
      <c r="R241" s="87" t="n">
        <f aca="false">(O241*N241)+Q241</f>
        <v>0</v>
      </c>
      <c r="S241" s="91"/>
    </row>
    <row r="242" customFormat="false" ht="14.25" hidden="false" customHeight="false" outlineLevel="0" collapsed="false">
      <c r="A242" s="77"/>
      <c r="B242" s="78"/>
      <c r="C242" s="79"/>
      <c r="D242" s="79"/>
      <c r="E242" s="80" t="str">
        <f aca="false">_xlfn.IFNA(VLOOKUP(C242,'بيانات الآليات '!A:G,4,FALSE()),"")</f>
        <v/>
      </c>
      <c r="F242" s="81" t="str">
        <f aca="false">_xlfn.IFNA(VLOOKUP(C242,'بيانات الآليات '!A:G,2,FALSE()),"")</f>
        <v/>
      </c>
      <c r="G242" s="81"/>
      <c r="H242" s="81" t="str">
        <f aca="false">_xlfn.IFNA(VLOOKUP(C242,'بيانات الآليات '!A:G,5,FALSE()),"")</f>
        <v/>
      </c>
      <c r="I242" s="82"/>
      <c r="J242" s="83" t="str">
        <f aca="false">_xlfn.IFNA(VLOOKUP(I242,Table14543[],2,FALSE()),"")</f>
        <v/>
      </c>
      <c r="K242" s="84" t="str">
        <f aca="false">_xlfn.IFNA(VLOOKUP(I242,Table14543[],3,FALSE()),"")</f>
        <v/>
      </c>
      <c r="L242" s="83" t="str">
        <f aca="false">CONCATENATE("",I242,""," ",J242," ",K242)</f>
        <v>  </v>
      </c>
      <c r="M242" s="85"/>
      <c r="N242" s="86"/>
      <c r="O242" s="86"/>
      <c r="P242" s="86" t="n">
        <f aca="false">N242*O242</f>
        <v>0</v>
      </c>
      <c r="Q242" s="86"/>
      <c r="R242" s="87" t="n">
        <f aca="false">(O242*N242)+Q242</f>
        <v>0</v>
      </c>
      <c r="S242" s="91"/>
    </row>
    <row r="243" customFormat="false" ht="14.25" hidden="false" customHeight="false" outlineLevel="0" collapsed="false">
      <c r="A243" s="77"/>
      <c r="B243" s="78"/>
      <c r="C243" s="79"/>
      <c r="D243" s="79"/>
      <c r="E243" s="80" t="str">
        <f aca="false">_xlfn.IFNA(VLOOKUP(C243,'بيانات الآليات '!A:G,4,FALSE()),"")</f>
        <v/>
      </c>
      <c r="F243" s="81" t="str">
        <f aca="false">_xlfn.IFNA(VLOOKUP(C243,'بيانات الآليات '!A:G,2,FALSE()),"")</f>
        <v/>
      </c>
      <c r="G243" s="81"/>
      <c r="H243" s="81" t="str">
        <f aca="false">_xlfn.IFNA(VLOOKUP(C243,'بيانات الآليات '!A:G,5,FALSE()),"")</f>
        <v/>
      </c>
      <c r="I243" s="82"/>
      <c r="J243" s="83" t="str">
        <f aca="false">_xlfn.IFNA(VLOOKUP(I243,Table14543[],2,FALSE()),"")</f>
        <v/>
      </c>
      <c r="K243" s="84" t="str">
        <f aca="false">_xlfn.IFNA(VLOOKUP(I243,Table14543[],3,FALSE()),"")</f>
        <v/>
      </c>
      <c r="L243" s="83" t="str">
        <f aca="false">CONCATENATE("",I243,""," ",J243," ",K243)</f>
        <v>  </v>
      </c>
      <c r="M243" s="85"/>
      <c r="N243" s="86"/>
      <c r="O243" s="86"/>
      <c r="P243" s="86" t="n">
        <f aca="false">N243*O243</f>
        <v>0</v>
      </c>
      <c r="Q243" s="86"/>
      <c r="R243" s="87" t="n">
        <f aca="false">(O243*N243)+Q243</f>
        <v>0</v>
      </c>
      <c r="S243" s="91"/>
    </row>
    <row r="244" customFormat="false" ht="14.25" hidden="false" customHeight="false" outlineLevel="0" collapsed="false">
      <c r="A244" s="77"/>
      <c r="B244" s="78"/>
      <c r="C244" s="79"/>
      <c r="D244" s="79"/>
      <c r="E244" s="80" t="str">
        <f aca="false">_xlfn.IFNA(VLOOKUP(C244,'بيانات الآليات '!A:G,4,FALSE()),"")</f>
        <v/>
      </c>
      <c r="F244" s="81" t="str">
        <f aca="false">_xlfn.IFNA(VLOOKUP(C244,'بيانات الآليات '!A:G,2,FALSE()),"")</f>
        <v/>
      </c>
      <c r="G244" s="81"/>
      <c r="H244" s="81" t="str">
        <f aca="false">_xlfn.IFNA(VLOOKUP(C244,'بيانات الآليات '!A:G,5,FALSE()),"")</f>
        <v/>
      </c>
      <c r="I244" s="82"/>
      <c r="J244" s="83" t="str">
        <f aca="false">_xlfn.IFNA(VLOOKUP(I244,Table14543[],2,FALSE()),"")</f>
        <v/>
      </c>
      <c r="K244" s="84" t="str">
        <f aca="false">_xlfn.IFNA(VLOOKUP(I244,Table14543[],3,FALSE()),"")</f>
        <v/>
      </c>
      <c r="L244" s="83" t="str">
        <f aca="false">CONCATENATE("",I244,""," ",J244," ",K244)</f>
        <v>  </v>
      </c>
      <c r="M244" s="85"/>
      <c r="N244" s="86"/>
      <c r="O244" s="86"/>
      <c r="P244" s="86" t="n">
        <f aca="false">N244*O244</f>
        <v>0</v>
      </c>
      <c r="Q244" s="86"/>
      <c r="R244" s="87" t="n">
        <f aca="false">(O244*N244)+Q244</f>
        <v>0</v>
      </c>
      <c r="S244" s="91"/>
    </row>
    <row r="245" customFormat="false" ht="14.25" hidden="false" customHeight="false" outlineLevel="0" collapsed="false">
      <c r="A245" s="77"/>
      <c r="B245" s="78"/>
      <c r="C245" s="79"/>
      <c r="D245" s="79"/>
      <c r="E245" s="80" t="str">
        <f aca="false">_xlfn.IFNA(VLOOKUP(C245,'بيانات الآليات '!A:G,4,FALSE()),"")</f>
        <v/>
      </c>
      <c r="F245" s="81" t="str">
        <f aca="false">_xlfn.IFNA(VLOOKUP(C245,'بيانات الآليات '!A:G,2,FALSE()),"")</f>
        <v/>
      </c>
      <c r="G245" s="81"/>
      <c r="H245" s="81" t="str">
        <f aca="false">_xlfn.IFNA(VLOOKUP(C245,'بيانات الآليات '!A:G,5,FALSE()),"")</f>
        <v/>
      </c>
      <c r="I245" s="82"/>
      <c r="J245" s="83" t="str">
        <f aca="false">_xlfn.IFNA(VLOOKUP(I245,Table14543[],2,FALSE()),"")</f>
        <v/>
      </c>
      <c r="K245" s="84" t="str">
        <f aca="false">_xlfn.IFNA(VLOOKUP(I245,Table14543[],3,FALSE()),"")</f>
        <v/>
      </c>
      <c r="L245" s="83" t="str">
        <f aca="false">CONCATENATE("",I245,""," ",J245," ",K245)</f>
        <v>  </v>
      </c>
      <c r="M245" s="85"/>
      <c r="N245" s="86"/>
      <c r="O245" s="86"/>
      <c r="P245" s="86" t="n">
        <f aca="false">N245*O245</f>
        <v>0</v>
      </c>
      <c r="Q245" s="86"/>
      <c r="R245" s="87" t="n">
        <f aca="false">(O245*N245)+Q245</f>
        <v>0</v>
      </c>
      <c r="S245" s="91"/>
    </row>
    <row r="246" customFormat="false" ht="14.25" hidden="false" customHeight="false" outlineLevel="0" collapsed="false">
      <c r="A246" s="77"/>
      <c r="B246" s="78"/>
      <c r="C246" s="79"/>
      <c r="D246" s="79"/>
      <c r="E246" s="80" t="str">
        <f aca="false">_xlfn.IFNA(VLOOKUP(C246,'بيانات الآليات '!A:G,4,FALSE()),"")</f>
        <v/>
      </c>
      <c r="F246" s="81" t="str">
        <f aca="false">_xlfn.IFNA(VLOOKUP(C246,'بيانات الآليات '!A:G,2,FALSE()),"")</f>
        <v/>
      </c>
      <c r="G246" s="81"/>
      <c r="H246" s="81" t="str">
        <f aca="false">_xlfn.IFNA(VLOOKUP(C246,'بيانات الآليات '!A:G,5,FALSE()),"")</f>
        <v/>
      </c>
      <c r="I246" s="82"/>
      <c r="J246" s="83" t="str">
        <f aca="false">_xlfn.IFNA(VLOOKUP(I246,Table14543[],2,FALSE()),"")</f>
        <v/>
      </c>
      <c r="K246" s="84" t="str">
        <f aca="false">_xlfn.IFNA(VLOOKUP(I246,Table14543[],3,FALSE()),"")</f>
        <v/>
      </c>
      <c r="L246" s="83" t="str">
        <f aca="false">CONCATENATE("",I246,""," ",J246," ",K246)</f>
        <v>  </v>
      </c>
      <c r="M246" s="85"/>
      <c r="N246" s="86"/>
      <c r="O246" s="86"/>
      <c r="P246" s="86" t="n">
        <f aca="false">N246*O246</f>
        <v>0</v>
      </c>
      <c r="Q246" s="86"/>
      <c r="R246" s="87" t="n">
        <f aca="false">(O246*N246)+Q246</f>
        <v>0</v>
      </c>
      <c r="S246" s="91"/>
    </row>
    <row r="247" customFormat="false" ht="14.25" hidden="false" customHeight="false" outlineLevel="0" collapsed="false">
      <c r="A247" s="77"/>
      <c r="B247" s="78"/>
      <c r="C247" s="79"/>
      <c r="D247" s="79"/>
      <c r="E247" s="80" t="str">
        <f aca="false">_xlfn.IFNA(VLOOKUP(C247,'بيانات الآليات '!A:G,4,FALSE()),"")</f>
        <v/>
      </c>
      <c r="F247" s="81" t="str">
        <f aca="false">_xlfn.IFNA(VLOOKUP(C247,'بيانات الآليات '!A:G,2,FALSE()),"")</f>
        <v/>
      </c>
      <c r="G247" s="81"/>
      <c r="H247" s="81" t="str">
        <f aca="false">_xlfn.IFNA(VLOOKUP(C247,'بيانات الآليات '!A:G,5,FALSE()),"")</f>
        <v/>
      </c>
      <c r="I247" s="82"/>
      <c r="J247" s="83" t="str">
        <f aca="false">_xlfn.IFNA(VLOOKUP(I247,Table14543[],2,FALSE()),"")</f>
        <v/>
      </c>
      <c r="K247" s="84" t="str">
        <f aca="false">_xlfn.IFNA(VLOOKUP(I247,Table14543[],3,FALSE()),"")</f>
        <v/>
      </c>
      <c r="L247" s="83" t="str">
        <f aca="false">CONCATENATE("",I247,""," ",J247," ",K247)</f>
        <v>  </v>
      </c>
      <c r="M247" s="85"/>
      <c r="N247" s="86"/>
      <c r="O247" s="86"/>
      <c r="P247" s="86" t="n">
        <f aca="false">N247*O247</f>
        <v>0</v>
      </c>
      <c r="Q247" s="86"/>
      <c r="R247" s="87" t="n">
        <f aca="false">(O247*N247)+Q247</f>
        <v>0</v>
      </c>
      <c r="S247" s="91"/>
    </row>
    <row r="248" customFormat="false" ht="14.25" hidden="false" customHeight="false" outlineLevel="0" collapsed="false">
      <c r="A248" s="77"/>
      <c r="B248" s="78"/>
      <c r="C248" s="79"/>
      <c r="D248" s="79"/>
      <c r="E248" s="80" t="str">
        <f aca="false">_xlfn.IFNA(VLOOKUP(C248,'بيانات الآليات '!A:G,4,FALSE()),"")</f>
        <v/>
      </c>
      <c r="F248" s="81" t="str">
        <f aca="false">_xlfn.IFNA(VLOOKUP(C248,'بيانات الآليات '!A:G,2,FALSE()),"")</f>
        <v/>
      </c>
      <c r="G248" s="81"/>
      <c r="H248" s="81" t="str">
        <f aca="false">_xlfn.IFNA(VLOOKUP(C248,'بيانات الآليات '!A:G,5,FALSE()),"")</f>
        <v/>
      </c>
      <c r="I248" s="82"/>
      <c r="J248" s="83" t="str">
        <f aca="false">_xlfn.IFNA(VLOOKUP(I248,Table14543[],2,FALSE()),"")</f>
        <v/>
      </c>
      <c r="K248" s="84" t="str">
        <f aca="false">_xlfn.IFNA(VLOOKUP(I248,Table14543[],3,FALSE()),"")</f>
        <v/>
      </c>
      <c r="L248" s="83" t="str">
        <f aca="false">CONCATENATE("",I248,""," ",J248," ",K248)</f>
        <v>  </v>
      </c>
      <c r="M248" s="85"/>
      <c r="N248" s="86"/>
      <c r="O248" s="86"/>
      <c r="P248" s="86" t="n">
        <f aca="false">N248*O248</f>
        <v>0</v>
      </c>
      <c r="Q248" s="86"/>
      <c r="R248" s="87" t="n">
        <f aca="false">(O248*N248)+Q248</f>
        <v>0</v>
      </c>
      <c r="S248" s="91"/>
    </row>
    <row r="249" customFormat="false" ht="14.25" hidden="false" customHeight="false" outlineLevel="0" collapsed="false">
      <c r="A249" s="77"/>
      <c r="B249" s="78"/>
      <c r="C249" s="79"/>
      <c r="D249" s="79"/>
      <c r="E249" s="80" t="str">
        <f aca="false">_xlfn.IFNA(VLOOKUP(C249,'بيانات الآليات '!A:G,4,FALSE()),"")</f>
        <v/>
      </c>
      <c r="F249" s="81" t="str">
        <f aca="false">_xlfn.IFNA(VLOOKUP(C249,'بيانات الآليات '!A:G,2,FALSE()),"")</f>
        <v/>
      </c>
      <c r="G249" s="81"/>
      <c r="H249" s="81" t="str">
        <f aca="false">_xlfn.IFNA(VLOOKUP(C249,'بيانات الآليات '!A:G,5,FALSE()),"")</f>
        <v/>
      </c>
      <c r="I249" s="82"/>
      <c r="J249" s="83" t="str">
        <f aca="false">_xlfn.IFNA(VLOOKUP(I249,Table14543[],2,FALSE()),"")</f>
        <v/>
      </c>
      <c r="K249" s="84" t="str">
        <f aca="false">_xlfn.IFNA(VLOOKUP(I249,Table14543[],3,FALSE()),"")</f>
        <v/>
      </c>
      <c r="L249" s="83" t="str">
        <f aca="false">CONCATENATE("",I249,""," ",J249," ",K249)</f>
        <v>  </v>
      </c>
      <c r="M249" s="85"/>
      <c r="N249" s="86"/>
      <c r="O249" s="86"/>
      <c r="P249" s="86" t="n">
        <f aca="false">N249*O249</f>
        <v>0</v>
      </c>
      <c r="Q249" s="86"/>
      <c r="R249" s="87" t="n">
        <f aca="false">(O249*N249)+Q249</f>
        <v>0</v>
      </c>
      <c r="S249" s="91"/>
    </row>
    <row r="250" customFormat="false" ht="14.25" hidden="false" customHeight="false" outlineLevel="0" collapsed="false">
      <c r="A250" s="77"/>
      <c r="B250" s="78"/>
      <c r="C250" s="79"/>
      <c r="D250" s="79"/>
      <c r="E250" s="80" t="str">
        <f aca="false">_xlfn.IFNA(VLOOKUP(C250,'بيانات الآليات '!A:G,4,FALSE()),"")</f>
        <v/>
      </c>
      <c r="F250" s="81" t="str">
        <f aca="false">_xlfn.IFNA(VLOOKUP(C250,'بيانات الآليات '!A:G,2,FALSE()),"")</f>
        <v/>
      </c>
      <c r="G250" s="81"/>
      <c r="H250" s="81" t="str">
        <f aca="false">_xlfn.IFNA(VLOOKUP(C250,'بيانات الآليات '!A:G,5,FALSE()),"")</f>
        <v/>
      </c>
      <c r="I250" s="82"/>
      <c r="J250" s="83" t="str">
        <f aca="false">_xlfn.IFNA(VLOOKUP(I250,Table14543[],2,FALSE()),"")</f>
        <v/>
      </c>
      <c r="K250" s="84" t="str">
        <f aca="false">_xlfn.IFNA(VLOOKUP(I250,Table14543[],3,FALSE()),"")</f>
        <v/>
      </c>
      <c r="L250" s="83" t="str">
        <f aca="false">CONCATENATE("",I250,""," ",J250," ",K250)</f>
        <v>  </v>
      </c>
      <c r="M250" s="85"/>
      <c r="N250" s="86"/>
      <c r="O250" s="86"/>
      <c r="P250" s="86" t="n">
        <f aca="false">N250*O250</f>
        <v>0</v>
      </c>
      <c r="Q250" s="86"/>
      <c r="R250" s="87" t="n">
        <f aca="false">(O250*N250)+Q250</f>
        <v>0</v>
      </c>
      <c r="S250" s="91"/>
    </row>
    <row r="251" customFormat="false" ht="14.25" hidden="false" customHeight="false" outlineLevel="0" collapsed="false">
      <c r="A251" s="77"/>
      <c r="B251" s="78"/>
      <c r="C251" s="79"/>
      <c r="D251" s="79"/>
      <c r="E251" s="80" t="str">
        <f aca="false">_xlfn.IFNA(VLOOKUP(C251,'بيانات الآليات '!A:G,4,FALSE()),"")</f>
        <v/>
      </c>
      <c r="F251" s="81" t="str">
        <f aca="false">_xlfn.IFNA(VLOOKUP(C251,'بيانات الآليات '!A:G,2,FALSE()),"")</f>
        <v/>
      </c>
      <c r="G251" s="81"/>
      <c r="H251" s="81" t="str">
        <f aca="false">_xlfn.IFNA(VLOOKUP(C251,'بيانات الآليات '!A:G,5,FALSE()),"")</f>
        <v/>
      </c>
      <c r="I251" s="82"/>
      <c r="J251" s="83" t="str">
        <f aca="false">_xlfn.IFNA(VLOOKUP(I251,Table14543[],2,FALSE()),"")</f>
        <v/>
      </c>
      <c r="K251" s="84" t="str">
        <f aca="false">_xlfn.IFNA(VLOOKUP(I251,Table14543[],3,FALSE()),"")</f>
        <v/>
      </c>
      <c r="L251" s="83" t="str">
        <f aca="false">CONCATENATE("",I251,""," ",J251," ",K251)</f>
        <v>  </v>
      </c>
      <c r="M251" s="85"/>
      <c r="N251" s="86"/>
      <c r="O251" s="86"/>
      <c r="P251" s="86" t="n">
        <f aca="false">N251*O251</f>
        <v>0</v>
      </c>
      <c r="Q251" s="86"/>
      <c r="R251" s="87" t="n">
        <f aca="false">(O251*N251)+Q251</f>
        <v>0</v>
      </c>
      <c r="S251" s="91"/>
    </row>
    <row r="252" customFormat="false" ht="14.25" hidden="false" customHeight="false" outlineLevel="0" collapsed="false">
      <c r="A252" s="77"/>
      <c r="B252" s="78"/>
      <c r="C252" s="79"/>
      <c r="D252" s="79"/>
      <c r="E252" s="80" t="str">
        <f aca="false">_xlfn.IFNA(VLOOKUP(C252,'بيانات الآليات '!A:G,4,FALSE()),"")</f>
        <v/>
      </c>
      <c r="F252" s="81" t="str">
        <f aca="false">_xlfn.IFNA(VLOOKUP(C252,'بيانات الآليات '!A:G,2,FALSE()),"")</f>
        <v/>
      </c>
      <c r="G252" s="81"/>
      <c r="H252" s="81" t="str">
        <f aca="false">_xlfn.IFNA(VLOOKUP(C252,'بيانات الآليات '!A:G,5,FALSE()),"")</f>
        <v/>
      </c>
      <c r="I252" s="82"/>
      <c r="J252" s="83" t="str">
        <f aca="false">_xlfn.IFNA(VLOOKUP(I252,Table14543[],2,FALSE()),"")</f>
        <v/>
      </c>
      <c r="K252" s="84" t="str">
        <f aca="false">_xlfn.IFNA(VLOOKUP(I252,Table14543[],3,FALSE()),"")</f>
        <v/>
      </c>
      <c r="L252" s="83" t="str">
        <f aca="false">CONCATENATE("",I252,""," ",J252," ",K252)</f>
        <v>  </v>
      </c>
      <c r="M252" s="85"/>
      <c r="N252" s="86"/>
      <c r="O252" s="86"/>
      <c r="P252" s="86" t="n">
        <f aca="false">N252*O252</f>
        <v>0</v>
      </c>
      <c r="Q252" s="86"/>
      <c r="R252" s="87" t="n">
        <f aca="false">(O252*N252)+Q252</f>
        <v>0</v>
      </c>
      <c r="S252" s="91"/>
    </row>
    <row r="253" customFormat="false" ht="14.25" hidden="false" customHeight="false" outlineLevel="0" collapsed="false">
      <c r="A253" s="77"/>
      <c r="B253" s="78"/>
      <c r="C253" s="79"/>
      <c r="D253" s="79"/>
      <c r="E253" s="80" t="str">
        <f aca="false">_xlfn.IFNA(VLOOKUP(C253,'بيانات الآليات '!A:G,4,FALSE()),"")</f>
        <v/>
      </c>
      <c r="F253" s="81" t="str">
        <f aca="false">_xlfn.IFNA(VLOOKUP(C253,'بيانات الآليات '!A:G,2,FALSE()),"")</f>
        <v/>
      </c>
      <c r="G253" s="81"/>
      <c r="H253" s="81" t="str">
        <f aca="false">_xlfn.IFNA(VLOOKUP(C253,'بيانات الآليات '!A:G,5,FALSE()),"")</f>
        <v/>
      </c>
      <c r="I253" s="82"/>
      <c r="J253" s="83" t="str">
        <f aca="false">_xlfn.IFNA(VLOOKUP(I253,Table14543[],2,FALSE()),"")</f>
        <v/>
      </c>
      <c r="K253" s="84" t="str">
        <f aca="false">_xlfn.IFNA(VLOOKUP(I253,Table14543[],3,FALSE()),"")</f>
        <v/>
      </c>
      <c r="L253" s="83" t="str">
        <f aca="false">CONCATENATE("",I253,""," ",J253," ",K253)</f>
        <v>  </v>
      </c>
      <c r="M253" s="85"/>
      <c r="N253" s="86"/>
      <c r="O253" s="86"/>
      <c r="P253" s="86" t="n">
        <f aca="false">N253*O253</f>
        <v>0</v>
      </c>
      <c r="Q253" s="86"/>
      <c r="R253" s="87" t="n">
        <f aca="false">(O253*N253)+Q253</f>
        <v>0</v>
      </c>
      <c r="S253" s="91"/>
    </row>
    <row r="254" customFormat="false" ht="14.25" hidden="false" customHeight="false" outlineLevel="0" collapsed="false">
      <c r="A254" s="77"/>
      <c r="B254" s="78"/>
      <c r="C254" s="79"/>
      <c r="D254" s="79"/>
      <c r="E254" s="80" t="str">
        <f aca="false">_xlfn.IFNA(VLOOKUP(C254,'بيانات الآليات '!A:G,4,FALSE()),"")</f>
        <v/>
      </c>
      <c r="F254" s="81" t="str">
        <f aca="false">_xlfn.IFNA(VLOOKUP(C254,'بيانات الآليات '!A:G,2,FALSE()),"")</f>
        <v/>
      </c>
      <c r="G254" s="81"/>
      <c r="H254" s="81" t="str">
        <f aca="false">_xlfn.IFNA(VLOOKUP(C254,'بيانات الآليات '!A:G,5,FALSE()),"")</f>
        <v/>
      </c>
      <c r="I254" s="82"/>
      <c r="J254" s="83" t="str">
        <f aca="false">_xlfn.IFNA(VLOOKUP(I254,Table14543[],2,FALSE()),"")</f>
        <v/>
      </c>
      <c r="K254" s="84" t="str">
        <f aca="false">_xlfn.IFNA(VLOOKUP(I254,Table14543[],3,FALSE()),"")</f>
        <v/>
      </c>
      <c r="L254" s="83" t="str">
        <f aca="false">CONCATENATE("",I254,""," ",J254," ",K254)</f>
        <v>  </v>
      </c>
      <c r="M254" s="85"/>
      <c r="N254" s="86"/>
      <c r="O254" s="86"/>
      <c r="P254" s="86" t="n">
        <f aca="false">N254*O254</f>
        <v>0</v>
      </c>
      <c r="Q254" s="86"/>
      <c r="R254" s="87" t="n">
        <f aca="false">(O254*N254)+Q254</f>
        <v>0</v>
      </c>
      <c r="S254" s="91"/>
    </row>
    <row r="255" customFormat="false" ht="14.25" hidden="false" customHeight="false" outlineLevel="0" collapsed="false">
      <c r="A255" s="77"/>
      <c r="B255" s="78"/>
      <c r="C255" s="79"/>
      <c r="D255" s="79"/>
      <c r="E255" s="80" t="str">
        <f aca="false">_xlfn.IFNA(VLOOKUP(C255,'بيانات الآليات '!A:G,4,FALSE()),"")</f>
        <v/>
      </c>
      <c r="F255" s="81" t="str">
        <f aca="false">_xlfn.IFNA(VLOOKUP(C255,'بيانات الآليات '!A:G,2,FALSE()),"")</f>
        <v/>
      </c>
      <c r="G255" s="81"/>
      <c r="H255" s="81" t="str">
        <f aca="false">_xlfn.IFNA(VLOOKUP(C255,'بيانات الآليات '!A:G,5,FALSE()),"")</f>
        <v/>
      </c>
      <c r="I255" s="82"/>
      <c r="J255" s="83" t="str">
        <f aca="false">_xlfn.IFNA(VLOOKUP(I255,Table14543[],2,FALSE()),"")</f>
        <v/>
      </c>
      <c r="K255" s="84" t="str">
        <f aca="false">_xlfn.IFNA(VLOOKUP(I255,Table14543[],3,FALSE()),"")</f>
        <v/>
      </c>
      <c r="L255" s="83" t="str">
        <f aca="false">CONCATENATE("",I255,""," ",J255," ",K255)</f>
        <v>  </v>
      </c>
      <c r="M255" s="85"/>
      <c r="N255" s="86"/>
      <c r="O255" s="86"/>
      <c r="P255" s="86" t="n">
        <f aca="false">N255*O255</f>
        <v>0</v>
      </c>
      <c r="Q255" s="86"/>
      <c r="R255" s="87" t="n">
        <f aca="false">(O255*N255)+Q255</f>
        <v>0</v>
      </c>
      <c r="S255" s="91"/>
    </row>
    <row r="256" customFormat="false" ht="14.25" hidden="false" customHeight="false" outlineLevel="0" collapsed="false">
      <c r="A256" s="77"/>
      <c r="B256" s="78"/>
      <c r="C256" s="79"/>
      <c r="D256" s="79"/>
      <c r="E256" s="80" t="str">
        <f aca="false">_xlfn.IFNA(VLOOKUP(C256,'بيانات الآليات '!A:G,4,FALSE()),"")</f>
        <v/>
      </c>
      <c r="F256" s="81" t="str">
        <f aca="false">_xlfn.IFNA(VLOOKUP(C256,'بيانات الآليات '!A:G,2,FALSE()),"")</f>
        <v/>
      </c>
      <c r="G256" s="81"/>
      <c r="H256" s="81" t="str">
        <f aca="false">_xlfn.IFNA(VLOOKUP(C256,'بيانات الآليات '!A:G,5,FALSE()),"")</f>
        <v/>
      </c>
      <c r="I256" s="82"/>
      <c r="J256" s="83" t="str">
        <f aca="false">_xlfn.IFNA(VLOOKUP(I256,Table14543[],2,FALSE()),"")</f>
        <v/>
      </c>
      <c r="K256" s="84" t="str">
        <f aca="false">_xlfn.IFNA(VLOOKUP(I256,Table14543[],3,FALSE()),"")</f>
        <v/>
      </c>
      <c r="L256" s="83" t="str">
        <f aca="false">CONCATENATE("",I256,""," ",J256," ",K256)</f>
        <v>  </v>
      </c>
      <c r="M256" s="85"/>
      <c r="N256" s="86"/>
      <c r="O256" s="86"/>
      <c r="P256" s="86" t="n">
        <f aca="false">N256*O256</f>
        <v>0</v>
      </c>
      <c r="Q256" s="86"/>
      <c r="R256" s="87" t="n">
        <f aca="false">(O256*N256)+Q256</f>
        <v>0</v>
      </c>
      <c r="S256" s="91"/>
    </row>
    <row r="257" customFormat="false" ht="14.25" hidden="false" customHeight="false" outlineLevel="0" collapsed="false">
      <c r="A257" s="77"/>
      <c r="B257" s="78"/>
      <c r="C257" s="79"/>
      <c r="D257" s="79"/>
      <c r="E257" s="80" t="str">
        <f aca="false">_xlfn.IFNA(VLOOKUP(C257,'بيانات الآليات '!A:G,4,FALSE()),"")</f>
        <v/>
      </c>
      <c r="F257" s="81" t="str">
        <f aca="false">_xlfn.IFNA(VLOOKUP(C257,'بيانات الآليات '!A:G,2,FALSE()),"")</f>
        <v/>
      </c>
      <c r="G257" s="81"/>
      <c r="H257" s="81" t="str">
        <f aca="false">_xlfn.IFNA(VLOOKUP(C257,'بيانات الآليات '!A:G,5,FALSE()),"")</f>
        <v/>
      </c>
      <c r="I257" s="82"/>
      <c r="J257" s="83" t="str">
        <f aca="false">_xlfn.IFNA(VLOOKUP(I257,Table14543[],2,FALSE()),"")</f>
        <v/>
      </c>
      <c r="K257" s="84" t="str">
        <f aca="false">_xlfn.IFNA(VLOOKUP(I257,Table14543[],3,FALSE()),"")</f>
        <v/>
      </c>
      <c r="L257" s="83" t="str">
        <f aca="false">CONCATENATE("",I257,""," ",J257," ",K257)</f>
        <v>  </v>
      </c>
      <c r="M257" s="85"/>
      <c r="N257" s="86"/>
      <c r="O257" s="86"/>
      <c r="P257" s="86" t="n">
        <f aca="false">N257*O257</f>
        <v>0</v>
      </c>
      <c r="Q257" s="86"/>
      <c r="R257" s="87" t="n">
        <f aca="false">(O257*N257)+Q257</f>
        <v>0</v>
      </c>
      <c r="S257" s="91"/>
    </row>
    <row r="258" customFormat="false" ht="14.25" hidden="false" customHeight="false" outlineLevel="0" collapsed="false">
      <c r="A258" s="77"/>
      <c r="B258" s="78"/>
      <c r="C258" s="79"/>
      <c r="D258" s="79"/>
      <c r="E258" s="80" t="str">
        <f aca="false">_xlfn.IFNA(VLOOKUP(C258,'بيانات الآليات '!A:G,4,FALSE()),"")</f>
        <v/>
      </c>
      <c r="F258" s="81" t="str">
        <f aca="false">_xlfn.IFNA(VLOOKUP(C258,'بيانات الآليات '!A:G,2,FALSE()),"")</f>
        <v/>
      </c>
      <c r="G258" s="81"/>
      <c r="H258" s="81" t="str">
        <f aca="false">_xlfn.IFNA(VLOOKUP(C258,'بيانات الآليات '!A:G,5,FALSE()),"")</f>
        <v/>
      </c>
      <c r="I258" s="82"/>
      <c r="J258" s="83" t="str">
        <f aca="false">_xlfn.IFNA(VLOOKUP(I258,Table14543[],2,FALSE()),"")</f>
        <v/>
      </c>
      <c r="K258" s="84" t="str">
        <f aca="false">_xlfn.IFNA(VLOOKUP(I258,Table14543[],3,FALSE()),"")</f>
        <v/>
      </c>
      <c r="L258" s="83" t="str">
        <f aca="false">CONCATENATE("",I258,""," ",J258," ",K258)</f>
        <v>  </v>
      </c>
      <c r="M258" s="85"/>
      <c r="N258" s="86"/>
      <c r="O258" s="86"/>
      <c r="P258" s="86" t="n">
        <f aca="false">N258*O258</f>
        <v>0</v>
      </c>
      <c r="Q258" s="86"/>
      <c r="R258" s="87" t="n">
        <f aca="false">(O258*N258)+Q258</f>
        <v>0</v>
      </c>
      <c r="S258" s="91"/>
    </row>
    <row r="259" customFormat="false" ht="14.25" hidden="false" customHeight="false" outlineLevel="0" collapsed="false">
      <c r="A259" s="77"/>
      <c r="B259" s="78"/>
      <c r="C259" s="79"/>
      <c r="D259" s="79"/>
      <c r="E259" s="80" t="str">
        <f aca="false">_xlfn.IFNA(VLOOKUP(C259,'بيانات الآليات '!A:G,4,FALSE()),"")</f>
        <v/>
      </c>
      <c r="F259" s="81" t="str">
        <f aca="false">_xlfn.IFNA(VLOOKUP(C259,'بيانات الآليات '!A:G,2,FALSE()),"")</f>
        <v/>
      </c>
      <c r="G259" s="81"/>
      <c r="H259" s="81" t="str">
        <f aca="false">_xlfn.IFNA(VLOOKUP(C259,'بيانات الآليات '!A:G,5,FALSE()),"")</f>
        <v/>
      </c>
      <c r="I259" s="82"/>
      <c r="J259" s="83" t="str">
        <f aca="false">_xlfn.IFNA(VLOOKUP(I259,Table14543[],2,FALSE()),"")</f>
        <v/>
      </c>
      <c r="K259" s="84" t="str">
        <f aca="false">_xlfn.IFNA(VLOOKUP(I259,Table14543[],3,FALSE()),"")</f>
        <v/>
      </c>
      <c r="L259" s="83" t="str">
        <f aca="false">CONCATENATE("",I259,""," ",J259," ",K259)</f>
        <v>  </v>
      </c>
      <c r="M259" s="85"/>
      <c r="N259" s="86"/>
      <c r="O259" s="86"/>
      <c r="P259" s="86" t="n">
        <f aca="false">N259*O259</f>
        <v>0</v>
      </c>
      <c r="Q259" s="86"/>
      <c r="R259" s="87" t="n">
        <f aca="false">(O259*N259)+Q259</f>
        <v>0</v>
      </c>
      <c r="S259" s="91"/>
    </row>
    <row r="260" customFormat="false" ht="14.25" hidden="false" customHeight="false" outlineLevel="0" collapsed="false">
      <c r="A260" s="77"/>
      <c r="B260" s="78"/>
      <c r="C260" s="79"/>
      <c r="D260" s="79"/>
      <c r="E260" s="80" t="str">
        <f aca="false">_xlfn.IFNA(VLOOKUP(C260,'بيانات الآليات '!A:G,4,FALSE()),"")</f>
        <v/>
      </c>
      <c r="F260" s="81" t="str">
        <f aca="false">_xlfn.IFNA(VLOOKUP(C260,'بيانات الآليات '!A:G,2,FALSE()),"")</f>
        <v/>
      </c>
      <c r="G260" s="81"/>
      <c r="H260" s="81" t="str">
        <f aca="false">_xlfn.IFNA(VLOOKUP(C260,'بيانات الآليات '!A:G,5,FALSE()),"")</f>
        <v/>
      </c>
      <c r="I260" s="82"/>
      <c r="J260" s="83" t="str">
        <f aca="false">_xlfn.IFNA(VLOOKUP(I260,Table14543[],2,FALSE()),"")</f>
        <v/>
      </c>
      <c r="K260" s="84" t="str">
        <f aca="false">_xlfn.IFNA(VLOOKUP(I260,Table14543[],3,FALSE()),"")</f>
        <v/>
      </c>
      <c r="L260" s="83" t="str">
        <f aca="false">CONCATENATE("",I260,""," ",J260," ",K260)</f>
        <v>  </v>
      </c>
      <c r="M260" s="85"/>
      <c r="N260" s="86"/>
      <c r="O260" s="86"/>
      <c r="P260" s="86" t="n">
        <f aca="false">N260*O260</f>
        <v>0</v>
      </c>
      <c r="Q260" s="86"/>
      <c r="R260" s="87" t="n">
        <f aca="false">(O260*N260)+Q260</f>
        <v>0</v>
      </c>
      <c r="S260" s="91"/>
    </row>
    <row r="261" customFormat="false" ht="14.25" hidden="false" customHeight="false" outlineLevel="0" collapsed="false">
      <c r="A261" s="77"/>
      <c r="B261" s="78"/>
      <c r="C261" s="79"/>
      <c r="D261" s="79"/>
      <c r="E261" s="80" t="str">
        <f aca="false">_xlfn.IFNA(VLOOKUP(C261,'بيانات الآليات '!A:G,4,FALSE()),"")</f>
        <v/>
      </c>
      <c r="F261" s="81" t="str">
        <f aca="false">_xlfn.IFNA(VLOOKUP(C261,'بيانات الآليات '!A:G,2,FALSE()),"")</f>
        <v/>
      </c>
      <c r="G261" s="81"/>
      <c r="H261" s="81" t="str">
        <f aca="false">_xlfn.IFNA(VLOOKUP(C261,'بيانات الآليات '!A:G,5,FALSE()),"")</f>
        <v/>
      </c>
      <c r="I261" s="82"/>
      <c r="J261" s="83" t="str">
        <f aca="false">_xlfn.IFNA(VLOOKUP(I261,Table14543[],2,FALSE()),"")</f>
        <v/>
      </c>
      <c r="K261" s="84" t="str">
        <f aca="false">_xlfn.IFNA(VLOOKUP(I261,Table14543[],3,FALSE()),"")</f>
        <v/>
      </c>
      <c r="L261" s="83" t="str">
        <f aca="false">CONCATENATE("",I261,""," ",J261," ",K261)</f>
        <v>  </v>
      </c>
      <c r="M261" s="85"/>
      <c r="N261" s="86"/>
      <c r="O261" s="86"/>
      <c r="P261" s="86" t="n">
        <f aca="false">N261*O261</f>
        <v>0</v>
      </c>
      <c r="Q261" s="86"/>
      <c r="R261" s="87" t="n">
        <f aca="false">(O261*N261)+Q261</f>
        <v>0</v>
      </c>
      <c r="S261" s="91"/>
    </row>
    <row r="262" customFormat="false" ht="14.25" hidden="false" customHeight="false" outlineLevel="0" collapsed="false">
      <c r="A262" s="77"/>
      <c r="B262" s="78"/>
      <c r="C262" s="79"/>
      <c r="D262" s="79"/>
      <c r="E262" s="80" t="str">
        <f aca="false">_xlfn.IFNA(VLOOKUP(C262,'بيانات الآليات '!A:G,4,FALSE()),"")</f>
        <v/>
      </c>
      <c r="F262" s="81" t="str">
        <f aca="false">_xlfn.IFNA(VLOOKUP(C262,'بيانات الآليات '!A:G,2,FALSE()),"")</f>
        <v/>
      </c>
      <c r="G262" s="81"/>
      <c r="H262" s="81" t="str">
        <f aca="false">_xlfn.IFNA(VLOOKUP(C262,'بيانات الآليات '!A:G,5,FALSE()),"")</f>
        <v/>
      </c>
      <c r="I262" s="82"/>
      <c r="J262" s="83" t="str">
        <f aca="false">_xlfn.IFNA(VLOOKUP(I262,Table14543[],2,FALSE()),"")</f>
        <v/>
      </c>
      <c r="K262" s="84" t="str">
        <f aca="false">_xlfn.IFNA(VLOOKUP(I262,Table14543[],3,FALSE()),"")</f>
        <v/>
      </c>
      <c r="L262" s="83" t="str">
        <f aca="false">CONCATENATE("",I262,""," ",J262," ",K262)</f>
        <v>  </v>
      </c>
      <c r="M262" s="85"/>
      <c r="N262" s="86"/>
      <c r="O262" s="86"/>
      <c r="P262" s="86" t="n">
        <f aca="false">N262*O262</f>
        <v>0</v>
      </c>
      <c r="Q262" s="86"/>
      <c r="R262" s="87" t="n">
        <f aca="false">(O262*N262)+Q262</f>
        <v>0</v>
      </c>
      <c r="S262" s="91"/>
    </row>
    <row r="263" customFormat="false" ht="14.25" hidden="false" customHeight="false" outlineLevel="0" collapsed="false">
      <c r="A263" s="77"/>
      <c r="B263" s="78"/>
      <c r="C263" s="79"/>
      <c r="D263" s="79"/>
      <c r="E263" s="80" t="str">
        <f aca="false">_xlfn.IFNA(VLOOKUP(C263,'بيانات الآليات '!A:G,4,FALSE()),"")</f>
        <v/>
      </c>
      <c r="F263" s="81" t="str">
        <f aca="false">_xlfn.IFNA(VLOOKUP(C263,'بيانات الآليات '!A:G,2,FALSE()),"")</f>
        <v/>
      </c>
      <c r="G263" s="81"/>
      <c r="H263" s="81" t="str">
        <f aca="false">_xlfn.IFNA(VLOOKUP(C263,'بيانات الآليات '!A:G,5,FALSE()),"")</f>
        <v/>
      </c>
      <c r="I263" s="82"/>
      <c r="J263" s="83" t="str">
        <f aca="false">_xlfn.IFNA(VLOOKUP(I263,Table14543[],2,FALSE()),"")</f>
        <v/>
      </c>
      <c r="K263" s="84" t="str">
        <f aca="false">_xlfn.IFNA(VLOOKUP(I263,Table14543[],3,FALSE()),"")</f>
        <v/>
      </c>
      <c r="L263" s="83" t="str">
        <f aca="false">CONCATENATE("",I263,""," ",J263," ",K263)</f>
        <v>  </v>
      </c>
      <c r="M263" s="85"/>
      <c r="N263" s="86"/>
      <c r="O263" s="86"/>
      <c r="P263" s="86" t="n">
        <f aca="false">N263*O263</f>
        <v>0</v>
      </c>
      <c r="Q263" s="86"/>
      <c r="R263" s="87" t="n">
        <f aca="false">(O263*N263)+Q263</f>
        <v>0</v>
      </c>
      <c r="S263" s="91"/>
    </row>
    <row r="264" customFormat="false" ht="14.25" hidden="false" customHeight="false" outlineLevel="0" collapsed="false">
      <c r="A264" s="77"/>
      <c r="B264" s="78"/>
      <c r="C264" s="79"/>
      <c r="D264" s="79"/>
      <c r="E264" s="80" t="str">
        <f aca="false">_xlfn.IFNA(VLOOKUP(C264,'بيانات الآليات '!A:G,4,FALSE()),"")</f>
        <v/>
      </c>
      <c r="F264" s="81" t="str">
        <f aca="false">_xlfn.IFNA(VLOOKUP(C264,'بيانات الآليات '!A:G,2,FALSE()),"")</f>
        <v/>
      </c>
      <c r="G264" s="81"/>
      <c r="H264" s="81" t="str">
        <f aca="false">_xlfn.IFNA(VLOOKUP(C264,'بيانات الآليات '!A:G,5,FALSE()),"")</f>
        <v/>
      </c>
      <c r="I264" s="82"/>
      <c r="J264" s="83" t="str">
        <f aca="false">_xlfn.IFNA(VLOOKUP(I264,Table14543[],2,FALSE()),"")</f>
        <v/>
      </c>
      <c r="K264" s="84" t="str">
        <f aca="false">_xlfn.IFNA(VLOOKUP(I264,Table14543[],3,FALSE()),"")</f>
        <v/>
      </c>
      <c r="L264" s="83" t="str">
        <f aca="false">CONCATENATE("",I264,""," ",J264," ",K264)</f>
        <v>  </v>
      </c>
      <c r="M264" s="85"/>
      <c r="N264" s="86"/>
      <c r="O264" s="86"/>
      <c r="P264" s="86" t="n">
        <f aca="false">N264*O264</f>
        <v>0</v>
      </c>
      <c r="Q264" s="86"/>
      <c r="R264" s="87" t="n">
        <f aca="false">(O264*N264)+Q264</f>
        <v>0</v>
      </c>
      <c r="S264" s="91"/>
    </row>
    <row r="265" customFormat="false" ht="14.25" hidden="false" customHeight="false" outlineLevel="0" collapsed="false">
      <c r="A265" s="77"/>
      <c r="B265" s="78"/>
      <c r="C265" s="79"/>
      <c r="D265" s="79"/>
      <c r="E265" s="80" t="str">
        <f aca="false">_xlfn.IFNA(VLOOKUP(C265,'بيانات الآليات '!A:G,4,FALSE()),"")</f>
        <v/>
      </c>
      <c r="F265" s="81" t="str">
        <f aca="false">_xlfn.IFNA(VLOOKUP(C265,'بيانات الآليات '!A:G,2,FALSE()),"")</f>
        <v/>
      </c>
      <c r="G265" s="81"/>
      <c r="H265" s="81" t="str">
        <f aca="false">_xlfn.IFNA(VLOOKUP(C265,'بيانات الآليات '!A:G,5,FALSE()),"")</f>
        <v/>
      </c>
      <c r="I265" s="82"/>
      <c r="J265" s="83" t="str">
        <f aca="false">_xlfn.IFNA(VLOOKUP(I265,Table14543[],2,FALSE()),"")</f>
        <v/>
      </c>
      <c r="K265" s="84" t="str">
        <f aca="false">_xlfn.IFNA(VLOOKUP(I265,Table14543[],3,FALSE()),"")</f>
        <v/>
      </c>
      <c r="L265" s="83" t="str">
        <f aca="false">CONCATENATE("",I265,""," ",J265," ",K265)</f>
        <v>  </v>
      </c>
      <c r="M265" s="85"/>
      <c r="N265" s="86"/>
      <c r="O265" s="86"/>
      <c r="P265" s="86" t="n">
        <f aca="false">N265*O265</f>
        <v>0</v>
      </c>
      <c r="Q265" s="86"/>
      <c r="R265" s="87" t="n">
        <f aca="false">(O265*N265)+Q265</f>
        <v>0</v>
      </c>
      <c r="S265" s="91"/>
    </row>
    <row r="266" customFormat="false" ht="14.25" hidden="false" customHeight="false" outlineLevel="0" collapsed="false">
      <c r="A266" s="77"/>
      <c r="B266" s="78"/>
      <c r="C266" s="79"/>
      <c r="D266" s="79"/>
      <c r="E266" s="80" t="str">
        <f aca="false">_xlfn.IFNA(VLOOKUP(C266,'بيانات الآليات '!A:G,4,FALSE()),"")</f>
        <v/>
      </c>
      <c r="F266" s="81" t="str">
        <f aca="false">_xlfn.IFNA(VLOOKUP(C266,'بيانات الآليات '!A:G,2,FALSE()),"")</f>
        <v/>
      </c>
      <c r="G266" s="81"/>
      <c r="H266" s="81" t="str">
        <f aca="false">_xlfn.IFNA(VLOOKUP(C266,'بيانات الآليات '!A:G,5,FALSE()),"")</f>
        <v/>
      </c>
      <c r="I266" s="82"/>
      <c r="J266" s="83" t="str">
        <f aca="false">_xlfn.IFNA(VLOOKUP(I266,Table14543[],2,FALSE()),"")</f>
        <v/>
      </c>
      <c r="K266" s="84" t="str">
        <f aca="false">_xlfn.IFNA(VLOOKUP(I266,Table14543[],3,FALSE()),"")</f>
        <v/>
      </c>
      <c r="L266" s="83" t="str">
        <f aca="false">CONCATENATE("",I266,""," ",J266," ",K266)</f>
        <v>  </v>
      </c>
      <c r="M266" s="85"/>
      <c r="N266" s="86"/>
      <c r="O266" s="86"/>
      <c r="P266" s="86" t="n">
        <f aca="false">N266*O266</f>
        <v>0</v>
      </c>
      <c r="Q266" s="86"/>
      <c r="R266" s="87" t="n">
        <f aca="false">(O266*N266)+Q266</f>
        <v>0</v>
      </c>
      <c r="S266" s="91"/>
    </row>
    <row r="267" customFormat="false" ht="14.25" hidden="false" customHeight="false" outlineLevel="0" collapsed="false">
      <c r="A267" s="77"/>
      <c r="B267" s="78"/>
      <c r="C267" s="79"/>
      <c r="D267" s="79"/>
      <c r="E267" s="80" t="str">
        <f aca="false">_xlfn.IFNA(VLOOKUP(C267,'بيانات الآليات '!A:G,4,FALSE()),"")</f>
        <v/>
      </c>
      <c r="F267" s="81" t="str">
        <f aca="false">_xlfn.IFNA(VLOOKUP(C267,'بيانات الآليات '!A:G,2,FALSE()),"")</f>
        <v/>
      </c>
      <c r="G267" s="81"/>
      <c r="H267" s="81" t="str">
        <f aca="false">_xlfn.IFNA(VLOOKUP(C267,'بيانات الآليات '!A:G,5,FALSE()),"")</f>
        <v/>
      </c>
      <c r="I267" s="82"/>
      <c r="J267" s="83" t="str">
        <f aca="false">_xlfn.IFNA(VLOOKUP(I267,Table14543[],2,FALSE()),"")</f>
        <v/>
      </c>
      <c r="K267" s="84" t="str">
        <f aca="false">_xlfn.IFNA(VLOOKUP(I267,Table14543[],3,FALSE()),"")</f>
        <v/>
      </c>
      <c r="L267" s="83" t="str">
        <f aca="false">CONCATENATE("",I267,""," ",J267," ",K267)</f>
        <v>  </v>
      </c>
      <c r="M267" s="85"/>
      <c r="N267" s="86"/>
      <c r="O267" s="86"/>
      <c r="P267" s="86" t="n">
        <f aca="false">N267*O267</f>
        <v>0</v>
      </c>
      <c r="Q267" s="86"/>
      <c r="R267" s="87" t="n">
        <f aca="false">(O267*N267)+Q267</f>
        <v>0</v>
      </c>
      <c r="S267" s="91"/>
    </row>
    <row r="268" customFormat="false" ht="14.25" hidden="false" customHeight="false" outlineLevel="0" collapsed="false">
      <c r="A268" s="77"/>
      <c r="B268" s="78"/>
      <c r="C268" s="79"/>
      <c r="D268" s="79"/>
      <c r="E268" s="80" t="str">
        <f aca="false">_xlfn.IFNA(VLOOKUP(C268,'بيانات الآليات '!A:G,4,FALSE()),"")</f>
        <v/>
      </c>
      <c r="F268" s="81" t="str">
        <f aca="false">_xlfn.IFNA(VLOOKUP(C268,'بيانات الآليات '!A:G,2,FALSE()),"")</f>
        <v/>
      </c>
      <c r="G268" s="81"/>
      <c r="H268" s="81" t="str">
        <f aca="false">_xlfn.IFNA(VLOOKUP(C268,'بيانات الآليات '!A:G,5,FALSE()),"")</f>
        <v/>
      </c>
      <c r="I268" s="82"/>
      <c r="J268" s="83" t="str">
        <f aca="false">_xlfn.IFNA(VLOOKUP(I268,Table14543[],2,FALSE()),"")</f>
        <v/>
      </c>
      <c r="K268" s="84" t="str">
        <f aca="false">_xlfn.IFNA(VLOOKUP(I268,Table14543[],3,FALSE()),"")</f>
        <v/>
      </c>
      <c r="L268" s="83" t="str">
        <f aca="false">CONCATENATE("",I268,""," ",J268," ",K268)</f>
        <v>  </v>
      </c>
      <c r="M268" s="85"/>
      <c r="N268" s="86"/>
      <c r="O268" s="86"/>
      <c r="P268" s="86" t="n">
        <f aca="false">N268*O268</f>
        <v>0</v>
      </c>
      <c r="Q268" s="86"/>
      <c r="R268" s="87" t="n">
        <f aca="false">(O268*N268)+Q268</f>
        <v>0</v>
      </c>
      <c r="S268" s="91"/>
    </row>
    <row r="269" customFormat="false" ht="14.25" hidden="false" customHeight="false" outlineLevel="0" collapsed="false">
      <c r="A269" s="77"/>
      <c r="B269" s="78"/>
      <c r="C269" s="79"/>
      <c r="D269" s="79"/>
      <c r="E269" s="80" t="str">
        <f aca="false">_xlfn.IFNA(VLOOKUP(C269,'بيانات الآليات '!A:G,4,FALSE()),"")</f>
        <v/>
      </c>
      <c r="F269" s="81" t="str">
        <f aca="false">_xlfn.IFNA(VLOOKUP(C269,'بيانات الآليات '!A:G,2,FALSE()),"")</f>
        <v/>
      </c>
      <c r="G269" s="81"/>
      <c r="H269" s="81" t="str">
        <f aca="false">_xlfn.IFNA(VLOOKUP(C269,'بيانات الآليات '!A:G,5,FALSE()),"")</f>
        <v/>
      </c>
      <c r="I269" s="82"/>
      <c r="J269" s="83" t="str">
        <f aca="false">_xlfn.IFNA(VLOOKUP(I269,Table14543[],2,FALSE()),"")</f>
        <v/>
      </c>
      <c r="K269" s="84" t="str">
        <f aca="false">_xlfn.IFNA(VLOOKUP(I269,Table14543[],3,FALSE()),"")</f>
        <v/>
      </c>
      <c r="L269" s="83" t="str">
        <f aca="false">CONCATENATE("",I269,""," ",J269," ",K269)</f>
        <v>  </v>
      </c>
      <c r="M269" s="85"/>
      <c r="N269" s="86"/>
      <c r="O269" s="86"/>
      <c r="P269" s="86" t="n">
        <f aca="false">N269*O269</f>
        <v>0</v>
      </c>
      <c r="Q269" s="86"/>
      <c r="R269" s="87" t="n">
        <f aca="false">(O269*N269)+Q269</f>
        <v>0</v>
      </c>
      <c r="S269" s="91"/>
    </row>
    <row r="270" customFormat="false" ht="14.25" hidden="false" customHeight="false" outlineLevel="0" collapsed="false">
      <c r="A270" s="77"/>
      <c r="B270" s="78"/>
      <c r="C270" s="79"/>
      <c r="D270" s="79"/>
      <c r="E270" s="80" t="str">
        <f aca="false">_xlfn.IFNA(VLOOKUP(C270,'بيانات الآليات '!A:G,4,FALSE()),"")</f>
        <v/>
      </c>
      <c r="F270" s="81" t="str">
        <f aca="false">_xlfn.IFNA(VLOOKUP(C270,'بيانات الآليات '!A:G,2,FALSE()),"")</f>
        <v/>
      </c>
      <c r="G270" s="81"/>
      <c r="H270" s="81" t="str">
        <f aca="false">_xlfn.IFNA(VLOOKUP(C270,'بيانات الآليات '!A:G,5,FALSE()),"")</f>
        <v/>
      </c>
      <c r="I270" s="82"/>
      <c r="J270" s="83" t="str">
        <f aca="false">_xlfn.IFNA(VLOOKUP(I270,Table14543[],2,FALSE()),"")</f>
        <v/>
      </c>
      <c r="K270" s="84" t="str">
        <f aca="false">_xlfn.IFNA(VLOOKUP(I270,Table14543[],3,FALSE()),"")</f>
        <v/>
      </c>
      <c r="L270" s="83" t="str">
        <f aca="false">CONCATENATE("",I270,""," ",J270," ",K270)</f>
        <v>  </v>
      </c>
      <c r="M270" s="85"/>
      <c r="N270" s="86"/>
      <c r="O270" s="86"/>
      <c r="P270" s="86" t="n">
        <f aca="false">N270*O270</f>
        <v>0</v>
      </c>
      <c r="Q270" s="86"/>
      <c r="R270" s="87" t="n">
        <f aca="false">(O270*N270)+Q270</f>
        <v>0</v>
      </c>
      <c r="S270" s="91"/>
    </row>
    <row r="271" customFormat="false" ht="14.25" hidden="false" customHeight="false" outlineLevel="0" collapsed="false">
      <c r="A271" s="77"/>
      <c r="B271" s="78"/>
      <c r="C271" s="79"/>
      <c r="D271" s="79"/>
      <c r="E271" s="80" t="str">
        <f aca="false">_xlfn.IFNA(VLOOKUP(C271,'بيانات الآليات '!A:G,4,FALSE()),"")</f>
        <v/>
      </c>
      <c r="F271" s="81" t="str">
        <f aca="false">_xlfn.IFNA(VLOOKUP(C271,'بيانات الآليات '!A:G,2,FALSE()),"")</f>
        <v/>
      </c>
      <c r="G271" s="81"/>
      <c r="H271" s="81" t="str">
        <f aca="false">_xlfn.IFNA(VLOOKUP(C271,'بيانات الآليات '!A:G,5,FALSE()),"")</f>
        <v/>
      </c>
      <c r="I271" s="82"/>
      <c r="J271" s="83" t="str">
        <f aca="false">_xlfn.IFNA(VLOOKUP(I271,Table14543[],2,FALSE()),"")</f>
        <v/>
      </c>
      <c r="K271" s="84" t="str">
        <f aca="false">_xlfn.IFNA(VLOOKUP(I271,Table14543[],3,FALSE()),"")</f>
        <v/>
      </c>
      <c r="L271" s="83" t="str">
        <f aca="false">CONCATENATE("",I271,""," ",J271," ",K271)</f>
        <v>  </v>
      </c>
      <c r="M271" s="85"/>
      <c r="N271" s="86"/>
      <c r="O271" s="86"/>
      <c r="P271" s="86" t="n">
        <f aca="false">N271*O271</f>
        <v>0</v>
      </c>
      <c r="Q271" s="86"/>
      <c r="R271" s="87" t="n">
        <f aca="false">(O271*N271)+Q271</f>
        <v>0</v>
      </c>
      <c r="S271" s="91"/>
    </row>
    <row r="272" customFormat="false" ht="14.25" hidden="false" customHeight="false" outlineLevel="0" collapsed="false">
      <c r="A272" s="77"/>
      <c r="B272" s="78"/>
      <c r="C272" s="79"/>
      <c r="D272" s="79"/>
      <c r="E272" s="80" t="str">
        <f aca="false">_xlfn.IFNA(VLOOKUP(C272,'بيانات الآليات '!A:G,4,FALSE()),"")</f>
        <v/>
      </c>
      <c r="F272" s="81" t="str">
        <f aca="false">_xlfn.IFNA(VLOOKUP(C272,'بيانات الآليات '!A:G,2,FALSE()),"")</f>
        <v/>
      </c>
      <c r="G272" s="81"/>
      <c r="H272" s="81" t="str">
        <f aca="false">_xlfn.IFNA(VLOOKUP(C272,'بيانات الآليات '!A:G,5,FALSE()),"")</f>
        <v/>
      </c>
      <c r="I272" s="82"/>
      <c r="J272" s="83" t="str">
        <f aca="false">_xlfn.IFNA(VLOOKUP(I272,Table14543[],2,FALSE()),"")</f>
        <v/>
      </c>
      <c r="K272" s="84" t="str">
        <f aca="false">_xlfn.IFNA(VLOOKUP(I272,Table14543[],3,FALSE()),"")</f>
        <v/>
      </c>
      <c r="L272" s="83" t="str">
        <f aca="false">CONCATENATE("",I272,""," ",J272," ",K272)</f>
        <v>  </v>
      </c>
      <c r="M272" s="85"/>
      <c r="N272" s="86"/>
      <c r="O272" s="86"/>
      <c r="P272" s="86" t="n">
        <f aca="false">N272*O272</f>
        <v>0</v>
      </c>
      <c r="Q272" s="86"/>
      <c r="R272" s="87" t="n">
        <f aca="false">(O272*N272)+Q272</f>
        <v>0</v>
      </c>
      <c r="S272" s="91"/>
    </row>
    <row r="273" customFormat="false" ht="14.25" hidden="false" customHeight="false" outlineLevel="0" collapsed="false">
      <c r="A273" s="77"/>
      <c r="B273" s="78"/>
      <c r="C273" s="79"/>
      <c r="D273" s="79"/>
      <c r="E273" s="80" t="str">
        <f aca="false">_xlfn.IFNA(VLOOKUP(C273,'بيانات الآليات '!A:G,4,FALSE()),"")</f>
        <v/>
      </c>
      <c r="F273" s="81" t="str">
        <f aca="false">_xlfn.IFNA(VLOOKUP(C273,'بيانات الآليات '!A:G,2,FALSE()),"")</f>
        <v/>
      </c>
      <c r="G273" s="81"/>
      <c r="H273" s="81" t="str">
        <f aca="false">_xlfn.IFNA(VLOOKUP(C273,'بيانات الآليات '!A:G,5,FALSE()),"")</f>
        <v/>
      </c>
      <c r="I273" s="82"/>
      <c r="J273" s="83" t="str">
        <f aca="false">_xlfn.IFNA(VLOOKUP(I273,Table14543[],2,FALSE()),"")</f>
        <v/>
      </c>
      <c r="K273" s="84" t="str">
        <f aca="false">_xlfn.IFNA(VLOOKUP(I273,Table14543[],3,FALSE()),"")</f>
        <v/>
      </c>
      <c r="L273" s="83" t="str">
        <f aca="false">CONCATENATE("",I273,""," ",J273," ",K273)</f>
        <v>  </v>
      </c>
      <c r="M273" s="85"/>
      <c r="N273" s="86"/>
      <c r="O273" s="86"/>
      <c r="P273" s="86" t="n">
        <f aca="false">N273*O273</f>
        <v>0</v>
      </c>
      <c r="Q273" s="86"/>
      <c r="R273" s="87" t="n">
        <f aca="false">(O273*N273)+Q273</f>
        <v>0</v>
      </c>
      <c r="S273" s="91"/>
    </row>
    <row r="274" customFormat="false" ht="14.25" hidden="false" customHeight="false" outlineLevel="0" collapsed="false">
      <c r="A274" s="77"/>
      <c r="B274" s="78"/>
      <c r="C274" s="79"/>
      <c r="D274" s="79"/>
      <c r="E274" s="80" t="str">
        <f aca="false">_xlfn.IFNA(VLOOKUP(C274,'بيانات الآليات '!A:G,4,FALSE()),"")</f>
        <v/>
      </c>
      <c r="F274" s="81" t="str">
        <f aca="false">_xlfn.IFNA(VLOOKUP(C274,'بيانات الآليات '!A:G,2,FALSE()),"")</f>
        <v/>
      </c>
      <c r="G274" s="81"/>
      <c r="H274" s="81" t="str">
        <f aca="false">_xlfn.IFNA(VLOOKUP(C274,'بيانات الآليات '!A:G,5,FALSE()),"")</f>
        <v/>
      </c>
      <c r="I274" s="82"/>
      <c r="J274" s="83" t="str">
        <f aca="false">_xlfn.IFNA(VLOOKUP(I274,Table14543[],2,FALSE()),"")</f>
        <v/>
      </c>
      <c r="K274" s="84" t="str">
        <f aca="false">_xlfn.IFNA(VLOOKUP(I274,Table14543[],3,FALSE()),"")</f>
        <v/>
      </c>
      <c r="L274" s="83" t="str">
        <f aca="false">CONCATENATE("",I274,""," ",J274," ",K274)</f>
        <v>  </v>
      </c>
      <c r="M274" s="85"/>
      <c r="N274" s="86"/>
      <c r="O274" s="86"/>
      <c r="P274" s="86" t="n">
        <f aca="false">N274*O274</f>
        <v>0</v>
      </c>
      <c r="Q274" s="86"/>
      <c r="R274" s="87" t="n">
        <f aca="false">(O274*N274)+Q274</f>
        <v>0</v>
      </c>
      <c r="S274" s="91"/>
    </row>
    <row r="275" customFormat="false" ht="14.25" hidden="false" customHeight="false" outlineLevel="0" collapsed="false">
      <c r="A275" s="77"/>
      <c r="B275" s="78"/>
      <c r="C275" s="79"/>
      <c r="D275" s="79"/>
      <c r="E275" s="80" t="str">
        <f aca="false">_xlfn.IFNA(VLOOKUP(C275,'بيانات الآليات '!A:G,4,FALSE()),"")</f>
        <v/>
      </c>
      <c r="F275" s="81" t="str">
        <f aca="false">_xlfn.IFNA(VLOOKUP(C275,'بيانات الآليات '!A:G,2,FALSE()),"")</f>
        <v/>
      </c>
      <c r="G275" s="81"/>
      <c r="H275" s="81" t="str">
        <f aca="false">_xlfn.IFNA(VLOOKUP(C275,'بيانات الآليات '!A:G,5,FALSE()),"")</f>
        <v/>
      </c>
      <c r="I275" s="82"/>
      <c r="J275" s="83" t="str">
        <f aca="false">_xlfn.IFNA(VLOOKUP(I275,Table14543[],2,FALSE()),"")</f>
        <v/>
      </c>
      <c r="K275" s="84" t="str">
        <f aca="false">_xlfn.IFNA(VLOOKUP(I275,Table14543[],3,FALSE()),"")</f>
        <v/>
      </c>
      <c r="L275" s="83" t="str">
        <f aca="false">CONCATENATE("",I275,""," ",J275," ",K275)</f>
        <v>  </v>
      </c>
      <c r="M275" s="85"/>
      <c r="N275" s="86"/>
      <c r="O275" s="86"/>
      <c r="P275" s="86" t="n">
        <f aca="false">N275*O275</f>
        <v>0</v>
      </c>
      <c r="Q275" s="86"/>
      <c r="R275" s="87" t="n">
        <f aca="false">(O275*N275)+Q275</f>
        <v>0</v>
      </c>
      <c r="S275" s="91"/>
    </row>
    <row r="276" customFormat="false" ht="14.25" hidden="false" customHeight="false" outlineLevel="0" collapsed="false">
      <c r="A276" s="77"/>
      <c r="B276" s="78"/>
      <c r="C276" s="79"/>
      <c r="D276" s="79"/>
      <c r="E276" s="80" t="str">
        <f aca="false">_xlfn.IFNA(VLOOKUP(C276,'بيانات الآليات '!A:G,4,FALSE()),"")</f>
        <v/>
      </c>
      <c r="F276" s="81" t="str">
        <f aca="false">_xlfn.IFNA(VLOOKUP(C276,'بيانات الآليات '!A:G,2,FALSE()),"")</f>
        <v/>
      </c>
      <c r="G276" s="81"/>
      <c r="H276" s="81" t="str">
        <f aca="false">_xlfn.IFNA(VLOOKUP(C276,'بيانات الآليات '!A:G,5,FALSE()),"")</f>
        <v/>
      </c>
      <c r="I276" s="82"/>
      <c r="J276" s="83" t="str">
        <f aca="false">_xlfn.IFNA(VLOOKUP(I276,Table14543[],2,FALSE()),"")</f>
        <v/>
      </c>
      <c r="K276" s="84" t="str">
        <f aca="false">_xlfn.IFNA(VLOOKUP(I276,Table14543[],3,FALSE()),"")</f>
        <v/>
      </c>
      <c r="L276" s="83" t="str">
        <f aca="false">CONCATENATE("",I276,""," ",J276," ",K276)</f>
        <v>  </v>
      </c>
      <c r="M276" s="85"/>
      <c r="N276" s="86"/>
      <c r="O276" s="86"/>
      <c r="P276" s="86" t="n">
        <f aca="false">N276*O276</f>
        <v>0</v>
      </c>
      <c r="Q276" s="86"/>
      <c r="R276" s="87" t="n">
        <f aca="false">(O276*N276)+Q276</f>
        <v>0</v>
      </c>
      <c r="S276" s="91"/>
    </row>
    <row r="277" customFormat="false" ht="14.25" hidden="false" customHeight="false" outlineLevel="0" collapsed="false">
      <c r="A277" s="77"/>
      <c r="B277" s="78"/>
      <c r="C277" s="79"/>
      <c r="D277" s="79"/>
      <c r="E277" s="80" t="str">
        <f aca="false">_xlfn.IFNA(VLOOKUP(C277,'بيانات الآليات '!A:G,4,FALSE()),"")</f>
        <v/>
      </c>
      <c r="F277" s="81" t="str">
        <f aca="false">_xlfn.IFNA(VLOOKUP(C277,'بيانات الآليات '!A:G,2,FALSE()),"")</f>
        <v/>
      </c>
      <c r="G277" s="81"/>
      <c r="H277" s="81" t="str">
        <f aca="false">_xlfn.IFNA(VLOOKUP(C277,'بيانات الآليات '!A:G,5,FALSE()),"")</f>
        <v/>
      </c>
      <c r="I277" s="82"/>
      <c r="J277" s="83" t="str">
        <f aca="false">_xlfn.IFNA(VLOOKUP(I277,Table14543[],2,FALSE()),"")</f>
        <v/>
      </c>
      <c r="K277" s="84" t="str">
        <f aca="false">_xlfn.IFNA(VLOOKUP(I277,Table14543[],3,FALSE()),"")</f>
        <v/>
      </c>
      <c r="L277" s="83" t="str">
        <f aca="false">CONCATENATE("",I277,""," ",J277," ",K277)</f>
        <v>  </v>
      </c>
      <c r="M277" s="85"/>
      <c r="N277" s="86"/>
      <c r="O277" s="86"/>
      <c r="P277" s="86" t="n">
        <f aca="false">N277*O277</f>
        <v>0</v>
      </c>
      <c r="Q277" s="86"/>
      <c r="R277" s="87" t="n">
        <f aca="false">(O277*N277)+Q277</f>
        <v>0</v>
      </c>
      <c r="S277" s="91"/>
    </row>
    <row r="278" customFormat="false" ht="14.25" hidden="false" customHeight="false" outlineLevel="0" collapsed="false">
      <c r="A278" s="77"/>
      <c r="B278" s="78"/>
      <c r="C278" s="79"/>
      <c r="D278" s="79"/>
      <c r="E278" s="80" t="str">
        <f aca="false">_xlfn.IFNA(VLOOKUP(C278,'بيانات الآليات '!A:G,4,FALSE()),"")</f>
        <v/>
      </c>
      <c r="F278" s="81" t="str">
        <f aca="false">_xlfn.IFNA(VLOOKUP(C278,'بيانات الآليات '!A:G,2,FALSE()),"")</f>
        <v/>
      </c>
      <c r="G278" s="81"/>
      <c r="H278" s="81" t="str">
        <f aca="false">_xlfn.IFNA(VLOOKUP(C278,'بيانات الآليات '!A:G,5,FALSE()),"")</f>
        <v/>
      </c>
      <c r="I278" s="82"/>
      <c r="J278" s="83" t="str">
        <f aca="false">_xlfn.IFNA(VLOOKUP(I278,Table14543[],2,FALSE()),"")</f>
        <v/>
      </c>
      <c r="K278" s="84" t="str">
        <f aca="false">_xlfn.IFNA(VLOOKUP(I278,Table14543[],3,FALSE()),"")</f>
        <v/>
      </c>
      <c r="L278" s="83" t="str">
        <f aca="false">CONCATENATE("",I278,""," ",J278," ",K278)</f>
        <v>  </v>
      </c>
      <c r="M278" s="85"/>
      <c r="N278" s="86"/>
      <c r="O278" s="86"/>
      <c r="P278" s="86" t="n">
        <f aca="false">N278*O278</f>
        <v>0</v>
      </c>
      <c r="Q278" s="86"/>
      <c r="R278" s="87" t="n">
        <f aca="false">(O278*N278)+Q278</f>
        <v>0</v>
      </c>
      <c r="S278" s="91"/>
    </row>
    <row r="279" customFormat="false" ht="14.25" hidden="false" customHeight="false" outlineLevel="0" collapsed="false">
      <c r="A279" s="77"/>
      <c r="B279" s="78"/>
      <c r="C279" s="79"/>
      <c r="D279" s="79"/>
      <c r="E279" s="80" t="str">
        <f aca="false">_xlfn.IFNA(VLOOKUP(C279,'بيانات الآليات '!A:G,4,FALSE()),"")</f>
        <v/>
      </c>
      <c r="F279" s="81" t="str">
        <f aca="false">_xlfn.IFNA(VLOOKUP(C279,'بيانات الآليات '!A:G,2,FALSE()),"")</f>
        <v/>
      </c>
      <c r="G279" s="81"/>
      <c r="H279" s="81" t="str">
        <f aca="false">_xlfn.IFNA(VLOOKUP(C279,'بيانات الآليات '!A:G,5,FALSE()),"")</f>
        <v/>
      </c>
      <c r="I279" s="82"/>
      <c r="J279" s="83" t="str">
        <f aca="false">_xlfn.IFNA(VLOOKUP(I279,Table14543[],2,FALSE()),"")</f>
        <v/>
      </c>
      <c r="K279" s="84" t="str">
        <f aca="false">_xlfn.IFNA(VLOOKUP(I279,Table14543[],3,FALSE()),"")</f>
        <v/>
      </c>
      <c r="L279" s="83" t="str">
        <f aca="false">CONCATENATE("",I279,""," ",J279," ",K279)</f>
        <v>  </v>
      </c>
      <c r="M279" s="85"/>
      <c r="N279" s="86"/>
      <c r="O279" s="86"/>
      <c r="P279" s="86" t="n">
        <f aca="false">N279*O279</f>
        <v>0</v>
      </c>
      <c r="Q279" s="86"/>
      <c r="R279" s="87" t="n">
        <f aca="false">(O279*N279)+Q279</f>
        <v>0</v>
      </c>
      <c r="S279" s="91"/>
    </row>
    <row r="280" customFormat="false" ht="14.25" hidden="false" customHeight="false" outlineLevel="0" collapsed="false">
      <c r="A280" s="77"/>
      <c r="B280" s="78"/>
      <c r="C280" s="79"/>
      <c r="D280" s="79"/>
      <c r="E280" s="80" t="str">
        <f aca="false">_xlfn.IFNA(VLOOKUP(C280,'بيانات الآليات '!A:G,4,FALSE()),"")</f>
        <v/>
      </c>
      <c r="F280" s="81" t="str">
        <f aca="false">_xlfn.IFNA(VLOOKUP(C280,'بيانات الآليات '!A:G,2,FALSE()),"")</f>
        <v/>
      </c>
      <c r="G280" s="81"/>
      <c r="H280" s="81" t="str">
        <f aca="false">_xlfn.IFNA(VLOOKUP(C280,'بيانات الآليات '!A:G,5,FALSE()),"")</f>
        <v/>
      </c>
      <c r="I280" s="82"/>
      <c r="J280" s="83" t="str">
        <f aca="false">_xlfn.IFNA(VLOOKUP(I280,Table14543[],2,FALSE()),"")</f>
        <v/>
      </c>
      <c r="K280" s="84" t="str">
        <f aca="false">_xlfn.IFNA(VLOOKUP(I280,Table14543[],3,FALSE()),"")</f>
        <v/>
      </c>
      <c r="L280" s="83" t="str">
        <f aca="false">CONCATENATE("",I280,""," ",J280," ",K280)</f>
        <v>  </v>
      </c>
      <c r="M280" s="85"/>
      <c r="N280" s="86"/>
      <c r="O280" s="86"/>
      <c r="P280" s="86" t="n">
        <f aca="false">N280*O280</f>
        <v>0</v>
      </c>
      <c r="Q280" s="86"/>
      <c r="R280" s="87" t="n">
        <f aca="false">(O280*N280)+Q280</f>
        <v>0</v>
      </c>
      <c r="S280" s="91"/>
    </row>
    <row r="281" customFormat="false" ht="14.25" hidden="false" customHeight="false" outlineLevel="0" collapsed="false">
      <c r="A281" s="77"/>
      <c r="B281" s="78"/>
      <c r="C281" s="79"/>
      <c r="D281" s="79"/>
      <c r="E281" s="80" t="str">
        <f aca="false">_xlfn.IFNA(VLOOKUP(C281,'بيانات الآليات '!A:G,4,FALSE()),"")</f>
        <v/>
      </c>
      <c r="F281" s="81" t="str">
        <f aca="false">_xlfn.IFNA(VLOOKUP(C281,'بيانات الآليات '!A:G,2,FALSE()),"")</f>
        <v/>
      </c>
      <c r="G281" s="81"/>
      <c r="H281" s="81" t="str">
        <f aca="false">_xlfn.IFNA(VLOOKUP(C281,'بيانات الآليات '!A:G,5,FALSE()),"")</f>
        <v/>
      </c>
      <c r="I281" s="82"/>
      <c r="J281" s="83" t="str">
        <f aca="false">_xlfn.IFNA(VLOOKUP(I281,Table14543[],2,FALSE()),"")</f>
        <v/>
      </c>
      <c r="K281" s="84" t="str">
        <f aca="false">_xlfn.IFNA(VLOOKUP(I281,Table14543[],3,FALSE()),"")</f>
        <v/>
      </c>
      <c r="L281" s="83" t="str">
        <f aca="false">CONCATENATE("",I281,""," ",J281," ",K281)</f>
        <v>  </v>
      </c>
      <c r="M281" s="85"/>
      <c r="N281" s="86"/>
      <c r="O281" s="86"/>
      <c r="P281" s="86" t="n">
        <f aca="false">N281*O281</f>
        <v>0</v>
      </c>
      <c r="Q281" s="86"/>
      <c r="R281" s="87" t="n">
        <f aca="false">(O281*N281)+Q281</f>
        <v>0</v>
      </c>
      <c r="S281" s="91"/>
    </row>
    <row r="282" customFormat="false" ht="14.25" hidden="false" customHeight="false" outlineLevel="0" collapsed="false">
      <c r="A282" s="77"/>
      <c r="B282" s="78"/>
      <c r="C282" s="79"/>
      <c r="D282" s="79"/>
      <c r="E282" s="80" t="str">
        <f aca="false">_xlfn.IFNA(VLOOKUP(C282,'بيانات الآليات '!A:G,4,FALSE()),"")</f>
        <v/>
      </c>
      <c r="F282" s="81" t="str">
        <f aca="false">_xlfn.IFNA(VLOOKUP(C282,'بيانات الآليات '!A:G,2,FALSE()),"")</f>
        <v/>
      </c>
      <c r="G282" s="81"/>
      <c r="H282" s="81" t="str">
        <f aca="false">_xlfn.IFNA(VLOOKUP(C282,'بيانات الآليات '!A:G,5,FALSE()),"")</f>
        <v/>
      </c>
      <c r="I282" s="82"/>
      <c r="J282" s="83" t="str">
        <f aca="false">_xlfn.IFNA(VLOOKUP(I282,Table14543[],2,FALSE()),"")</f>
        <v/>
      </c>
      <c r="K282" s="84" t="str">
        <f aca="false">_xlfn.IFNA(VLOOKUP(I282,Table14543[],3,FALSE()),"")</f>
        <v/>
      </c>
      <c r="L282" s="83" t="str">
        <f aca="false">CONCATENATE("",I282,""," ",J282," ",K282)</f>
        <v>  </v>
      </c>
      <c r="M282" s="85"/>
      <c r="N282" s="86"/>
      <c r="O282" s="86"/>
      <c r="P282" s="86" t="n">
        <f aca="false">N282*O282</f>
        <v>0</v>
      </c>
      <c r="Q282" s="86"/>
      <c r="R282" s="87" t="n">
        <f aca="false">(O282*N282)+Q282</f>
        <v>0</v>
      </c>
      <c r="S282" s="91"/>
    </row>
    <row r="283" customFormat="false" ht="14.25" hidden="false" customHeight="false" outlineLevel="0" collapsed="false">
      <c r="A283" s="77"/>
      <c r="B283" s="78"/>
      <c r="C283" s="79"/>
      <c r="D283" s="79"/>
      <c r="E283" s="80" t="str">
        <f aca="false">_xlfn.IFNA(VLOOKUP(C283,'بيانات الآليات '!A:G,4,FALSE()),"")</f>
        <v/>
      </c>
      <c r="F283" s="81" t="str">
        <f aca="false">_xlfn.IFNA(VLOOKUP(C283,'بيانات الآليات '!A:G,2,FALSE()),"")</f>
        <v/>
      </c>
      <c r="G283" s="81"/>
      <c r="H283" s="81" t="str">
        <f aca="false">_xlfn.IFNA(VLOOKUP(C283,'بيانات الآليات '!A:G,5,FALSE()),"")</f>
        <v/>
      </c>
      <c r="I283" s="82"/>
      <c r="J283" s="83" t="str">
        <f aca="false">_xlfn.IFNA(VLOOKUP(I283,Table14543[],2,FALSE()),"")</f>
        <v/>
      </c>
      <c r="K283" s="84" t="str">
        <f aca="false">_xlfn.IFNA(VLOOKUP(I283,Table14543[],3,FALSE()),"")</f>
        <v/>
      </c>
      <c r="L283" s="83" t="str">
        <f aca="false">CONCATENATE("",I283,""," ",J283," ",K283)</f>
        <v>  </v>
      </c>
      <c r="M283" s="85"/>
      <c r="N283" s="86"/>
      <c r="O283" s="86"/>
      <c r="P283" s="86" t="n">
        <f aca="false">N283*O283</f>
        <v>0</v>
      </c>
      <c r="Q283" s="86"/>
      <c r="R283" s="87" t="n">
        <f aca="false">(O283*N283)+Q283</f>
        <v>0</v>
      </c>
      <c r="S283" s="91"/>
    </row>
    <row r="284" customFormat="false" ht="14.25" hidden="false" customHeight="false" outlineLevel="0" collapsed="false">
      <c r="A284" s="77"/>
      <c r="B284" s="78"/>
      <c r="C284" s="79"/>
      <c r="D284" s="79"/>
      <c r="E284" s="80" t="str">
        <f aca="false">_xlfn.IFNA(VLOOKUP(C284,'بيانات الآليات '!A:G,4,FALSE()),"")</f>
        <v/>
      </c>
      <c r="F284" s="81" t="str">
        <f aca="false">_xlfn.IFNA(VLOOKUP(C284,'بيانات الآليات '!A:G,2,FALSE()),"")</f>
        <v/>
      </c>
      <c r="G284" s="81"/>
      <c r="H284" s="81" t="str">
        <f aca="false">_xlfn.IFNA(VLOOKUP(C284,'بيانات الآليات '!A:G,5,FALSE()),"")</f>
        <v/>
      </c>
      <c r="I284" s="82"/>
      <c r="J284" s="83" t="str">
        <f aca="false">_xlfn.IFNA(VLOOKUP(I284,Table14543[],2,FALSE()),"")</f>
        <v/>
      </c>
      <c r="K284" s="84" t="str">
        <f aca="false">_xlfn.IFNA(VLOOKUP(I284,Table14543[],3,FALSE()),"")</f>
        <v/>
      </c>
      <c r="L284" s="83" t="str">
        <f aca="false">CONCATENATE("",I284,""," ",J284," ",K284)</f>
        <v>  </v>
      </c>
      <c r="M284" s="85"/>
      <c r="N284" s="86"/>
      <c r="O284" s="86"/>
      <c r="P284" s="86" t="n">
        <f aca="false">N284*O284</f>
        <v>0</v>
      </c>
      <c r="Q284" s="86"/>
      <c r="R284" s="87" t="n">
        <f aca="false">(O284*N284)+Q284</f>
        <v>0</v>
      </c>
      <c r="S284" s="91"/>
    </row>
    <row r="285" customFormat="false" ht="14.25" hidden="false" customHeight="false" outlineLevel="0" collapsed="false">
      <c r="A285" s="77"/>
      <c r="B285" s="78"/>
      <c r="C285" s="79"/>
      <c r="D285" s="79"/>
      <c r="E285" s="80" t="str">
        <f aca="false">_xlfn.IFNA(VLOOKUP(C285,'بيانات الآليات '!A:G,4,FALSE()),"")</f>
        <v/>
      </c>
      <c r="F285" s="81" t="str">
        <f aca="false">_xlfn.IFNA(VLOOKUP(C285,'بيانات الآليات '!A:G,2,FALSE()),"")</f>
        <v/>
      </c>
      <c r="G285" s="81"/>
      <c r="H285" s="81" t="str">
        <f aca="false">_xlfn.IFNA(VLOOKUP(C285,'بيانات الآليات '!A:G,5,FALSE()),"")</f>
        <v/>
      </c>
      <c r="I285" s="82"/>
      <c r="J285" s="83" t="str">
        <f aca="false">_xlfn.IFNA(VLOOKUP(I285,Table14543[],2,FALSE()),"")</f>
        <v/>
      </c>
      <c r="K285" s="84" t="str">
        <f aca="false">_xlfn.IFNA(VLOOKUP(I285,Table14543[],3,FALSE()),"")</f>
        <v/>
      </c>
      <c r="L285" s="83" t="str">
        <f aca="false">CONCATENATE("",I285,""," ",J285," ",K285)</f>
        <v>  </v>
      </c>
      <c r="M285" s="85"/>
      <c r="N285" s="86"/>
      <c r="O285" s="86"/>
      <c r="P285" s="86" t="n">
        <f aca="false">N285*O285</f>
        <v>0</v>
      </c>
      <c r="Q285" s="86"/>
      <c r="R285" s="87" t="n">
        <f aca="false">(O285*N285)+Q285</f>
        <v>0</v>
      </c>
      <c r="S285" s="91"/>
    </row>
    <row r="286" customFormat="false" ht="14.25" hidden="false" customHeight="false" outlineLevel="0" collapsed="false">
      <c r="A286" s="77"/>
      <c r="B286" s="78"/>
      <c r="C286" s="79"/>
      <c r="D286" s="79"/>
      <c r="E286" s="80" t="str">
        <f aca="false">_xlfn.IFNA(VLOOKUP(C286,'بيانات الآليات '!A:G,4,FALSE()),"")</f>
        <v/>
      </c>
      <c r="F286" s="81" t="str">
        <f aca="false">_xlfn.IFNA(VLOOKUP(C286,'بيانات الآليات '!A:G,2,FALSE()),"")</f>
        <v/>
      </c>
      <c r="G286" s="81"/>
      <c r="H286" s="81" t="str">
        <f aca="false">_xlfn.IFNA(VLOOKUP(C286,'بيانات الآليات '!A:G,5,FALSE()),"")</f>
        <v/>
      </c>
      <c r="I286" s="82"/>
      <c r="J286" s="83" t="str">
        <f aca="false">_xlfn.IFNA(VLOOKUP(I286,Table14543[],2,FALSE()),"")</f>
        <v/>
      </c>
      <c r="K286" s="84" t="str">
        <f aca="false">_xlfn.IFNA(VLOOKUP(I286,Table14543[],3,FALSE()),"")</f>
        <v/>
      </c>
      <c r="L286" s="83" t="str">
        <f aca="false">CONCATENATE("",I286,""," ",J286," ",K286)</f>
        <v>  </v>
      </c>
      <c r="M286" s="85"/>
      <c r="N286" s="86"/>
      <c r="O286" s="86"/>
      <c r="P286" s="86" t="n">
        <f aca="false">N286*O286</f>
        <v>0</v>
      </c>
      <c r="Q286" s="86"/>
      <c r="R286" s="87" t="n">
        <f aca="false">(O286*N286)+Q286</f>
        <v>0</v>
      </c>
      <c r="S286" s="91"/>
    </row>
    <row r="287" customFormat="false" ht="14.25" hidden="false" customHeight="false" outlineLevel="0" collapsed="false">
      <c r="A287" s="77"/>
      <c r="B287" s="78"/>
      <c r="C287" s="79"/>
      <c r="D287" s="79"/>
      <c r="E287" s="80" t="str">
        <f aca="false">_xlfn.IFNA(VLOOKUP(C287,'بيانات الآليات '!A:G,4,FALSE()),"")</f>
        <v/>
      </c>
      <c r="F287" s="81" t="str">
        <f aca="false">_xlfn.IFNA(VLOOKUP(C287,'بيانات الآليات '!A:G,2,FALSE()),"")</f>
        <v/>
      </c>
      <c r="G287" s="81"/>
      <c r="H287" s="81" t="str">
        <f aca="false">_xlfn.IFNA(VLOOKUP(C287,'بيانات الآليات '!A:G,5,FALSE()),"")</f>
        <v/>
      </c>
      <c r="I287" s="82"/>
      <c r="J287" s="83" t="str">
        <f aca="false">_xlfn.IFNA(VLOOKUP(I287,Table14543[],2,FALSE()),"")</f>
        <v/>
      </c>
      <c r="K287" s="84" t="str">
        <f aca="false">_xlfn.IFNA(VLOOKUP(I287,Table14543[],3,FALSE()),"")</f>
        <v/>
      </c>
      <c r="L287" s="83" t="str">
        <f aca="false">CONCATENATE("",I287,""," ",J287," ",K287)</f>
        <v>  </v>
      </c>
      <c r="M287" s="85"/>
      <c r="N287" s="86"/>
      <c r="O287" s="86"/>
      <c r="P287" s="86" t="n">
        <f aca="false">N287*O287</f>
        <v>0</v>
      </c>
      <c r="Q287" s="86"/>
      <c r="R287" s="87" t="n">
        <f aca="false">(O287*N287)+Q287</f>
        <v>0</v>
      </c>
      <c r="S287" s="91"/>
    </row>
    <row r="288" customFormat="false" ht="14.25" hidden="false" customHeight="false" outlineLevel="0" collapsed="false">
      <c r="A288" s="77"/>
      <c r="B288" s="78"/>
      <c r="C288" s="79"/>
      <c r="D288" s="79"/>
      <c r="E288" s="80" t="str">
        <f aca="false">_xlfn.IFNA(VLOOKUP(C288,'بيانات الآليات '!A:G,4,FALSE()),"")</f>
        <v/>
      </c>
      <c r="F288" s="81" t="str">
        <f aca="false">_xlfn.IFNA(VLOOKUP(C288,'بيانات الآليات '!A:G,2,FALSE()),"")</f>
        <v/>
      </c>
      <c r="G288" s="81"/>
      <c r="H288" s="81" t="str">
        <f aca="false">_xlfn.IFNA(VLOOKUP(C288,'بيانات الآليات '!A:G,5,FALSE()),"")</f>
        <v/>
      </c>
      <c r="I288" s="82"/>
      <c r="J288" s="83" t="str">
        <f aca="false">_xlfn.IFNA(VLOOKUP(I288,Table14543[],2,FALSE()),"")</f>
        <v/>
      </c>
      <c r="K288" s="84" t="str">
        <f aca="false">_xlfn.IFNA(VLOOKUP(I288,Table14543[],3,FALSE()),"")</f>
        <v/>
      </c>
      <c r="L288" s="83" t="str">
        <f aca="false">CONCATENATE("",I288,""," ",J288," ",K288)</f>
        <v>  </v>
      </c>
      <c r="M288" s="85"/>
      <c r="N288" s="86"/>
      <c r="O288" s="86"/>
      <c r="P288" s="86" t="n">
        <f aca="false">N288*O288</f>
        <v>0</v>
      </c>
      <c r="Q288" s="86"/>
      <c r="R288" s="87" t="n">
        <f aca="false">(O288*N288)+Q288</f>
        <v>0</v>
      </c>
      <c r="S288" s="91"/>
    </row>
    <row r="289" customFormat="false" ht="14.25" hidden="false" customHeight="false" outlineLevel="0" collapsed="false">
      <c r="A289" s="77"/>
      <c r="B289" s="78"/>
      <c r="C289" s="79"/>
      <c r="D289" s="79"/>
      <c r="E289" s="80" t="str">
        <f aca="false">_xlfn.IFNA(VLOOKUP(C289,'بيانات الآليات '!A:G,4,FALSE()),"")</f>
        <v/>
      </c>
      <c r="F289" s="81" t="str">
        <f aca="false">_xlfn.IFNA(VLOOKUP(C289,'بيانات الآليات '!A:G,2,FALSE()),"")</f>
        <v/>
      </c>
      <c r="G289" s="81"/>
      <c r="H289" s="81" t="str">
        <f aca="false">_xlfn.IFNA(VLOOKUP(C289,'بيانات الآليات '!A:G,5,FALSE()),"")</f>
        <v/>
      </c>
      <c r="I289" s="82"/>
      <c r="J289" s="83" t="str">
        <f aca="false">_xlfn.IFNA(VLOOKUP(I289,Table14543[],2,FALSE()),"")</f>
        <v/>
      </c>
      <c r="K289" s="84" t="str">
        <f aca="false">_xlfn.IFNA(VLOOKUP(I289,Table14543[],3,FALSE()),"")</f>
        <v/>
      </c>
      <c r="L289" s="83" t="str">
        <f aca="false">CONCATENATE("",I289,""," ",J289," ",K289)</f>
        <v>  </v>
      </c>
      <c r="M289" s="85"/>
      <c r="N289" s="86"/>
      <c r="O289" s="86"/>
      <c r="P289" s="86" t="n">
        <f aca="false">N289*O289</f>
        <v>0</v>
      </c>
      <c r="Q289" s="86"/>
      <c r="R289" s="87" t="n">
        <f aca="false">(O289*N289)+Q289</f>
        <v>0</v>
      </c>
      <c r="S289" s="91"/>
    </row>
    <row r="290" customFormat="false" ht="14.25" hidden="false" customHeight="false" outlineLevel="0" collapsed="false">
      <c r="A290" s="77"/>
      <c r="B290" s="78"/>
      <c r="C290" s="79"/>
      <c r="D290" s="79"/>
      <c r="E290" s="80" t="str">
        <f aca="false">_xlfn.IFNA(VLOOKUP(C290,'بيانات الآليات '!A:G,4,FALSE()),"")</f>
        <v/>
      </c>
      <c r="F290" s="81" t="str">
        <f aca="false">_xlfn.IFNA(VLOOKUP(C290,'بيانات الآليات '!A:G,2,FALSE()),"")</f>
        <v/>
      </c>
      <c r="G290" s="81"/>
      <c r="H290" s="81" t="str">
        <f aca="false">_xlfn.IFNA(VLOOKUP(C290,'بيانات الآليات '!A:G,5,FALSE()),"")</f>
        <v/>
      </c>
      <c r="I290" s="82"/>
      <c r="J290" s="83" t="str">
        <f aca="false">_xlfn.IFNA(VLOOKUP(I290,Table14543[],2,FALSE()),"")</f>
        <v/>
      </c>
      <c r="K290" s="84" t="str">
        <f aca="false">_xlfn.IFNA(VLOOKUP(I290,Table14543[],3,FALSE()),"")</f>
        <v/>
      </c>
      <c r="L290" s="83" t="str">
        <f aca="false">CONCATENATE("",I290,""," ",J290," ",K290)</f>
        <v>  </v>
      </c>
      <c r="M290" s="85"/>
      <c r="N290" s="86"/>
      <c r="O290" s="86"/>
      <c r="P290" s="86" t="n">
        <f aca="false">N290*O290</f>
        <v>0</v>
      </c>
      <c r="Q290" s="86"/>
      <c r="R290" s="87" t="n">
        <f aca="false">(O290*N290)+Q290</f>
        <v>0</v>
      </c>
      <c r="S290" s="91"/>
    </row>
    <row r="291" customFormat="false" ht="14.25" hidden="false" customHeight="false" outlineLevel="0" collapsed="false">
      <c r="A291" s="77"/>
      <c r="B291" s="78"/>
      <c r="C291" s="79"/>
      <c r="D291" s="79"/>
      <c r="E291" s="80" t="str">
        <f aca="false">_xlfn.IFNA(VLOOKUP(C291,'بيانات الآليات '!A:G,4,FALSE()),"")</f>
        <v/>
      </c>
      <c r="F291" s="81" t="str">
        <f aca="false">_xlfn.IFNA(VLOOKUP(C291,'بيانات الآليات '!A:G,2,FALSE()),"")</f>
        <v/>
      </c>
      <c r="G291" s="81"/>
      <c r="H291" s="81" t="str">
        <f aca="false">_xlfn.IFNA(VLOOKUP(C291,'بيانات الآليات '!A:G,5,FALSE()),"")</f>
        <v/>
      </c>
      <c r="I291" s="82"/>
      <c r="J291" s="83" t="str">
        <f aca="false">_xlfn.IFNA(VLOOKUP(I291,Table14543[],2,FALSE()),"")</f>
        <v/>
      </c>
      <c r="K291" s="84" t="str">
        <f aca="false">_xlfn.IFNA(VLOOKUP(I291,Table14543[],3,FALSE()),"")</f>
        <v/>
      </c>
      <c r="L291" s="83" t="str">
        <f aca="false">CONCATENATE("",I291,""," ",J291," ",K291)</f>
        <v>  </v>
      </c>
      <c r="M291" s="85"/>
      <c r="N291" s="86"/>
      <c r="O291" s="86"/>
      <c r="P291" s="86" t="n">
        <f aca="false">N291*O291</f>
        <v>0</v>
      </c>
      <c r="Q291" s="86"/>
      <c r="R291" s="87" t="n">
        <f aca="false">(O291*N291)+Q291</f>
        <v>0</v>
      </c>
      <c r="S291" s="91"/>
    </row>
    <row r="292" customFormat="false" ht="14.25" hidden="false" customHeight="false" outlineLevel="0" collapsed="false">
      <c r="A292" s="77"/>
      <c r="B292" s="78"/>
      <c r="C292" s="79"/>
      <c r="D292" s="79"/>
      <c r="E292" s="80" t="str">
        <f aca="false">_xlfn.IFNA(VLOOKUP(C292,'بيانات الآليات '!A:G,4,FALSE()),"")</f>
        <v/>
      </c>
      <c r="F292" s="81" t="str">
        <f aca="false">_xlfn.IFNA(VLOOKUP(C292,'بيانات الآليات '!A:G,2,FALSE()),"")</f>
        <v/>
      </c>
      <c r="G292" s="81"/>
      <c r="H292" s="81" t="str">
        <f aca="false">_xlfn.IFNA(VLOOKUP(C292,'بيانات الآليات '!A:G,5,FALSE()),"")</f>
        <v/>
      </c>
      <c r="I292" s="82"/>
      <c r="J292" s="83" t="str">
        <f aca="false">_xlfn.IFNA(VLOOKUP(I292,Table14543[],2,FALSE()),"")</f>
        <v/>
      </c>
      <c r="K292" s="84" t="str">
        <f aca="false">_xlfn.IFNA(VLOOKUP(I292,Table14543[],3,FALSE()),"")</f>
        <v/>
      </c>
      <c r="L292" s="83" t="str">
        <f aca="false">CONCATENATE("",I292,""," ",J292," ",K292)</f>
        <v>  </v>
      </c>
      <c r="M292" s="85"/>
      <c r="N292" s="86"/>
      <c r="O292" s="86"/>
      <c r="P292" s="86" t="n">
        <f aca="false">N292*O292</f>
        <v>0</v>
      </c>
      <c r="Q292" s="86"/>
      <c r="R292" s="87" t="n">
        <f aca="false">(O292*N292)+Q292</f>
        <v>0</v>
      </c>
      <c r="S292" s="91"/>
    </row>
    <row r="293" customFormat="false" ht="14.25" hidden="false" customHeight="false" outlineLevel="0" collapsed="false">
      <c r="A293" s="77"/>
      <c r="B293" s="78"/>
      <c r="C293" s="79"/>
      <c r="D293" s="79"/>
      <c r="E293" s="80" t="str">
        <f aca="false">_xlfn.IFNA(VLOOKUP(C293,'بيانات الآليات '!A:G,4,FALSE()),"")</f>
        <v/>
      </c>
      <c r="F293" s="81" t="str">
        <f aca="false">_xlfn.IFNA(VLOOKUP(C293,'بيانات الآليات '!A:G,2,FALSE()),"")</f>
        <v/>
      </c>
      <c r="G293" s="81"/>
      <c r="H293" s="81" t="str">
        <f aca="false">_xlfn.IFNA(VLOOKUP(C293,'بيانات الآليات '!A:G,5,FALSE()),"")</f>
        <v/>
      </c>
      <c r="I293" s="82"/>
      <c r="J293" s="83" t="str">
        <f aca="false">_xlfn.IFNA(VLOOKUP(I293,Table14543[],2,FALSE()),"")</f>
        <v/>
      </c>
      <c r="K293" s="84" t="str">
        <f aca="false">_xlfn.IFNA(VLOOKUP(I293,Table14543[],3,FALSE()),"")</f>
        <v/>
      </c>
      <c r="L293" s="83" t="str">
        <f aca="false">CONCATENATE("",I293,""," ",J293," ",K293)</f>
        <v>  </v>
      </c>
      <c r="M293" s="85"/>
      <c r="N293" s="86"/>
      <c r="O293" s="86"/>
      <c r="P293" s="86" t="n">
        <f aca="false">N293*O293</f>
        <v>0</v>
      </c>
      <c r="Q293" s="86"/>
      <c r="R293" s="87" t="n">
        <f aca="false">(O293*N293)+Q293</f>
        <v>0</v>
      </c>
      <c r="S293" s="91"/>
    </row>
    <row r="294" customFormat="false" ht="14.25" hidden="false" customHeight="false" outlineLevel="0" collapsed="false">
      <c r="A294" s="77"/>
      <c r="B294" s="78"/>
      <c r="C294" s="79"/>
      <c r="D294" s="79"/>
      <c r="E294" s="80" t="str">
        <f aca="false">_xlfn.IFNA(VLOOKUP(C294,'بيانات الآليات '!A:G,4,FALSE()),"")</f>
        <v/>
      </c>
      <c r="F294" s="81" t="str">
        <f aca="false">_xlfn.IFNA(VLOOKUP(C294,'بيانات الآليات '!A:G,2,FALSE()),"")</f>
        <v/>
      </c>
      <c r="G294" s="81"/>
      <c r="H294" s="81" t="str">
        <f aca="false">_xlfn.IFNA(VLOOKUP(C294,'بيانات الآليات '!A:G,5,FALSE()),"")</f>
        <v/>
      </c>
      <c r="I294" s="82"/>
      <c r="J294" s="83" t="str">
        <f aca="false">_xlfn.IFNA(VLOOKUP(I294,Table14543[],2,FALSE()),"")</f>
        <v/>
      </c>
      <c r="K294" s="84" t="str">
        <f aca="false">_xlfn.IFNA(VLOOKUP(I294,Table14543[],3,FALSE()),"")</f>
        <v/>
      </c>
      <c r="L294" s="83" t="str">
        <f aca="false">CONCATENATE("",I294,""," ",J294," ",K294)</f>
        <v>  </v>
      </c>
      <c r="M294" s="85"/>
      <c r="N294" s="86"/>
      <c r="O294" s="86"/>
      <c r="P294" s="86" t="n">
        <f aca="false">N294*O294</f>
        <v>0</v>
      </c>
      <c r="Q294" s="86"/>
      <c r="R294" s="87" t="n">
        <f aca="false">(O294*N294)+Q294</f>
        <v>0</v>
      </c>
      <c r="S294" s="91"/>
    </row>
    <row r="295" customFormat="false" ht="14.25" hidden="false" customHeight="false" outlineLevel="0" collapsed="false">
      <c r="A295" s="77"/>
      <c r="B295" s="78"/>
      <c r="C295" s="79"/>
      <c r="D295" s="79"/>
      <c r="E295" s="80" t="str">
        <f aca="false">_xlfn.IFNA(VLOOKUP(C295,'بيانات الآليات '!A:G,4,FALSE()),"")</f>
        <v/>
      </c>
      <c r="F295" s="81" t="str">
        <f aca="false">_xlfn.IFNA(VLOOKUP(C295,'بيانات الآليات '!A:G,2,FALSE()),"")</f>
        <v/>
      </c>
      <c r="G295" s="81"/>
      <c r="H295" s="81" t="str">
        <f aca="false">_xlfn.IFNA(VLOOKUP(C295,'بيانات الآليات '!A:G,5,FALSE()),"")</f>
        <v/>
      </c>
      <c r="I295" s="82"/>
      <c r="J295" s="83" t="str">
        <f aca="false">_xlfn.IFNA(VLOOKUP(I295,Table14543[],2,FALSE()),"")</f>
        <v/>
      </c>
      <c r="K295" s="84" t="str">
        <f aca="false">_xlfn.IFNA(VLOOKUP(I295,Table14543[],3,FALSE()),"")</f>
        <v/>
      </c>
      <c r="L295" s="83" t="str">
        <f aca="false">CONCATENATE("",I295,""," ",J295," ",K295)</f>
        <v>  </v>
      </c>
      <c r="M295" s="85"/>
      <c r="N295" s="86"/>
      <c r="O295" s="86"/>
      <c r="P295" s="86" t="n">
        <f aca="false">N295*O295</f>
        <v>0</v>
      </c>
      <c r="Q295" s="86"/>
      <c r="R295" s="87" t="n">
        <f aca="false">(O295*N295)+Q295</f>
        <v>0</v>
      </c>
      <c r="S295" s="91"/>
    </row>
    <row r="296" customFormat="false" ht="14.25" hidden="false" customHeight="false" outlineLevel="0" collapsed="false">
      <c r="A296" s="77"/>
      <c r="B296" s="78"/>
      <c r="C296" s="79"/>
      <c r="D296" s="79"/>
      <c r="E296" s="80" t="str">
        <f aca="false">_xlfn.IFNA(VLOOKUP(C296,'بيانات الآليات '!A:G,4,FALSE()),"")</f>
        <v/>
      </c>
      <c r="F296" s="81" t="str">
        <f aca="false">_xlfn.IFNA(VLOOKUP(C296,'بيانات الآليات '!A:G,2,FALSE()),"")</f>
        <v/>
      </c>
      <c r="G296" s="81"/>
      <c r="H296" s="81" t="str">
        <f aca="false">_xlfn.IFNA(VLOOKUP(C296,'بيانات الآليات '!A:G,5,FALSE()),"")</f>
        <v/>
      </c>
      <c r="I296" s="82"/>
      <c r="J296" s="83" t="str">
        <f aca="false">_xlfn.IFNA(VLOOKUP(I296,Table14543[],2,FALSE()),"")</f>
        <v/>
      </c>
      <c r="K296" s="84" t="str">
        <f aca="false">_xlfn.IFNA(VLOOKUP(I296,Table14543[],3,FALSE()),"")</f>
        <v/>
      </c>
      <c r="L296" s="83" t="str">
        <f aca="false">CONCATENATE("",I296,""," ",J296," ",K296)</f>
        <v>  </v>
      </c>
      <c r="M296" s="85"/>
      <c r="N296" s="86"/>
      <c r="O296" s="86"/>
      <c r="P296" s="86" t="n">
        <f aca="false">N296*O296</f>
        <v>0</v>
      </c>
      <c r="Q296" s="86"/>
      <c r="R296" s="87" t="n">
        <f aca="false">(O296*N296)+Q296</f>
        <v>0</v>
      </c>
      <c r="S296" s="91"/>
    </row>
    <row r="297" customFormat="false" ht="14.25" hidden="false" customHeight="false" outlineLevel="0" collapsed="false">
      <c r="A297" s="77"/>
      <c r="B297" s="78"/>
      <c r="C297" s="79"/>
      <c r="D297" s="79"/>
      <c r="E297" s="80" t="str">
        <f aca="false">_xlfn.IFNA(VLOOKUP(C297,'بيانات الآليات '!A:G,4,FALSE()),"")</f>
        <v/>
      </c>
      <c r="F297" s="81" t="str">
        <f aca="false">_xlfn.IFNA(VLOOKUP(C297,'بيانات الآليات '!A:G,2,FALSE()),"")</f>
        <v/>
      </c>
      <c r="G297" s="81"/>
      <c r="H297" s="81" t="str">
        <f aca="false">_xlfn.IFNA(VLOOKUP(C297,'بيانات الآليات '!A:G,5,FALSE()),"")</f>
        <v/>
      </c>
      <c r="I297" s="82"/>
      <c r="J297" s="83" t="str">
        <f aca="false">_xlfn.IFNA(VLOOKUP(I297,Table14543[],2,FALSE()),"")</f>
        <v/>
      </c>
      <c r="K297" s="84" t="str">
        <f aca="false">_xlfn.IFNA(VLOOKUP(I297,Table14543[],3,FALSE()),"")</f>
        <v/>
      </c>
      <c r="L297" s="83" t="str">
        <f aca="false">CONCATENATE("",I297,""," ",J297," ",K297)</f>
        <v>  </v>
      </c>
      <c r="M297" s="85"/>
      <c r="N297" s="86"/>
      <c r="O297" s="86"/>
      <c r="P297" s="86" t="n">
        <f aca="false">N297*O297</f>
        <v>0</v>
      </c>
      <c r="Q297" s="86"/>
      <c r="R297" s="87" t="n">
        <f aca="false">(O297*N297)+Q297</f>
        <v>0</v>
      </c>
      <c r="S297" s="91"/>
    </row>
    <row r="298" customFormat="false" ht="14.25" hidden="false" customHeight="false" outlineLevel="0" collapsed="false">
      <c r="A298" s="77"/>
      <c r="B298" s="78"/>
      <c r="C298" s="79"/>
      <c r="D298" s="79"/>
      <c r="E298" s="80" t="str">
        <f aca="false">_xlfn.IFNA(VLOOKUP(C298,'بيانات الآليات '!A:G,4,FALSE()),"")</f>
        <v/>
      </c>
      <c r="F298" s="81" t="str">
        <f aca="false">_xlfn.IFNA(VLOOKUP(C298,'بيانات الآليات '!A:G,2,FALSE()),"")</f>
        <v/>
      </c>
      <c r="G298" s="81"/>
      <c r="H298" s="81" t="str">
        <f aca="false">_xlfn.IFNA(VLOOKUP(C298,'بيانات الآليات '!A:G,5,FALSE()),"")</f>
        <v/>
      </c>
      <c r="I298" s="82"/>
      <c r="J298" s="83" t="str">
        <f aca="false">_xlfn.IFNA(VLOOKUP(I298,Table14543[],2,FALSE()),"")</f>
        <v/>
      </c>
      <c r="K298" s="84" t="str">
        <f aca="false">_xlfn.IFNA(VLOOKUP(I298,Table14543[],3,FALSE()),"")</f>
        <v/>
      </c>
      <c r="L298" s="83" t="str">
        <f aca="false">CONCATENATE("",I298,""," ",J298," ",K298)</f>
        <v>  </v>
      </c>
      <c r="M298" s="85"/>
      <c r="N298" s="86"/>
      <c r="O298" s="86"/>
      <c r="P298" s="86" t="n">
        <f aca="false">N298*O298</f>
        <v>0</v>
      </c>
      <c r="Q298" s="86"/>
      <c r="R298" s="87" t="n">
        <f aca="false">(O298*N298)+Q298</f>
        <v>0</v>
      </c>
      <c r="S298" s="91"/>
    </row>
    <row r="299" customFormat="false" ht="14.25" hidden="false" customHeight="false" outlineLevel="0" collapsed="false">
      <c r="A299" s="77"/>
      <c r="B299" s="78"/>
      <c r="C299" s="79"/>
      <c r="D299" s="79"/>
      <c r="E299" s="80" t="str">
        <f aca="false">_xlfn.IFNA(VLOOKUP(C299,'بيانات الآليات '!A:G,4,FALSE()),"")</f>
        <v/>
      </c>
      <c r="F299" s="81" t="str">
        <f aca="false">_xlfn.IFNA(VLOOKUP(C299,'بيانات الآليات '!A:G,2,FALSE()),"")</f>
        <v/>
      </c>
      <c r="G299" s="81"/>
      <c r="H299" s="81" t="str">
        <f aca="false">_xlfn.IFNA(VLOOKUP(C299,'بيانات الآليات '!A:G,5,FALSE()),"")</f>
        <v/>
      </c>
      <c r="I299" s="82"/>
      <c r="J299" s="83" t="str">
        <f aca="false">_xlfn.IFNA(VLOOKUP(I299,Table14543[],2,FALSE()),"")</f>
        <v/>
      </c>
      <c r="K299" s="84" t="str">
        <f aca="false">_xlfn.IFNA(VLOOKUP(I299,Table14543[],3,FALSE()),"")</f>
        <v/>
      </c>
      <c r="L299" s="83" t="str">
        <f aca="false">CONCATENATE("",I299,""," ",J299," ",K299)</f>
        <v>  </v>
      </c>
      <c r="M299" s="85"/>
      <c r="N299" s="86"/>
      <c r="O299" s="86"/>
      <c r="P299" s="86" t="n">
        <f aca="false">N299*O299</f>
        <v>0</v>
      </c>
      <c r="Q299" s="86"/>
      <c r="R299" s="87" t="n">
        <f aca="false">(O299*N299)+Q299</f>
        <v>0</v>
      </c>
      <c r="S299" s="91"/>
    </row>
    <row r="300" customFormat="false" ht="14.25" hidden="false" customHeight="false" outlineLevel="0" collapsed="false">
      <c r="A300" s="77"/>
      <c r="B300" s="78"/>
      <c r="C300" s="79"/>
      <c r="D300" s="79"/>
      <c r="E300" s="80" t="str">
        <f aca="false">_xlfn.IFNA(VLOOKUP(C300,'بيانات الآليات '!A:G,4,FALSE()),"")</f>
        <v/>
      </c>
      <c r="F300" s="81" t="str">
        <f aca="false">_xlfn.IFNA(VLOOKUP(C300,'بيانات الآليات '!A:G,2,FALSE()),"")</f>
        <v/>
      </c>
      <c r="G300" s="81"/>
      <c r="H300" s="81" t="str">
        <f aca="false">_xlfn.IFNA(VLOOKUP(C300,'بيانات الآليات '!A:G,5,FALSE()),"")</f>
        <v/>
      </c>
      <c r="I300" s="82"/>
      <c r="J300" s="83" t="str">
        <f aca="false">_xlfn.IFNA(VLOOKUP(I300,Table14543[],2,FALSE()),"")</f>
        <v/>
      </c>
      <c r="K300" s="84" t="str">
        <f aca="false">_xlfn.IFNA(VLOOKUP(I300,Table14543[],3,FALSE()),"")</f>
        <v/>
      </c>
      <c r="L300" s="83" t="str">
        <f aca="false">CONCATENATE("",I300,""," ",J300," ",K300)</f>
        <v>  </v>
      </c>
      <c r="M300" s="85"/>
      <c r="N300" s="86"/>
      <c r="O300" s="86"/>
      <c r="P300" s="86" t="n">
        <f aca="false">N300*O300</f>
        <v>0</v>
      </c>
      <c r="Q300" s="86"/>
      <c r="R300" s="87" t="n">
        <f aca="false">(O300*N300)+Q300</f>
        <v>0</v>
      </c>
      <c r="S300" s="91"/>
    </row>
    <row r="301" customFormat="false" ht="14.25" hidden="false" customHeight="false" outlineLevel="0" collapsed="false">
      <c r="A301" s="77"/>
      <c r="B301" s="78"/>
      <c r="C301" s="79"/>
      <c r="D301" s="79"/>
      <c r="E301" s="80" t="str">
        <f aca="false">_xlfn.IFNA(VLOOKUP(C301,'بيانات الآليات '!A:G,4,FALSE()),"")</f>
        <v/>
      </c>
      <c r="F301" s="81" t="str">
        <f aca="false">_xlfn.IFNA(VLOOKUP(C301,'بيانات الآليات '!A:G,2,FALSE()),"")</f>
        <v/>
      </c>
      <c r="G301" s="81"/>
      <c r="H301" s="81" t="str">
        <f aca="false">_xlfn.IFNA(VLOOKUP(C301,'بيانات الآليات '!A:G,5,FALSE()),"")</f>
        <v/>
      </c>
      <c r="I301" s="82"/>
      <c r="J301" s="83" t="str">
        <f aca="false">_xlfn.IFNA(VLOOKUP(I301,Table14543[],2,FALSE()),"")</f>
        <v/>
      </c>
      <c r="K301" s="84" t="str">
        <f aca="false">_xlfn.IFNA(VLOOKUP(I301,Table14543[],3,FALSE()),"")</f>
        <v/>
      </c>
      <c r="L301" s="83" t="str">
        <f aca="false">CONCATENATE("",I301,""," ",J301," ",K301)</f>
        <v>  </v>
      </c>
      <c r="M301" s="85"/>
      <c r="N301" s="86"/>
      <c r="O301" s="86"/>
      <c r="P301" s="86" t="n">
        <f aca="false">N301*O301</f>
        <v>0</v>
      </c>
      <c r="Q301" s="86"/>
      <c r="R301" s="87" t="n">
        <f aca="false">(O301*N301)+Q301</f>
        <v>0</v>
      </c>
      <c r="S301" s="91"/>
    </row>
    <row r="302" customFormat="false" ht="14.25" hidden="false" customHeight="false" outlineLevel="0" collapsed="false">
      <c r="A302" s="77"/>
      <c r="B302" s="78"/>
      <c r="C302" s="79"/>
      <c r="D302" s="79"/>
      <c r="E302" s="80" t="str">
        <f aca="false">_xlfn.IFNA(VLOOKUP(C302,'بيانات الآليات '!A:G,4,FALSE()),"")</f>
        <v/>
      </c>
      <c r="F302" s="81" t="str">
        <f aca="false">_xlfn.IFNA(VLOOKUP(C302,'بيانات الآليات '!A:G,2,FALSE()),"")</f>
        <v/>
      </c>
      <c r="G302" s="81"/>
      <c r="H302" s="81" t="str">
        <f aca="false">_xlfn.IFNA(VLOOKUP(C302,'بيانات الآليات '!A:G,5,FALSE()),"")</f>
        <v/>
      </c>
      <c r="I302" s="82"/>
      <c r="J302" s="83" t="str">
        <f aca="false">_xlfn.IFNA(VLOOKUP(I302,Table14543[],2,FALSE()),"")</f>
        <v/>
      </c>
      <c r="K302" s="84" t="str">
        <f aca="false">_xlfn.IFNA(VLOOKUP(I302,Table14543[],3,FALSE()),"")</f>
        <v/>
      </c>
      <c r="L302" s="83" t="str">
        <f aca="false">CONCATENATE("",I302,""," ",J302," ",K302)</f>
        <v>  </v>
      </c>
      <c r="M302" s="85"/>
      <c r="N302" s="86"/>
      <c r="O302" s="86"/>
      <c r="P302" s="86" t="n">
        <f aca="false">N302*O302</f>
        <v>0</v>
      </c>
      <c r="Q302" s="86"/>
      <c r="R302" s="87" t="n">
        <f aca="false">(O302*N302)+Q302</f>
        <v>0</v>
      </c>
      <c r="S302" s="91"/>
    </row>
    <row r="303" customFormat="false" ht="14.25" hidden="false" customHeight="false" outlineLevel="0" collapsed="false">
      <c r="A303" s="77"/>
      <c r="B303" s="78"/>
      <c r="C303" s="79"/>
      <c r="D303" s="79"/>
      <c r="E303" s="80" t="str">
        <f aca="false">_xlfn.IFNA(VLOOKUP(C303,'بيانات الآليات '!A:G,4,FALSE()),"")</f>
        <v/>
      </c>
      <c r="F303" s="81" t="str">
        <f aca="false">_xlfn.IFNA(VLOOKUP(C303,'بيانات الآليات '!A:G,2,FALSE()),"")</f>
        <v/>
      </c>
      <c r="G303" s="81"/>
      <c r="H303" s="81" t="str">
        <f aca="false">_xlfn.IFNA(VLOOKUP(C303,'بيانات الآليات '!A:G,5,FALSE()),"")</f>
        <v/>
      </c>
      <c r="I303" s="82"/>
      <c r="J303" s="83" t="str">
        <f aca="false">_xlfn.IFNA(VLOOKUP(I303,Table14543[],2,FALSE()),"")</f>
        <v/>
      </c>
      <c r="K303" s="84" t="str">
        <f aca="false">_xlfn.IFNA(VLOOKUP(I303,Table14543[],3,FALSE()),"")</f>
        <v/>
      </c>
      <c r="L303" s="83" t="str">
        <f aca="false">CONCATENATE("",I303,""," ",J303," ",K303)</f>
        <v>  </v>
      </c>
      <c r="M303" s="85"/>
      <c r="N303" s="86"/>
      <c r="O303" s="86"/>
      <c r="P303" s="86" t="n">
        <f aca="false">N303*O303</f>
        <v>0</v>
      </c>
      <c r="Q303" s="86"/>
      <c r="R303" s="87" t="n">
        <f aca="false">(O303*N303)+Q303</f>
        <v>0</v>
      </c>
      <c r="S303" s="91"/>
    </row>
    <row r="304" customFormat="false" ht="14.25" hidden="false" customHeight="false" outlineLevel="0" collapsed="false">
      <c r="A304" s="77"/>
      <c r="B304" s="78"/>
      <c r="C304" s="79"/>
      <c r="D304" s="79"/>
      <c r="E304" s="80" t="str">
        <f aca="false">_xlfn.IFNA(VLOOKUP(C304,'بيانات الآليات '!A:G,4,FALSE()),"")</f>
        <v/>
      </c>
      <c r="F304" s="81" t="str">
        <f aca="false">_xlfn.IFNA(VLOOKUP(C304,'بيانات الآليات '!A:G,2,FALSE()),"")</f>
        <v/>
      </c>
      <c r="G304" s="81"/>
      <c r="H304" s="81" t="str">
        <f aca="false">_xlfn.IFNA(VLOOKUP(C304,'بيانات الآليات '!A:G,5,FALSE()),"")</f>
        <v/>
      </c>
      <c r="I304" s="82"/>
      <c r="J304" s="83" t="str">
        <f aca="false">_xlfn.IFNA(VLOOKUP(I304,Table14543[],2,FALSE()),"")</f>
        <v/>
      </c>
      <c r="K304" s="84" t="str">
        <f aca="false">_xlfn.IFNA(VLOOKUP(I304,Table14543[],3,FALSE()),"")</f>
        <v/>
      </c>
      <c r="L304" s="83" t="str">
        <f aca="false">CONCATENATE("",I304,""," ",J304," ",K304)</f>
        <v>  </v>
      </c>
      <c r="M304" s="85"/>
      <c r="N304" s="86"/>
      <c r="O304" s="86"/>
      <c r="P304" s="86" t="n">
        <f aca="false">N304*O304</f>
        <v>0</v>
      </c>
      <c r="Q304" s="86"/>
      <c r="R304" s="87" t="n">
        <f aca="false">(O304*N304)+Q304</f>
        <v>0</v>
      </c>
      <c r="S304" s="91"/>
    </row>
    <row r="305" customFormat="false" ht="14.25" hidden="false" customHeight="false" outlineLevel="0" collapsed="false">
      <c r="A305" s="77"/>
      <c r="B305" s="78"/>
      <c r="C305" s="79"/>
      <c r="D305" s="79"/>
      <c r="E305" s="80" t="str">
        <f aca="false">_xlfn.IFNA(VLOOKUP(C305,'بيانات الآليات '!A:G,4,FALSE()),"")</f>
        <v/>
      </c>
      <c r="F305" s="81" t="str">
        <f aca="false">_xlfn.IFNA(VLOOKUP(C305,'بيانات الآليات '!A:G,2,FALSE()),"")</f>
        <v/>
      </c>
      <c r="G305" s="81"/>
      <c r="H305" s="81" t="str">
        <f aca="false">_xlfn.IFNA(VLOOKUP(C305,'بيانات الآليات '!A:G,5,FALSE()),"")</f>
        <v/>
      </c>
      <c r="I305" s="82"/>
      <c r="J305" s="83" t="str">
        <f aca="false">_xlfn.IFNA(VLOOKUP(I305,Table14543[],2,FALSE()),"")</f>
        <v/>
      </c>
      <c r="K305" s="84" t="str">
        <f aca="false">_xlfn.IFNA(VLOOKUP(I305,Table14543[],3,FALSE()),"")</f>
        <v/>
      </c>
      <c r="L305" s="83" t="str">
        <f aca="false">CONCATENATE("",I305,""," ",J305," ",K305)</f>
        <v>  </v>
      </c>
      <c r="M305" s="85"/>
      <c r="N305" s="86"/>
      <c r="O305" s="86"/>
      <c r="P305" s="86" t="n">
        <f aca="false">N305*O305</f>
        <v>0</v>
      </c>
      <c r="Q305" s="86"/>
      <c r="R305" s="87" t="n">
        <f aca="false">(O305*N305)+Q305</f>
        <v>0</v>
      </c>
      <c r="S305" s="91"/>
    </row>
    <row r="306" customFormat="false" ht="14.25" hidden="false" customHeight="false" outlineLevel="0" collapsed="false">
      <c r="A306" s="77"/>
      <c r="B306" s="78"/>
      <c r="C306" s="79"/>
      <c r="D306" s="79"/>
      <c r="E306" s="80" t="str">
        <f aca="false">_xlfn.IFNA(VLOOKUP(C306,'بيانات الآليات '!A:G,4,FALSE()),"")</f>
        <v/>
      </c>
      <c r="F306" s="81" t="str">
        <f aca="false">_xlfn.IFNA(VLOOKUP(C306,'بيانات الآليات '!A:G,2,FALSE()),"")</f>
        <v/>
      </c>
      <c r="G306" s="81"/>
      <c r="H306" s="81" t="str">
        <f aca="false">_xlfn.IFNA(VLOOKUP(C306,'بيانات الآليات '!A:G,5,FALSE()),"")</f>
        <v/>
      </c>
      <c r="I306" s="82"/>
      <c r="J306" s="83" t="str">
        <f aca="false">_xlfn.IFNA(VLOOKUP(I306,Table14543[],2,FALSE()),"")</f>
        <v/>
      </c>
      <c r="K306" s="84" t="str">
        <f aca="false">_xlfn.IFNA(VLOOKUP(I306,Table14543[],3,FALSE()),"")</f>
        <v/>
      </c>
      <c r="L306" s="83" t="str">
        <f aca="false">CONCATENATE("",I306,""," ",J306," ",K306)</f>
        <v>  </v>
      </c>
      <c r="M306" s="85"/>
      <c r="N306" s="86"/>
      <c r="O306" s="86"/>
      <c r="P306" s="86" t="n">
        <f aca="false">N306*O306</f>
        <v>0</v>
      </c>
      <c r="Q306" s="86"/>
      <c r="R306" s="87" t="n">
        <f aca="false">(O306*N306)+Q306</f>
        <v>0</v>
      </c>
      <c r="S306" s="91"/>
    </row>
    <row r="307" customFormat="false" ht="14.25" hidden="false" customHeight="false" outlineLevel="0" collapsed="false">
      <c r="A307" s="77"/>
      <c r="B307" s="78"/>
      <c r="C307" s="79"/>
      <c r="D307" s="79"/>
      <c r="E307" s="80" t="str">
        <f aca="false">_xlfn.IFNA(VLOOKUP(C307,'بيانات الآليات '!A:G,4,FALSE()),"")</f>
        <v/>
      </c>
      <c r="F307" s="81" t="str">
        <f aca="false">_xlfn.IFNA(VLOOKUP(C307,'بيانات الآليات '!A:G,2,FALSE()),"")</f>
        <v/>
      </c>
      <c r="G307" s="81"/>
      <c r="H307" s="81" t="str">
        <f aca="false">_xlfn.IFNA(VLOOKUP(C307,'بيانات الآليات '!A:G,5,FALSE()),"")</f>
        <v/>
      </c>
      <c r="I307" s="82"/>
      <c r="J307" s="83" t="str">
        <f aca="false">_xlfn.IFNA(VLOOKUP(I307,Table14543[],2,FALSE()),"")</f>
        <v/>
      </c>
      <c r="K307" s="84" t="str">
        <f aca="false">_xlfn.IFNA(VLOOKUP(I307,Table14543[],3,FALSE()),"")</f>
        <v/>
      </c>
      <c r="L307" s="83" t="str">
        <f aca="false">CONCATENATE("",I307,""," ",J307," ",K307)</f>
        <v>  </v>
      </c>
      <c r="M307" s="85"/>
      <c r="N307" s="86"/>
      <c r="O307" s="86"/>
      <c r="P307" s="86" t="n">
        <f aca="false">N307*O307</f>
        <v>0</v>
      </c>
      <c r="Q307" s="86"/>
      <c r="R307" s="87" t="n">
        <f aca="false">(O307*N307)+Q307</f>
        <v>0</v>
      </c>
      <c r="S307" s="91"/>
    </row>
    <row r="308" customFormat="false" ht="14.25" hidden="false" customHeight="false" outlineLevel="0" collapsed="false">
      <c r="A308" s="77"/>
      <c r="B308" s="78"/>
      <c r="C308" s="79"/>
      <c r="D308" s="79"/>
      <c r="E308" s="80" t="str">
        <f aca="false">_xlfn.IFNA(VLOOKUP(C308,'بيانات الآليات '!A:G,4,FALSE()),"")</f>
        <v/>
      </c>
      <c r="F308" s="81" t="str">
        <f aca="false">_xlfn.IFNA(VLOOKUP(C308,'بيانات الآليات '!A:G,2,FALSE()),"")</f>
        <v/>
      </c>
      <c r="G308" s="81"/>
      <c r="H308" s="81" t="str">
        <f aca="false">_xlfn.IFNA(VLOOKUP(C308,'بيانات الآليات '!A:G,5,FALSE()),"")</f>
        <v/>
      </c>
      <c r="I308" s="82"/>
      <c r="J308" s="83" t="str">
        <f aca="false">_xlfn.IFNA(VLOOKUP(I308,Table14543[],2,FALSE()),"")</f>
        <v/>
      </c>
      <c r="K308" s="84" t="str">
        <f aca="false">_xlfn.IFNA(VLOOKUP(I308,Table14543[],3,FALSE()),"")</f>
        <v/>
      </c>
      <c r="L308" s="83" t="str">
        <f aca="false">CONCATENATE("",I308,""," ",J308," ",K308)</f>
        <v>  </v>
      </c>
      <c r="M308" s="85"/>
      <c r="N308" s="86"/>
      <c r="O308" s="86"/>
      <c r="P308" s="86" t="n">
        <f aca="false">N308*O308</f>
        <v>0</v>
      </c>
      <c r="Q308" s="86"/>
      <c r="R308" s="87" t="n">
        <f aca="false">(O308*N308)+Q308</f>
        <v>0</v>
      </c>
      <c r="S308" s="91"/>
    </row>
    <row r="309" customFormat="false" ht="14.25" hidden="false" customHeight="false" outlineLevel="0" collapsed="false">
      <c r="A309" s="77"/>
      <c r="B309" s="78"/>
      <c r="C309" s="79"/>
      <c r="D309" s="79"/>
      <c r="E309" s="80" t="str">
        <f aca="false">_xlfn.IFNA(VLOOKUP(C309,'بيانات الآليات '!A:G,4,FALSE()),"")</f>
        <v/>
      </c>
      <c r="F309" s="81" t="str">
        <f aca="false">_xlfn.IFNA(VLOOKUP(C309,'بيانات الآليات '!A:G,2,FALSE()),"")</f>
        <v/>
      </c>
      <c r="G309" s="81"/>
      <c r="H309" s="81" t="str">
        <f aca="false">_xlfn.IFNA(VLOOKUP(C309,'بيانات الآليات '!A:G,5,FALSE()),"")</f>
        <v/>
      </c>
      <c r="I309" s="82"/>
      <c r="J309" s="83" t="str">
        <f aca="false">_xlfn.IFNA(VLOOKUP(I309,Table14543[],2,FALSE()),"")</f>
        <v/>
      </c>
      <c r="K309" s="84" t="str">
        <f aca="false">_xlfn.IFNA(VLOOKUP(I309,Table14543[],3,FALSE()),"")</f>
        <v/>
      </c>
      <c r="L309" s="83" t="str">
        <f aca="false">CONCATENATE("",I309,""," ",J309," ",K309)</f>
        <v>  </v>
      </c>
      <c r="M309" s="85"/>
      <c r="N309" s="86"/>
      <c r="O309" s="86"/>
      <c r="P309" s="86" t="n">
        <f aca="false">N309*O309</f>
        <v>0</v>
      </c>
      <c r="Q309" s="86"/>
      <c r="R309" s="87" t="n">
        <f aca="false">(O309*N309)+Q309</f>
        <v>0</v>
      </c>
      <c r="S309" s="91"/>
    </row>
    <row r="310" customFormat="false" ht="14.25" hidden="false" customHeight="false" outlineLevel="0" collapsed="false">
      <c r="A310" s="77"/>
      <c r="B310" s="78"/>
      <c r="C310" s="79"/>
      <c r="D310" s="79"/>
      <c r="E310" s="80" t="str">
        <f aca="false">_xlfn.IFNA(VLOOKUP(C310,'بيانات الآليات '!A:G,4,FALSE()),"")</f>
        <v/>
      </c>
      <c r="F310" s="81" t="str">
        <f aca="false">_xlfn.IFNA(VLOOKUP(C310,'بيانات الآليات '!A:G,2,FALSE()),"")</f>
        <v/>
      </c>
      <c r="G310" s="81"/>
      <c r="H310" s="81" t="str">
        <f aca="false">_xlfn.IFNA(VLOOKUP(C310,'بيانات الآليات '!A:G,5,FALSE()),"")</f>
        <v/>
      </c>
      <c r="I310" s="82"/>
      <c r="J310" s="83" t="str">
        <f aca="false">_xlfn.IFNA(VLOOKUP(I310,Table14543[],2,FALSE()),"")</f>
        <v/>
      </c>
      <c r="K310" s="84" t="str">
        <f aca="false">_xlfn.IFNA(VLOOKUP(I310,Table14543[],3,FALSE()),"")</f>
        <v/>
      </c>
      <c r="L310" s="83" t="str">
        <f aca="false">CONCATENATE("",I310,""," ",J310," ",K310)</f>
        <v>  </v>
      </c>
      <c r="M310" s="85"/>
      <c r="N310" s="86"/>
      <c r="O310" s="86"/>
      <c r="P310" s="86" t="n">
        <f aca="false">N310*O310</f>
        <v>0</v>
      </c>
      <c r="Q310" s="86"/>
      <c r="R310" s="87" t="n">
        <f aca="false">(O310*N310)+Q310</f>
        <v>0</v>
      </c>
      <c r="S310" s="91"/>
    </row>
    <row r="311" customFormat="false" ht="14.25" hidden="false" customHeight="false" outlineLevel="0" collapsed="false">
      <c r="A311" s="77"/>
      <c r="B311" s="78"/>
      <c r="C311" s="79"/>
      <c r="D311" s="79"/>
      <c r="E311" s="80" t="str">
        <f aca="false">_xlfn.IFNA(VLOOKUP(C311,'بيانات الآليات '!A:G,4,FALSE()),"")</f>
        <v/>
      </c>
      <c r="F311" s="81" t="str">
        <f aca="false">_xlfn.IFNA(VLOOKUP(C311,'بيانات الآليات '!A:G,2,FALSE()),"")</f>
        <v/>
      </c>
      <c r="G311" s="81"/>
      <c r="H311" s="81" t="str">
        <f aca="false">_xlfn.IFNA(VLOOKUP(C311,'بيانات الآليات '!A:G,5,FALSE()),"")</f>
        <v/>
      </c>
      <c r="I311" s="82"/>
      <c r="J311" s="83" t="str">
        <f aca="false">_xlfn.IFNA(VLOOKUP(I311,Table14543[],2,FALSE()),"")</f>
        <v/>
      </c>
      <c r="K311" s="84" t="str">
        <f aca="false">_xlfn.IFNA(VLOOKUP(I311,Table14543[],3,FALSE()),"")</f>
        <v/>
      </c>
      <c r="L311" s="83" t="str">
        <f aca="false">CONCATENATE("",I311,""," ",J311," ",K311)</f>
        <v>  </v>
      </c>
      <c r="M311" s="85"/>
      <c r="N311" s="86"/>
      <c r="O311" s="86"/>
      <c r="P311" s="86" t="n">
        <f aca="false">N311*O311</f>
        <v>0</v>
      </c>
      <c r="Q311" s="86"/>
      <c r="R311" s="87" t="n">
        <f aca="false">(O311*N311)+Q311</f>
        <v>0</v>
      </c>
      <c r="S311" s="91"/>
    </row>
    <row r="312" customFormat="false" ht="14.25" hidden="false" customHeight="false" outlineLevel="0" collapsed="false">
      <c r="A312" s="77"/>
      <c r="B312" s="78"/>
      <c r="C312" s="79"/>
      <c r="D312" s="79"/>
      <c r="E312" s="80" t="str">
        <f aca="false">_xlfn.IFNA(VLOOKUP(C312,'بيانات الآليات '!A:G,4,FALSE()),"")</f>
        <v/>
      </c>
      <c r="F312" s="81" t="str">
        <f aca="false">_xlfn.IFNA(VLOOKUP(C312,'بيانات الآليات '!A:G,2,FALSE()),"")</f>
        <v/>
      </c>
      <c r="G312" s="81"/>
      <c r="H312" s="81" t="str">
        <f aca="false">_xlfn.IFNA(VLOOKUP(C312,'بيانات الآليات '!A:G,5,FALSE()),"")</f>
        <v/>
      </c>
      <c r="I312" s="82"/>
      <c r="J312" s="83" t="str">
        <f aca="false">_xlfn.IFNA(VLOOKUP(I312,Table14543[],2,FALSE()),"")</f>
        <v/>
      </c>
      <c r="K312" s="84" t="str">
        <f aca="false">_xlfn.IFNA(VLOOKUP(I312,Table14543[],3,FALSE()),"")</f>
        <v/>
      </c>
      <c r="L312" s="83" t="str">
        <f aca="false">CONCATENATE("",I312,""," ",J312," ",K312)</f>
        <v>  </v>
      </c>
      <c r="M312" s="85"/>
      <c r="N312" s="86"/>
      <c r="O312" s="86"/>
      <c r="P312" s="86" t="n">
        <f aca="false">N312*O312</f>
        <v>0</v>
      </c>
      <c r="Q312" s="86"/>
      <c r="R312" s="87" t="n">
        <f aca="false">(O312*N312)+Q312</f>
        <v>0</v>
      </c>
      <c r="S312" s="91"/>
    </row>
    <row r="313" customFormat="false" ht="14.25" hidden="false" customHeight="false" outlineLevel="0" collapsed="false">
      <c r="A313" s="77"/>
      <c r="B313" s="78"/>
      <c r="C313" s="79"/>
      <c r="D313" s="79"/>
      <c r="E313" s="80" t="str">
        <f aca="false">_xlfn.IFNA(VLOOKUP(C313,'بيانات الآليات '!A:G,4,FALSE()),"")</f>
        <v/>
      </c>
      <c r="F313" s="81" t="str">
        <f aca="false">_xlfn.IFNA(VLOOKUP(C313,'بيانات الآليات '!A:G,2,FALSE()),"")</f>
        <v/>
      </c>
      <c r="G313" s="81"/>
      <c r="H313" s="81" t="str">
        <f aca="false">_xlfn.IFNA(VLOOKUP(C313,'بيانات الآليات '!A:G,5,FALSE()),"")</f>
        <v/>
      </c>
      <c r="I313" s="82"/>
      <c r="J313" s="83" t="str">
        <f aca="false">_xlfn.IFNA(VLOOKUP(I313,Table14543[],2,FALSE()),"")</f>
        <v/>
      </c>
      <c r="K313" s="84" t="str">
        <f aca="false">_xlfn.IFNA(VLOOKUP(I313,Table14543[],3,FALSE()),"")</f>
        <v/>
      </c>
      <c r="L313" s="83" t="str">
        <f aca="false">CONCATENATE("",I313,""," ",J313," ",K313)</f>
        <v>  </v>
      </c>
      <c r="M313" s="85"/>
      <c r="N313" s="86"/>
      <c r="O313" s="86"/>
      <c r="P313" s="86" t="n">
        <f aca="false">N313*O313</f>
        <v>0</v>
      </c>
      <c r="Q313" s="86"/>
      <c r="R313" s="87" t="n">
        <f aca="false">(O313*N313)+Q313</f>
        <v>0</v>
      </c>
      <c r="S313" s="91"/>
    </row>
    <row r="314" customFormat="false" ht="14.25" hidden="false" customHeight="false" outlineLevel="0" collapsed="false">
      <c r="A314" s="77"/>
      <c r="B314" s="78"/>
      <c r="C314" s="79"/>
      <c r="D314" s="79"/>
      <c r="E314" s="80" t="str">
        <f aca="false">_xlfn.IFNA(VLOOKUP(C314,'بيانات الآليات '!A:G,4,FALSE()),"")</f>
        <v/>
      </c>
      <c r="F314" s="81" t="str">
        <f aca="false">_xlfn.IFNA(VLOOKUP(C314,'بيانات الآليات '!A:G,2,FALSE()),"")</f>
        <v/>
      </c>
      <c r="G314" s="81"/>
      <c r="H314" s="81" t="str">
        <f aca="false">_xlfn.IFNA(VLOOKUP(C314,'بيانات الآليات '!A:G,5,FALSE()),"")</f>
        <v/>
      </c>
      <c r="I314" s="82"/>
      <c r="J314" s="83" t="str">
        <f aca="false">_xlfn.IFNA(VLOOKUP(I314,Table14543[],2,FALSE()),"")</f>
        <v/>
      </c>
      <c r="K314" s="84" t="str">
        <f aca="false">_xlfn.IFNA(VLOOKUP(I314,Table14543[],3,FALSE()),"")</f>
        <v/>
      </c>
      <c r="L314" s="83" t="str">
        <f aca="false">CONCATENATE("",I314,""," ",J314," ",K314)</f>
        <v>  </v>
      </c>
      <c r="M314" s="85"/>
      <c r="N314" s="86"/>
      <c r="O314" s="86"/>
      <c r="P314" s="86" t="n">
        <f aca="false">N314*O314</f>
        <v>0</v>
      </c>
      <c r="Q314" s="86"/>
      <c r="R314" s="87" t="n">
        <f aca="false">(O314*N314)+Q314</f>
        <v>0</v>
      </c>
      <c r="S314" s="91"/>
    </row>
    <row r="315" customFormat="false" ht="14.25" hidden="false" customHeight="false" outlineLevel="0" collapsed="false">
      <c r="A315" s="77"/>
      <c r="B315" s="78"/>
      <c r="C315" s="79"/>
      <c r="D315" s="79"/>
      <c r="E315" s="80" t="str">
        <f aca="false">_xlfn.IFNA(VLOOKUP(C315,'بيانات الآليات '!A:G,4,FALSE()),"")</f>
        <v/>
      </c>
      <c r="F315" s="81" t="str">
        <f aca="false">_xlfn.IFNA(VLOOKUP(C315,'بيانات الآليات '!A:G,2,FALSE()),"")</f>
        <v/>
      </c>
      <c r="G315" s="81"/>
      <c r="H315" s="81" t="str">
        <f aca="false">_xlfn.IFNA(VLOOKUP(C315,'بيانات الآليات '!A:G,5,FALSE()),"")</f>
        <v/>
      </c>
      <c r="I315" s="82"/>
      <c r="J315" s="83" t="str">
        <f aca="false">_xlfn.IFNA(VLOOKUP(I315,Table14543[],2,FALSE()),"")</f>
        <v/>
      </c>
      <c r="K315" s="84" t="str">
        <f aca="false">_xlfn.IFNA(VLOOKUP(I315,Table14543[],3,FALSE()),"")</f>
        <v/>
      </c>
      <c r="L315" s="83" t="str">
        <f aca="false">CONCATENATE("",I315,""," ",J315," ",K315)</f>
        <v>  </v>
      </c>
      <c r="M315" s="85"/>
      <c r="N315" s="86"/>
      <c r="O315" s="86"/>
      <c r="P315" s="86" t="n">
        <f aca="false">N315*O315</f>
        <v>0</v>
      </c>
      <c r="Q315" s="86"/>
      <c r="R315" s="87" t="n">
        <f aca="false">(O315*N315)+Q315</f>
        <v>0</v>
      </c>
      <c r="S315" s="91"/>
    </row>
    <row r="316" customFormat="false" ht="14.25" hidden="false" customHeight="false" outlineLevel="0" collapsed="false">
      <c r="A316" s="77"/>
      <c r="B316" s="78"/>
      <c r="C316" s="79"/>
      <c r="D316" s="79"/>
      <c r="E316" s="80" t="str">
        <f aca="false">_xlfn.IFNA(VLOOKUP(C316,'بيانات الآليات '!A:G,4,FALSE()),"")</f>
        <v/>
      </c>
      <c r="F316" s="81" t="str">
        <f aca="false">_xlfn.IFNA(VLOOKUP(C316,'بيانات الآليات '!A:G,2,FALSE()),"")</f>
        <v/>
      </c>
      <c r="G316" s="81"/>
      <c r="H316" s="81" t="str">
        <f aca="false">_xlfn.IFNA(VLOOKUP(C316,'بيانات الآليات '!A:G,5,FALSE()),"")</f>
        <v/>
      </c>
      <c r="I316" s="82"/>
      <c r="J316" s="83" t="str">
        <f aca="false">_xlfn.IFNA(VLOOKUP(I316,Table14543[],2,FALSE()),"")</f>
        <v/>
      </c>
      <c r="K316" s="84" t="str">
        <f aca="false">_xlfn.IFNA(VLOOKUP(I316,Table14543[],3,FALSE()),"")</f>
        <v/>
      </c>
      <c r="L316" s="83" t="str">
        <f aca="false">CONCATENATE("",I316,""," ",J316," ",K316)</f>
        <v>  </v>
      </c>
      <c r="M316" s="85"/>
      <c r="N316" s="86"/>
      <c r="O316" s="86"/>
      <c r="P316" s="86" t="n">
        <f aca="false">N316*O316</f>
        <v>0</v>
      </c>
      <c r="Q316" s="86"/>
      <c r="R316" s="87" t="n">
        <f aca="false">(O316*N316)+Q316</f>
        <v>0</v>
      </c>
      <c r="S316" s="91"/>
    </row>
    <row r="317" customFormat="false" ht="14.25" hidden="false" customHeight="false" outlineLevel="0" collapsed="false">
      <c r="A317" s="77"/>
      <c r="B317" s="78"/>
      <c r="C317" s="79"/>
      <c r="D317" s="79"/>
      <c r="E317" s="80" t="str">
        <f aca="false">_xlfn.IFNA(VLOOKUP(C317,'بيانات الآليات '!A:G,4,FALSE()),"")</f>
        <v/>
      </c>
      <c r="F317" s="81" t="str">
        <f aca="false">_xlfn.IFNA(VLOOKUP(C317,'بيانات الآليات '!A:G,2,FALSE()),"")</f>
        <v/>
      </c>
      <c r="G317" s="81"/>
      <c r="H317" s="81" t="str">
        <f aca="false">_xlfn.IFNA(VLOOKUP(C317,'بيانات الآليات '!A:G,5,FALSE()),"")</f>
        <v/>
      </c>
      <c r="I317" s="82"/>
      <c r="J317" s="83" t="str">
        <f aca="false">_xlfn.IFNA(VLOOKUP(I317,Table14543[],2,FALSE()),"")</f>
        <v/>
      </c>
      <c r="K317" s="84" t="str">
        <f aca="false">_xlfn.IFNA(VLOOKUP(I317,Table14543[],3,FALSE()),"")</f>
        <v/>
      </c>
      <c r="L317" s="83" t="str">
        <f aca="false">CONCATENATE("",I317,""," ",J317," ",K317)</f>
        <v>  </v>
      </c>
      <c r="M317" s="85"/>
      <c r="N317" s="86"/>
      <c r="O317" s="86"/>
      <c r="P317" s="86" t="n">
        <f aca="false">N317*O317</f>
        <v>0</v>
      </c>
      <c r="Q317" s="86"/>
      <c r="R317" s="87" t="n">
        <f aca="false">(O317*N317)+Q317</f>
        <v>0</v>
      </c>
      <c r="S317" s="91"/>
    </row>
    <row r="318" customFormat="false" ht="14.25" hidden="false" customHeight="false" outlineLevel="0" collapsed="false">
      <c r="A318" s="77"/>
      <c r="B318" s="78"/>
      <c r="C318" s="79"/>
      <c r="D318" s="79"/>
      <c r="E318" s="80" t="str">
        <f aca="false">_xlfn.IFNA(VLOOKUP(C318,'بيانات الآليات '!A:G,4,FALSE()),"")</f>
        <v/>
      </c>
      <c r="F318" s="81" t="str">
        <f aca="false">_xlfn.IFNA(VLOOKUP(C318,'بيانات الآليات '!A:G,2,FALSE()),"")</f>
        <v/>
      </c>
      <c r="G318" s="81"/>
      <c r="H318" s="81" t="str">
        <f aca="false">_xlfn.IFNA(VLOOKUP(C318,'بيانات الآليات '!A:G,5,FALSE()),"")</f>
        <v/>
      </c>
      <c r="I318" s="82"/>
      <c r="J318" s="83" t="str">
        <f aca="false">_xlfn.IFNA(VLOOKUP(I318,Table14543[],2,FALSE()),"")</f>
        <v/>
      </c>
      <c r="K318" s="84" t="str">
        <f aca="false">_xlfn.IFNA(VLOOKUP(I318,Table14543[],3,FALSE()),"")</f>
        <v/>
      </c>
      <c r="L318" s="83" t="str">
        <f aca="false">CONCATENATE("",I318,""," ",J318," ",K318)</f>
        <v>  </v>
      </c>
      <c r="M318" s="85"/>
      <c r="N318" s="86"/>
      <c r="O318" s="86"/>
      <c r="P318" s="86" t="n">
        <f aca="false">N318*O318</f>
        <v>0</v>
      </c>
      <c r="Q318" s="86"/>
      <c r="R318" s="87" t="n">
        <f aca="false">(O318*N318)+Q318</f>
        <v>0</v>
      </c>
      <c r="S318" s="91"/>
    </row>
    <row r="319" customFormat="false" ht="14.25" hidden="false" customHeight="false" outlineLevel="0" collapsed="false">
      <c r="A319" s="77"/>
      <c r="B319" s="78"/>
      <c r="C319" s="79"/>
      <c r="D319" s="79"/>
      <c r="E319" s="80" t="str">
        <f aca="false">_xlfn.IFNA(VLOOKUP(C319,'بيانات الآليات '!A:G,4,FALSE()),"")</f>
        <v/>
      </c>
      <c r="F319" s="81" t="str">
        <f aca="false">_xlfn.IFNA(VLOOKUP(C319,'بيانات الآليات '!A:G,2,FALSE()),"")</f>
        <v/>
      </c>
      <c r="G319" s="81"/>
      <c r="H319" s="81" t="str">
        <f aca="false">_xlfn.IFNA(VLOOKUP(C319,'بيانات الآليات '!A:G,5,FALSE()),"")</f>
        <v/>
      </c>
      <c r="I319" s="82"/>
      <c r="J319" s="83" t="str">
        <f aca="false">_xlfn.IFNA(VLOOKUP(I319,Table14543[],2,FALSE()),"")</f>
        <v/>
      </c>
      <c r="K319" s="84" t="str">
        <f aca="false">_xlfn.IFNA(VLOOKUP(I319,Table14543[],3,FALSE()),"")</f>
        <v/>
      </c>
      <c r="L319" s="83" t="str">
        <f aca="false">CONCATENATE("",I319,""," ",J319," ",K319)</f>
        <v>  </v>
      </c>
      <c r="M319" s="85"/>
      <c r="N319" s="86"/>
      <c r="O319" s="86"/>
      <c r="P319" s="86" t="n">
        <f aca="false">N319*O319</f>
        <v>0</v>
      </c>
      <c r="Q319" s="86"/>
      <c r="R319" s="87" t="n">
        <f aca="false">(O319*N319)+Q319</f>
        <v>0</v>
      </c>
      <c r="S319" s="91"/>
    </row>
    <row r="320" customFormat="false" ht="14.25" hidden="false" customHeight="false" outlineLevel="0" collapsed="false">
      <c r="A320" s="77"/>
      <c r="B320" s="78"/>
      <c r="C320" s="79"/>
      <c r="D320" s="79"/>
      <c r="E320" s="80" t="str">
        <f aca="false">_xlfn.IFNA(VLOOKUP(C320,'بيانات الآليات '!A:G,4,FALSE()),"")</f>
        <v/>
      </c>
      <c r="F320" s="81" t="str">
        <f aca="false">_xlfn.IFNA(VLOOKUP(C320,'بيانات الآليات '!A:G,2,FALSE()),"")</f>
        <v/>
      </c>
      <c r="G320" s="81"/>
      <c r="H320" s="81" t="str">
        <f aca="false">_xlfn.IFNA(VLOOKUP(C320,'بيانات الآليات '!A:G,5,FALSE()),"")</f>
        <v/>
      </c>
      <c r="I320" s="82"/>
      <c r="J320" s="83" t="str">
        <f aca="false">_xlfn.IFNA(VLOOKUP(I320,Table14543[],2,FALSE()),"")</f>
        <v/>
      </c>
      <c r="K320" s="84" t="str">
        <f aca="false">_xlfn.IFNA(VLOOKUP(I320,Table14543[],3,FALSE()),"")</f>
        <v/>
      </c>
      <c r="L320" s="83" t="str">
        <f aca="false">CONCATENATE("",I320,""," ",J320," ",K320)</f>
        <v>  </v>
      </c>
      <c r="M320" s="85"/>
      <c r="N320" s="86"/>
      <c r="O320" s="86"/>
      <c r="P320" s="86" t="n">
        <f aca="false">N320*O320</f>
        <v>0</v>
      </c>
      <c r="Q320" s="86"/>
      <c r="R320" s="87" t="n">
        <f aca="false">(O320*N320)+Q320</f>
        <v>0</v>
      </c>
      <c r="S320" s="91"/>
    </row>
    <row r="321" customFormat="false" ht="14.25" hidden="false" customHeight="false" outlineLevel="0" collapsed="false">
      <c r="A321" s="77"/>
      <c r="B321" s="78"/>
      <c r="C321" s="79"/>
      <c r="D321" s="79"/>
      <c r="E321" s="80" t="str">
        <f aca="false">_xlfn.IFNA(VLOOKUP(C321,'بيانات الآليات '!A:G,4,FALSE()),"")</f>
        <v/>
      </c>
      <c r="F321" s="81" t="str">
        <f aca="false">_xlfn.IFNA(VLOOKUP(C321,'بيانات الآليات '!A:G,2,FALSE()),"")</f>
        <v/>
      </c>
      <c r="G321" s="81"/>
      <c r="H321" s="81" t="str">
        <f aca="false">_xlfn.IFNA(VLOOKUP(C321,'بيانات الآليات '!A:G,5,FALSE()),"")</f>
        <v/>
      </c>
      <c r="I321" s="82"/>
      <c r="J321" s="83" t="str">
        <f aca="false">_xlfn.IFNA(VLOOKUP(I321,Table14543[],2,FALSE()),"")</f>
        <v/>
      </c>
      <c r="K321" s="84" t="str">
        <f aca="false">_xlfn.IFNA(VLOOKUP(I321,Table14543[],3,FALSE()),"")</f>
        <v/>
      </c>
      <c r="L321" s="83" t="str">
        <f aca="false">CONCATENATE("",I321,""," ",J321," ",K321)</f>
        <v>  </v>
      </c>
      <c r="M321" s="85"/>
      <c r="N321" s="86"/>
      <c r="O321" s="86"/>
      <c r="P321" s="86" t="n">
        <f aca="false">N321*O321</f>
        <v>0</v>
      </c>
      <c r="Q321" s="86"/>
      <c r="R321" s="87" t="n">
        <f aca="false">(O321*N321)+Q321</f>
        <v>0</v>
      </c>
      <c r="S321" s="91"/>
    </row>
    <row r="322" customFormat="false" ht="14.25" hidden="false" customHeight="false" outlineLevel="0" collapsed="false">
      <c r="A322" s="77"/>
      <c r="B322" s="78"/>
      <c r="C322" s="79"/>
      <c r="D322" s="79"/>
      <c r="E322" s="80" t="str">
        <f aca="false">_xlfn.IFNA(VLOOKUP(C322,'بيانات الآليات '!A:G,4,FALSE()),"")</f>
        <v/>
      </c>
      <c r="F322" s="81" t="str">
        <f aca="false">_xlfn.IFNA(VLOOKUP(C322,'بيانات الآليات '!A:G,2,FALSE()),"")</f>
        <v/>
      </c>
      <c r="G322" s="81"/>
      <c r="H322" s="81" t="str">
        <f aca="false">_xlfn.IFNA(VLOOKUP(C322,'بيانات الآليات '!A:G,5,FALSE()),"")</f>
        <v/>
      </c>
      <c r="I322" s="82"/>
      <c r="J322" s="83" t="str">
        <f aca="false">_xlfn.IFNA(VLOOKUP(I322,Table14543[],2,FALSE()),"")</f>
        <v/>
      </c>
      <c r="K322" s="84" t="str">
        <f aca="false">_xlfn.IFNA(VLOOKUP(I322,Table14543[],3,FALSE()),"")</f>
        <v/>
      </c>
      <c r="L322" s="83" t="str">
        <f aca="false">CONCATENATE("",I322,""," ",J322," ",K322)</f>
        <v>  </v>
      </c>
      <c r="M322" s="85"/>
      <c r="N322" s="86"/>
      <c r="O322" s="86"/>
      <c r="P322" s="86" t="n">
        <f aca="false">N322*O322</f>
        <v>0</v>
      </c>
      <c r="Q322" s="86"/>
      <c r="R322" s="87" t="n">
        <f aca="false">(O322*N322)+Q322</f>
        <v>0</v>
      </c>
      <c r="S322" s="91"/>
    </row>
    <row r="323" customFormat="false" ht="14.25" hidden="false" customHeight="false" outlineLevel="0" collapsed="false">
      <c r="A323" s="77"/>
      <c r="B323" s="78"/>
      <c r="C323" s="79"/>
      <c r="D323" s="79"/>
      <c r="E323" s="80" t="str">
        <f aca="false">_xlfn.IFNA(VLOOKUP(C323,'بيانات الآليات '!A:G,4,FALSE()),"")</f>
        <v/>
      </c>
      <c r="F323" s="81" t="str">
        <f aca="false">_xlfn.IFNA(VLOOKUP(C323,'بيانات الآليات '!A:G,2,FALSE()),"")</f>
        <v/>
      </c>
      <c r="G323" s="81"/>
      <c r="H323" s="81" t="str">
        <f aca="false">_xlfn.IFNA(VLOOKUP(C323,'بيانات الآليات '!A:G,5,FALSE()),"")</f>
        <v/>
      </c>
      <c r="I323" s="82"/>
      <c r="J323" s="83" t="str">
        <f aca="false">_xlfn.IFNA(VLOOKUP(I323,Table14543[],2,FALSE()),"")</f>
        <v/>
      </c>
      <c r="K323" s="84" t="str">
        <f aca="false">_xlfn.IFNA(VLOOKUP(I323,Table14543[],3,FALSE()),"")</f>
        <v/>
      </c>
      <c r="L323" s="83" t="str">
        <f aca="false">CONCATENATE("",I323,""," ",J323," ",K323)</f>
        <v>  </v>
      </c>
      <c r="M323" s="85"/>
      <c r="N323" s="86"/>
      <c r="O323" s="86"/>
      <c r="P323" s="86" t="n">
        <f aca="false">N323*O323</f>
        <v>0</v>
      </c>
      <c r="Q323" s="86"/>
      <c r="R323" s="87" t="n">
        <f aca="false">(O323*N323)+Q323</f>
        <v>0</v>
      </c>
      <c r="S323" s="91"/>
    </row>
    <row r="324" customFormat="false" ht="14.25" hidden="false" customHeight="false" outlineLevel="0" collapsed="false">
      <c r="A324" s="77"/>
      <c r="B324" s="78"/>
      <c r="C324" s="79"/>
      <c r="D324" s="79"/>
      <c r="E324" s="80" t="str">
        <f aca="false">_xlfn.IFNA(VLOOKUP(C324,'بيانات الآليات '!A:G,4,FALSE()),"")</f>
        <v/>
      </c>
      <c r="F324" s="81" t="str">
        <f aca="false">_xlfn.IFNA(VLOOKUP(C324,'بيانات الآليات '!A:G,2,FALSE()),"")</f>
        <v/>
      </c>
      <c r="G324" s="81"/>
      <c r="H324" s="81" t="str">
        <f aca="false">_xlfn.IFNA(VLOOKUP(C324,'بيانات الآليات '!A:G,5,FALSE()),"")</f>
        <v/>
      </c>
      <c r="I324" s="82"/>
      <c r="J324" s="83" t="str">
        <f aca="false">_xlfn.IFNA(VLOOKUP(I324,Table14543[],2,FALSE()),"")</f>
        <v/>
      </c>
      <c r="K324" s="84" t="str">
        <f aca="false">_xlfn.IFNA(VLOOKUP(I324,Table14543[],3,FALSE()),"")</f>
        <v/>
      </c>
      <c r="L324" s="83" t="str">
        <f aca="false">CONCATENATE("",I324,""," ",J324," ",K324)</f>
        <v>  </v>
      </c>
      <c r="M324" s="85"/>
      <c r="N324" s="86"/>
      <c r="O324" s="86"/>
      <c r="P324" s="86" t="n">
        <f aca="false">N324*O324</f>
        <v>0</v>
      </c>
      <c r="Q324" s="86"/>
      <c r="R324" s="87" t="n">
        <f aca="false">(O324*N324)+Q324</f>
        <v>0</v>
      </c>
      <c r="S324" s="91"/>
    </row>
    <row r="325" customFormat="false" ht="14.25" hidden="false" customHeight="false" outlineLevel="0" collapsed="false">
      <c r="A325" s="77"/>
      <c r="B325" s="78"/>
      <c r="C325" s="79"/>
      <c r="D325" s="79"/>
      <c r="E325" s="80" t="str">
        <f aca="false">_xlfn.IFNA(VLOOKUP(C325,'بيانات الآليات '!A:G,4,FALSE()),"")</f>
        <v/>
      </c>
      <c r="F325" s="81" t="str">
        <f aca="false">_xlfn.IFNA(VLOOKUP(C325,'بيانات الآليات '!A:G,2,FALSE()),"")</f>
        <v/>
      </c>
      <c r="G325" s="81"/>
      <c r="H325" s="81" t="str">
        <f aca="false">_xlfn.IFNA(VLOOKUP(C325,'بيانات الآليات '!A:G,5,FALSE()),"")</f>
        <v/>
      </c>
      <c r="I325" s="82"/>
      <c r="J325" s="83" t="str">
        <f aca="false">_xlfn.IFNA(VLOOKUP(I325,Table14543[],2,FALSE()),"")</f>
        <v/>
      </c>
      <c r="K325" s="84" t="str">
        <f aca="false">_xlfn.IFNA(VLOOKUP(I325,Table14543[],3,FALSE()),"")</f>
        <v/>
      </c>
      <c r="L325" s="83" t="str">
        <f aca="false">CONCATENATE("",I325,""," ",J325," ",K325)</f>
        <v>  </v>
      </c>
      <c r="M325" s="85"/>
      <c r="N325" s="86"/>
      <c r="O325" s="86"/>
      <c r="P325" s="86" t="n">
        <f aca="false">N325*O325</f>
        <v>0</v>
      </c>
      <c r="Q325" s="86"/>
      <c r="R325" s="87" t="n">
        <f aca="false">(O325*N325)+Q325</f>
        <v>0</v>
      </c>
      <c r="S325" s="91"/>
    </row>
    <row r="326" customFormat="false" ht="14.25" hidden="false" customHeight="false" outlineLevel="0" collapsed="false">
      <c r="A326" s="77"/>
      <c r="B326" s="78"/>
      <c r="C326" s="79"/>
      <c r="D326" s="79"/>
      <c r="E326" s="80" t="str">
        <f aca="false">_xlfn.IFNA(VLOOKUP(C326,'بيانات الآليات '!A:G,4,FALSE()),"")</f>
        <v/>
      </c>
      <c r="F326" s="81" t="str">
        <f aca="false">_xlfn.IFNA(VLOOKUP(C326,'بيانات الآليات '!A:G,2,FALSE()),"")</f>
        <v/>
      </c>
      <c r="G326" s="81"/>
      <c r="H326" s="81" t="str">
        <f aca="false">_xlfn.IFNA(VLOOKUP(C326,'بيانات الآليات '!A:G,5,FALSE()),"")</f>
        <v/>
      </c>
      <c r="I326" s="82"/>
      <c r="J326" s="83" t="str">
        <f aca="false">_xlfn.IFNA(VLOOKUP(I326,Table14543[],2,FALSE()),"")</f>
        <v/>
      </c>
      <c r="K326" s="84" t="str">
        <f aca="false">_xlfn.IFNA(VLOOKUP(I326,Table14543[],3,FALSE()),"")</f>
        <v/>
      </c>
      <c r="L326" s="83" t="str">
        <f aca="false">CONCATENATE("",I326,""," ",J326," ",K326)</f>
        <v>  </v>
      </c>
      <c r="M326" s="85"/>
      <c r="N326" s="86"/>
      <c r="O326" s="86"/>
      <c r="P326" s="86" t="n">
        <f aca="false">N326*O326</f>
        <v>0</v>
      </c>
      <c r="Q326" s="86"/>
      <c r="R326" s="87" t="n">
        <f aca="false">(O326*N326)+Q326</f>
        <v>0</v>
      </c>
      <c r="S326" s="91"/>
    </row>
    <row r="327" customFormat="false" ht="14.25" hidden="false" customHeight="false" outlineLevel="0" collapsed="false">
      <c r="A327" s="77"/>
      <c r="B327" s="78"/>
      <c r="C327" s="79"/>
      <c r="D327" s="79"/>
      <c r="E327" s="80" t="str">
        <f aca="false">_xlfn.IFNA(VLOOKUP(C327,'بيانات الآليات '!A:G,4,FALSE()),"")</f>
        <v/>
      </c>
      <c r="F327" s="81" t="str">
        <f aca="false">_xlfn.IFNA(VLOOKUP(C327,'بيانات الآليات '!A:G,2,FALSE()),"")</f>
        <v/>
      </c>
      <c r="G327" s="81"/>
      <c r="H327" s="81" t="str">
        <f aca="false">_xlfn.IFNA(VLOOKUP(C327,'بيانات الآليات '!A:G,5,FALSE()),"")</f>
        <v/>
      </c>
      <c r="I327" s="82"/>
      <c r="J327" s="83" t="str">
        <f aca="false">_xlfn.IFNA(VLOOKUP(I327,Table14543[],2,FALSE()),"")</f>
        <v/>
      </c>
      <c r="K327" s="84" t="str">
        <f aca="false">_xlfn.IFNA(VLOOKUP(I327,Table14543[],3,FALSE()),"")</f>
        <v/>
      </c>
      <c r="L327" s="83" t="str">
        <f aca="false">CONCATENATE("",I327,""," ",J327," ",K327)</f>
        <v>  </v>
      </c>
      <c r="M327" s="85"/>
      <c r="N327" s="86"/>
      <c r="O327" s="86"/>
      <c r="P327" s="86" t="n">
        <f aca="false">N327*O327</f>
        <v>0</v>
      </c>
      <c r="Q327" s="86"/>
      <c r="R327" s="87" t="n">
        <f aca="false">(O327*N327)+Q327</f>
        <v>0</v>
      </c>
      <c r="S327" s="91"/>
    </row>
    <row r="328" customFormat="false" ht="14.25" hidden="false" customHeight="false" outlineLevel="0" collapsed="false">
      <c r="A328" s="77"/>
      <c r="B328" s="78"/>
      <c r="C328" s="79"/>
      <c r="D328" s="79"/>
      <c r="E328" s="80" t="str">
        <f aca="false">_xlfn.IFNA(VLOOKUP(C328,'بيانات الآليات '!A:G,4,FALSE()),"")</f>
        <v/>
      </c>
      <c r="F328" s="81" t="str">
        <f aca="false">_xlfn.IFNA(VLOOKUP(C328,'بيانات الآليات '!A:G,2,FALSE()),"")</f>
        <v/>
      </c>
      <c r="G328" s="81"/>
      <c r="H328" s="81" t="str">
        <f aca="false">_xlfn.IFNA(VLOOKUP(C328,'بيانات الآليات '!A:G,5,FALSE()),"")</f>
        <v/>
      </c>
      <c r="I328" s="82"/>
      <c r="J328" s="83" t="str">
        <f aca="false">_xlfn.IFNA(VLOOKUP(I328,Table14543[],2,FALSE()),"")</f>
        <v/>
      </c>
      <c r="K328" s="84" t="str">
        <f aca="false">_xlfn.IFNA(VLOOKUP(I328,Table14543[],3,FALSE()),"")</f>
        <v/>
      </c>
      <c r="L328" s="83" t="str">
        <f aca="false">CONCATENATE("",I328,""," ",J328," ",K328)</f>
        <v>  </v>
      </c>
      <c r="M328" s="85"/>
      <c r="N328" s="86"/>
      <c r="O328" s="86"/>
      <c r="P328" s="86" t="n">
        <f aca="false">N328*O328</f>
        <v>0</v>
      </c>
      <c r="Q328" s="86"/>
      <c r="R328" s="87" t="n">
        <f aca="false">(O328*N328)+Q328</f>
        <v>0</v>
      </c>
      <c r="S328" s="91"/>
    </row>
    <row r="329" customFormat="false" ht="14.25" hidden="false" customHeight="false" outlineLevel="0" collapsed="false">
      <c r="A329" s="77"/>
      <c r="B329" s="78"/>
      <c r="C329" s="79"/>
      <c r="D329" s="79"/>
      <c r="E329" s="80" t="str">
        <f aca="false">_xlfn.IFNA(VLOOKUP(C329,'بيانات الآليات '!A:G,4,FALSE()),"")</f>
        <v/>
      </c>
      <c r="F329" s="81" t="str">
        <f aca="false">_xlfn.IFNA(VLOOKUP(C329,'بيانات الآليات '!A:G,2,FALSE()),"")</f>
        <v/>
      </c>
      <c r="G329" s="81"/>
      <c r="H329" s="81" t="str">
        <f aca="false">_xlfn.IFNA(VLOOKUP(C329,'بيانات الآليات '!A:G,5,FALSE()),"")</f>
        <v/>
      </c>
      <c r="I329" s="82"/>
      <c r="J329" s="83" t="str">
        <f aca="false">_xlfn.IFNA(VLOOKUP(I329,Table14543[],2,FALSE()),"")</f>
        <v/>
      </c>
      <c r="K329" s="84" t="str">
        <f aca="false">_xlfn.IFNA(VLOOKUP(I329,Table14543[],3,FALSE()),"")</f>
        <v/>
      </c>
      <c r="L329" s="83" t="str">
        <f aca="false">CONCATENATE("",I329,""," ",J329," ",K329)</f>
        <v>  </v>
      </c>
      <c r="M329" s="85"/>
      <c r="N329" s="86"/>
      <c r="O329" s="86"/>
      <c r="P329" s="86" t="n">
        <f aca="false">N329*O329</f>
        <v>0</v>
      </c>
      <c r="Q329" s="86"/>
      <c r="R329" s="87" t="n">
        <f aca="false">(O329*N329)+Q329</f>
        <v>0</v>
      </c>
      <c r="S329" s="91"/>
    </row>
    <row r="330" customFormat="false" ht="14.25" hidden="false" customHeight="false" outlineLevel="0" collapsed="false">
      <c r="A330" s="77"/>
      <c r="B330" s="78"/>
      <c r="C330" s="79"/>
      <c r="D330" s="79"/>
      <c r="E330" s="80" t="str">
        <f aca="false">_xlfn.IFNA(VLOOKUP(C330,'بيانات الآليات '!A:G,4,FALSE()),"")</f>
        <v/>
      </c>
      <c r="F330" s="81" t="str">
        <f aca="false">_xlfn.IFNA(VLOOKUP(C330,'بيانات الآليات '!A:G,2,FALSE()),"")</f>
        <v/>
      </c>
      <c r="G330" s="81"/>
      <c r="H330" s="81" t="str">
        <f aca="false">_xlfn.IFNA(VLOOKUP(C330,'بيانات الآليات '!A:G,5,FALSE()),"")</f>
        <v/>
      </c>
      <c r="I330" s="82"/>
      <c r="J330" s="83" t="str">
        <f aca="false">_xlfn.IFNA(VLOOKUP(I330,Table14543[],2,FALSE()),"")</f>
        <v/>
      </c>
      <c r="K330" s="84" t="str">
        <f aca="false">_xlfn.IFNA(VLOOKUP(I330,Table14543[],3,FALSE()),"")</f>
        <v/>
      </c>
      <c r="L330" s="83" t="str">
        <f aca="false">CONCATENATE("",I330,""," ",J330," ",K330)</f>
        <v>  </v>
      </c>
      <c r="M330" s="85"/>
      <c r="N330" s="86"/>
      <c r="O330" s="86"/>
      <c r="P330" s="86" t="n">
        <f aca="false">N330*O330</f>
        <v>0</v>
      </c>
      <c r="Q330" s="86"/>
      <c r="R330" s="87" t="n">
        <f aca="false">(O330*N330)+Q330</f>
        <v>0</v>
      </c>
      <c r="S330" s="91"/>
    </row>
    <row r="331" customFormat="false" ht="14.25" hidden="false" customHeight="false" outlineLevel="0" collapsed="false">
      <c r="A331" s="77"/>
      <c r="B331" s="78"/>
      <c r="C331" s="79"/>
      <c r="D331" s="79"/>
      <c r="E331" s="80" t="str">
        <f aca="false">_xlfn.IFNA(VLOOKUP(C331,'بيانات الآليات '!A:G,4,FALSE()),"")</f>
        <v/>
      </c>
      <c r="F331" s="81" t="str">
        <f aca="false">_xlfn.IFNA(VLOOKUP(C331,'بيانات الآليات '!A:G,2,FALSE()),"")</f>
        <v/>
      </c>
      <c r="G331" s="81"/>
      <c r="H331" s="81" t="str">
        <f aca="false">_xlfn.IFNA(VLOOKUP(C331,'بيانات الآليات '!A:G,5,FALSE()),"")</f>
        <v/>
      </c>
      <c r="I331" s="82"/>
      <c r="J331" s="83" t="str">
        <f aca="false">_xlfn.IFNA(VLOOKUP(I331,Table14543[],2,FALSE()),"")</f>
        <v/>
      </c>
      <c r="K331" s="84" t="str">
        <f aca="false">_xlfn.IFNA(VLOOKUP(I331,Table14543[],3,FALSE()),"")</f>
        <v/>
      </c>
      <c r="L331" s="83" t="str">
        <f aca="false">CONCATENATE("",I331,""," ",J331," ",K331)</f>
        <v>  </v>
      </c>
      <c r="M331" s="85"/>
      <c r="N331" s="86"/>
      <c r="O331" s="86"/>
      <c r="P331" s="86" t="n">
        <f aca="false">N331*O331</f>
        <v>0</v>
      </c>
      <c r="Q331" s="86"/>
      <c r="R331" s="87" t="n">
        <f aca="false">(O331*N331)+Q331</f>
        <v>0</v>
      </c>
      <c r="S331" s="91"/>
    </row>
    <row r="332" customFormat="false" ht="14.25" hidden="false" customHeight="false" outlineLevel="0" collapsed="false">
      <c r="A332" s="77"/>
      <c r="B332" s="78"/>
      <c r="C332" s="79"/>
      <c r="D332" s="79"/>
      <c r="E332" s="80" t="str">
        <f aca="false">_xlfn.IFNA(VLOOKUP(C332,'بيانات الآليات '!A:G,4,FALSE()),"")</f>
        <v/>
      </c>
      <c r="F332" s="81" t="str">
        <f aca="false">_xlfn.IFNA(VLOOKUP(C332,'بيانات الآليات '!A:G,2,FALSE()),"")</f>
        <v/>
      </c>
      <c r="G332" s="81"/>
      <c r="H332" s="81" t="str">
        <f aca="false">_xlfn.IFNA(VLOOKUP(C332,'بيانات الآليات '!A:G,5,FALSE()),"")</f>
        <v/>
      </c>
      <c r="I332" s="82"/>
      <c r="J332" s="83" t="str">
        <f aca="false">_xlfn.IFNA(VLOOKUP(I332,Table14543[],2,FALSE()),"")</f>
        <v/>
      </c>
      <c r="K332" s="84" t="str">
        <f aca="false">_xlfn.IFNA(VLOOKUP(I332,Table14543[],3,FALSE()),"")</f>
        <v/>
      </c>
      <c r="L332" s="83" t="str">
        <f aca="false">CONCATENATE("",I332,""," ",J332," ",K332)</f>
        <v>  </v>
      </c>
      <c r="M332" s="85"/>
      <c r="N332" s="86"/>
      <c r="O332" s="86"/>
      <c r="P332" s="86" t="n">
        <f aca="false">N332*O332</f>
        <v>0</v>
      </c>
      <c r="Q332" s="86"/>
      <c r="R332" s="87" t="n">
        <f aca="false">(O332*N332)+Q332</f>
        <v>0</v>
      </c>
      <c r="S332" s="91"/>
    </row>
    <row r="333" customFormat="false" ht="14.25" hidden="false" customHeight="false" outlineLevel="0" collapsed="false">
      <c r="A333" s="77"/>
      <c r="B333" s="78"/>
      <c r="C333" s="79"/>
      <c r="D333" s="79"/>
      <c r="E333" s="80" t="str">
        <f aca="false">_xlfn.IFNA(VLOOKUP(C333,'بيانات الآليات '!A:G,4,FALSE()),"")</f>
        <v/>
      </c>
      <c r="F333" s="81" t="str">
        <f aca="false">_xlfn.IFNA(VLOOKUP(C333,'بيانات الآليات '!A:G,2,FALSE()),"")</f>
        <v/>
      </c>
      <c r="G333" s="81"/>
      <c r="H333" s="81" t="str">
        <f aca="false">_xlfn.IFNA(VLOOKUP(C333,'بيانات الآليات '!A:G,5,FALSE()),"")</f>
        <v/>
      </c>
      <c r="I333" s="82"/>
      <c r="J333" s="83" t="str">
        <f aca="false">_xlfn.IFNA(VLOOKUP(I333,Table14543[],2,FALSE()),"")</f>
        <v/>
      </c>
      <c r="K333" s="84" t="str">
        <f aca="false">_xlfn.IFNA(VLOOKUP(I333,Table14543[],3,FALSE()),"")</f>
        <v/>
      </c>
      <c r="L333" s="83" t="str">
        <f aca="false">CONCATENATE("",I333,""," ",J333," ",K333)</f>
        <v>  </v>
      </c>
      <c r="M333" s="85"/>
      <c r="N333" s="86"/>
      <c r="O333" s="86"/>
      <c r="P333" s="86" t="n">
        <f aca="false">N333*O333</f>
        <v>0</v>
      </c>
      <c r="Q333" s="86"/>
      <c r="R333" s="87" t="n">
        <f aca="false">(O333*N333)+Q333</f>
        <v>0</v>
      </c>
      <c r="S333" s="91"/>
    </row>
    <row r="334" customFormat="false" ht="14.25" hidden="false" customHeight="false" outlineLevel="0" collapsed="false">
      <c r="A334" s="77"/>
      <c r="B334" s="78"/>
      <c r="C334" s="79"/>
      <c r="D334" s="79"/>
      <c r="E334" s="80" t="str">
        <f aca="false">_xlfn.IFNA(VLOOKUP(C334,'بيانات الآليات '!A:G,4,FALSE()),"")</f>
        <v/>
      </c>
      <c r="F334" s="81" t="str">
        <f aca="false">_xlfn.IFNA(VLOOKUP(C334,'بيانات الآليات '!A:G,2,FALSE()),"")</f>
        <v/>
      </c>
      <c r="G334" s="81"/>
      <c r="H334" s="81" t="str">
        <f aca="false">_xlfn.IFNA(VLOOKUP(C334,'بيانات الآليات '!A:G,5,FALSE()),"")</f>
        <v/>
      </c>
      <c r="I334" s="82"/>
      <c r="J334" s="83" t="str">
        <f aca="false">_xlfn.IFNA(VLOOKUP(I334,Table14543[],2,FALSE()),"")</f>
        <v/>
      </c>
      <c r="K334" s="84" t="str">
        <f aca="false">_xlfn.IFNA(VLOOKUP(I334,Table14543[],3,FALSE()),"")</f>
        <v/>
      </c>
      <c r="L334" s="83" t="str">
        <f aca="false">CONCATENATE("",I334,""," ",J334," ",K334)</f>
        <v>  </v>
      </c>
      <c r="M334" s="85"/>
      <c r="N334" s="86"/>
      <c r="O334" s="86"/>
      <c r="P334" s="86" t="n">
        <f aca="false">N334*O334</f>
        <v>0</v>
      </c>
      <c r="Q334" s="86"/>
      <c r="R334" s="87" t="n">
        <f aca="false">(O334*N334)+Q334</f>
        <v>0</v>
      </c>
      <c r="S334" s="91"/>
    </row>
    <row r="335" customFormat="false" ht="14.25" hidden="false" customHeight="false" outlineLevel="0" collapsed="false">
      <c r="A335" s="77"/>
      <c r="B335" s="78"/>
      <c r="C335" s="79"/>
      <c r="D335" s="79"/>
      <c r="E335" s="80" t="str">
        <f aca="false">_xlfn.IFNA(VLOOKUP(C335,'بيانات الآليات '!A:G,4,FALSE()),"")</f>
        <v/>
      </c>
      <c r="F335" s="81" t="str">
        <f aca="false">_xlfn.IFNA(VLOOKUP(C335,'بيانات الآليات '!A:G,2,FALSE()),"")</f>
        <v/>
      </c>
      <c r="G335" s="81"/>
      <c r="H335" s="81" t="str">
        <f aca="false">_xlfn.IFNA(VLOOKUP(C335,'بيانات الآليات '!A:G,5,FALSE()),"")</f>
        <v/>
      </c>
      <c r="I335" s="82"/>
      <c r="J335" s="83" t="str">
        <f aca="false">_xlfn.IFNA(VLOOKUP(I335,Table14543[],2,FALSE()),"")</f>
        <v/>
      </c>
      <c r="K335" s="84" t="str">
        <f aca="false">_xlfn.IFNA(VLOOKUP(I335,Table14543[],3,FALSE()),"")</f>
        <v/>
      </c>
      <c r="L335" s="83" t="str">
        <f aca="false">CONCATENATE("",I335,""," ",J335," ",K335)</f>
        <v>  </v>
      </c>
      <c r="M335" s="85"/>
      <c r="N335" s="86"/>
      <c r="O335" s="86"/>
      <c r="P335" s="86" t="n">
        <f aca="false">N335*O335</f>
        <v>0</v>
      </c>
      <c r="Q335" s="86"/>
      <c r="R335" s="87" t="n">
        <f aca="false">(O335*N335)+Q335</f>
        <v>0</v>
      </c>
      <c r="S335" s="91"/>
    </row>
    <row r="336" customFormat="false" ht="14.25" hidden="false" customHeight="false" outlineLevel="0" collapsed="false">
      <c r="A336" s="77"/>
      <c r="B336" s="78"/>
      <c r="C336" s="79"/>
      <c r="D336" s="79"/>
      <c r="E336" s="80" t="str">
        <f aca="false">_xlfn.IFNA(VLOOKUP(C336,'بيانات الآليات '!A:G,4,FALSE()),"")</f>
        <v/>
      </c>
      <c r="F336" s="81" t="str">
        <f aca="false">_xlfn.IFNA(VLOOKUP(C336,'بيانات الآليات '!A:G,2,FALSE()),"")</f>
        <v/>
      </c>
      <c r="G336" s="81"/>
      <c r="H336" s="81" t="str">
        <f aca="false">_xlfn.IFNA(VLOOKUP(C336,'بيانات الآليات '!A:G,5,FALSE()),"")</f>
        <v/>
      </c>
      <c r="I336" s="82"/>
      <c r="J336" s="83" t="str">
        <f aca="false">_xlfn.IFNA(VLOOKUP(I336,Table14543[],2,FALSE()),"")</f>
        <v/>
      </c>
      <c r="K336" s="84" t="str">
        <f aca="false">_xlfn.IFNA(VLOOKUP(I336,Table14543[],3,FALSE()),"")</f>
        <v/>
      </c>
      <c r="L336" s="83" t="str">
        <f aca="false">CONCATENATE("",I336,""," ",J336," ",K336)</f>
        <v>  </v>
      </c>
      <c r="M336" s="85"/>
      <c r="N336" s="86"/>
      <c r="O336" s="86"/>
      <c r="P336" s="86" t="n">
        <f aca="false">N336*O336</f>
        <v>0</v>
      </c>
      <c r="Q336" s="86"/>
      <c r="R336" s="87" t="n">
        <f aca="false">(O336*N336)+Q336</f>
        <v>0</v>
      </c>
      <c r="S336" s="91"/>
    </row>
    <row r="337" customFormat="false" ht="14.25" hidden="false" customHeight="false" outlineLevel="0" collapsed="false">
      <c r="A337" s="77"/>
      <c r="B337" s="78"/>
      <c r="C337" s="79"/>
      <c r="D337" s="79"/>
      <c r="E337" s="80" t="str">
        <f aca="false">_xlfn.IFNA(VLOOKUP(C337,'بيانات الآليات '!A:G,4,FALSE()),"")</f>
        <v/>
      </c>
      <c r="F337" s="81" t="str">
        <f aca="false">_xlfn.IFNA(VLOOKUP(C337,'بيانات الآليات '!A:G,2,FALSE()),"")</f>
        <v/>
      </c>
      <c r="G337" s="81"/>
      <c r="H337" s="81" t="str">
        <f aca="false">_xlfn.IFNA(VLOOKUP(C337,'بيانات الآليات '!A:G,5,FALSE()),"")</f>
        <v/>
      </c>
      <c r="I337" s="82"/>
      <c r="J337" s="83" t="str">
        <f aca="false">_xlfn.IFNA(VLOOKUP(I337,Table14543[],2,FALSE()),"")</f>
        <v/>
      </c>
      <c r="K337" s="84" t="str">
        <f aca="false">_xlfn.IFNA(VLOOKUP(I337,Table14543[],3,FALSE()),"")</f>
        <v/>
      </c>
      <c r="L337" s="83" t="str">
        <f aca="false">CONCATENATE("",I337,""," ",J337," ",K337)</f>
        <v>  </v>
      </c>
      <c r="M337" s="85"/>
      <c r="N337" s="86"/>
      <c r="O337" s="86"/>
      <c r="P337" s="86" t="n">
        <f aca="false">N337*O337</f>
        <v>0</v>
      </c>
      <c r="Q337" s="86"/>
      <c r="R337" s="87" t="n">
        <f aca="false">(O337*N337)+Q337</f>
        <v>0</v>
      </c>
      <c r="S337" s="91"/>
    </row>
    <row r="338" customFormat="false" ht="14.25" hidden="false" customHeight="false" outlineLevel="0" collapsed="false">
      <c r="A338" s="77"/>
      <c r="B338" s="78"/>
      <c r="C338" s="79"/>
      <c r="D338" s="79"/>
      <c r="E338" s="80" t="str">
        <f aca="false">_xlfn.IFNA(VLOOKUP(C338,'بيانات الآليات '!A:G,4,FALSE()),"")</f>
        <v/>
      </c>
      <c r="F338" s="81" t="str">
        <f aca="false">_xlfn.IFNA(VLOOKUP(C338,'بيانات الآليات '!A:G,2,FALSE()),"")</f>
        <v/>
      </c>
      <c r="G338" s="81"/>
      <c r="H338" s="81" t="str">
        <f aca="false">_xlfn.IFNA(VLOOKUP(C338,'بيانات الآليات '!A:G,5,FALSE()),"")</f>
        <v/>
      </c>
      <c r="I338" s="82"/>
      <c r="J338" s="83" t="str">
        <f aca="false">_xlfn.IFNA(VLOOKUP(I338,Table14543[],2,FALSE()),"")</f>
        <v/>
      </c>
      <c r="K338" s="84" t="str">
        <f aca="false">_xlfn.IFNA(VLOOKUP(I338,Table14543[],3,FALSE()),"")</f>
        <v/>
      </c>
      <c r="L338" s="83" t="str">
        <f aca="false">CONCATENATE("",I338,""," ",J338," ",K338)</f>
        <v>  </v>
      </c>
      <c r="M338" s="85"/>
      <c r="N338" s="86"/>
      <c r="O338" s="86"/>
      <c r="P338" s="86" t="n">
        <f aca="false">N338*O338</f>
        <v>0</v>
      </c>
      <c r="Q338" s="86"/>
      <c r="R338" s="87" t="n">
        <f aca="false">(O338*N338)+Q338</f>
        <v>0</v>
      </c>
      <c r="S338" s="91"/>
    </row>
    <row r="339" customFormat="false" ht="14.25" hidden="false" customHeight="false" outlineLevel="0" collapsed="false">
      <c r="A339" s="77"/>
      <c r="B339" s="78"/>
      <c r="C339" s="79"/>
      <c r="D339" s="79"/>
      <c r="E339" s="80" t="str">
        <f aca="false">_xlfn.IFNA(VLOOKUP(C339,'بيانات الآليات '!A:G,4,FALSE()),"")</f>
        <v/>
      </c>
      <c r="F339" s="81" t="str">
        <f aca="false">_xlfn.IFNA(VLOOKUP(C339,'بيانات الآليات '!A:G,2,FALSE()),"")</f>
        <v/>
      </c>
      <c r="G339" s="81"/>
      <c r="H339" s="81" t="str">
        <f aca="false">_xlfn.IFNA(VLOOKUP(C339,'بيانات الآليات '!A:G,5,FALSE()),"")</f>
        <v/>
      </c>
      <c r="I339" s="82"/>
      <c r="J339" s="83" t="str">
        <f aca="false">_xlfn.IFNA(VLOOKUP(I339,Table14543[],2,FALSE()),"")</f>
        <v/>
      </c>
      <c r="K339" s="84" t="str">
        <f aca="false">_xlfn.IFNA(VLOOKUP(I339,Table14543[],3,FALSE()),"")</f>
        <v/>
      </c>
      <c r="L339" s="83" t="str">
        <f aca="false">CONCATENATE("",I339,""," ",J339," ",K339)</f>
        <v>  </v>
      </c>
      <c r="M339" s="85"/>
      <c r="N339" s="86"/>
      <c r="O339" s="86"/>
      <c r="P339" s="86" t="n">
        <f aca="false">N339*O339</f>
        <v>0</v>
      </c>
      <c r="Q339" s="86"/>
      <c r="R339" s="87" t="n">
        <f aca="false">(O339*N339)+Q339</f>
        <v>0</v>
      </c>
      <c r="S339" s="91"/>
    </row>
    <row r="340" customFormat="false" ht="14.25" hidden="false" customHeight="false" outlineLevel="0" collapsed="false">
      <c r="A340" s="77"/>
      <c r="B340" s="78"/>
      <c r="C340" s="79"/>
      <c r="D340" s="79"/>
      <c r="E340" s="80" t="str">
        <f aca="false">_xlfn.IFNA(VLOOKUP(C340,'بيانات الآليات '!A:G,4,FALSE()),"")</f>
        <v/>
      </c>
      <c r="F340" s="81" t="str">
        <f aca="false">_xlfn.IFNA(VLOOKUP(C340,'بيانات الآليات '!A:G,2,FALSE()),"")</f>
        <v/>
      </c>
      <c r="G340" s="81"/>
      <c r="H340" s="81" t="str">
        <f aca="false">_xlfn.IFNA(VLOOKUP(C340,'بيانات الآليات '!A:G,5,FALSE()),"")</f>
        <v/>
      </c>
      <c r="I340" s="82"/>
      <c r="J340" s="83" t="str">
        <f aca="false">_xlfn.IFNA(VLOOKUP(I340,Table14543[],2,FALSE()),"")</f>
        <v/>
      </c>
      <c r="K340" s="84" t="str">
        <f aca="false">_xlfn.IFNA(VLOOKUP(I340,Table14543[],3,FALSE()),"")</f>
        <v/>
      </c>
      <c r="L340" s="83" t="str">
        <f aca="false">CONCATENATE("",I340,""," ",J340," ",K340)</f>
        <v>  </v>
      </c>
      <c r="M340" s="85"/>
      <c r="N340" s="86"/>
      <c r="O340" s="86"/>
      <c r="P340" s="86" t="n">
        <f aca="false">N340*O340</f>
        <v>0</v>
      </c>
      <c r="Q340" s="86"/>
      <c r="R340" s="87" t="n">
        <f aca="false">(O340*N340)+Q340</f>
        <v>0</v>
      </c>
      <c r="S340" s="91"/>
    </row>
    <row r="341" customFormat="false" ht="14.25" hidden="false" customHeight="false" outlineLevel="0" collapsed="false">
      <c r="A341" s="77"/>
      <c r="B341" s="78"/>
      <c r="C341" s="79"/>
      <c r="D341" s="79"/>
      <c r="E341" s="80" t="str">
        <f aca="false">_xlfn.IFNA(VLOOKUP(C341,'بيانات الآليات '!A:G,4,FALSE()),"")</f>
        <v/>
      </c>
      <c r="F341" s="81" t="str">
        <f aca="false">_xlfn.IFNA(VLOOKUP(C341,'بيانات الآليات '!A:G,2,FALSE()),"")</f>
        <v/>
      </c>
      <c r="G341" s="81"/>
      <c r="H341" s="81" t="str">
        <f aca="false">_xlfn.IFNA(VLOOKUP(C341,'بيانات الآليات '!A:G,5,FALSE()),"")</f>
        <v/>
      </c>
      <c r="I341" s="82"/>
      <c r="J341" s="83" t="str">
        <f aca="false">_xlfn.IFNA(VLOOKUP(I341,Table14543[],2,FALSE()),"")</f>
        <v/>
      </c>
      <c r="K341" s="84" t="str">
        <f aca="false">_xlfn.IFNA(VLOOKUP(I341,Table14543[],3,FALSE()),"")</f>
        <v/>
      </c>
      <c r="L341" s="83" t="str">
        <f aca="false">CONCATENATE("",I341,""," ",J341," ",K341)</f>
        <v>  </v>
      </c>
      <c r="M341" s="85"/>
      <c r="N341" s="86"/>
      <c r="O341" s="86"/>
      <c r="P341" s="86" t="n">
        <f aca="false">N341*O341</f>
        <v>0</v>
      </c>
      <c r="Q341" s="86"/>
      <c r="R341" s="87" t="n">
        <f aca="false">(O341*N341)+Q341</f>
        <v>0</v>
      </c>
      <c r="S341" s="91"/>
    </row>
    <row r="342" customFormat="false" ht="14.25" hidden="false" customHeight="false" outlineLevel="0" collapsed="false">
      <c r="A342" s="77"/>
      <c r="B342" s="78"/>
      <c r="C342" s="79"/>
      <c r="D342" s="79"/>
      <c r="E342" s="80" t="str">
        <f aca="false">_xlfn.IFNA(VLOOKUP(C342,'بيانات الآليات '!A:G,4,FALSE()),"")</f>
        <v/>
      </c>
      <c r="F342" s="81" t="str">
        <f aca="false">_xlfn.IFNA(VLOOKUP(C342,'بيانات الآليات '!A:G,2,FALSE()),"")</f>
        <v/>
      </c>
      <c r="G342" s="81"/>
      <c r="H342" s="81" t="str">
        <f aca="false">_xlfn.IFNA(VLOOKUP(C342,'بيانات الآليات '!A:G,5,FALSE()),"")</f>
        <v/>
      </c>
      <c r="I342" s="82"/>
      <c r="J342" s="83" t="str">
        <f aca="false">_xlfn.IFNA(VLOOKUP(I342,Table14543[],2,FALSE()),"")</f>
        <v/>
      </c>
      <c r="K342" s="84" t="str">
        <f aca="false">_xlfn.IFNA(VLOOKUP(I342,Table14543[],3,FALSE()),"")</f>
        <v/>
      </c>
      <c r="L342" s="83" t="str">
        <f aca="false">CONCATENATE("",I342,""," ",J342," ",K342)</f>
        <v>  </v>
      </c>
      <c r="M342" s="85"/>
      <c r="N342" s="86"/>
      <c r="O342" s="86"/>
      <c r="P342" s="86" t="n">
        <f aca="false">N342*O342</f>
        <v>0</v>
      </c>
      <c r="Q342" s="86"/>
      <c r="R342" s="87" t="n">
        <f aca="false">(O342*N342)+Q342</f>
        <v>0</v>
      </c>
      <c r="S342" s="91"/>
    </row>
    <row r="343" customFormat="false" ht="14.25" hidden="false" customHeight="false" outlineLevel="0" collapsed="false">
      <c r="A343" s="77"/>
      <c r="B343" s="78"/>
      <c r="C343" s="79"/>
      <c r="D343" s="79"/>
      <c r="E343" s="80" t="str">
        <f aca="false">_xlfn.IFNA(VLOOKUP(C343,'بيانات الآليات '!A:G,4,FALSE()),"")</f>
        <v/>
      </c>
      <c r="F343" s="81" t="str">
        <f aca="false">_xlfn.IFNA(VLOOKUP(C343,'بيانات الآليات '!A:G,2,FALSE()),"")</f>
        <v/>
      </c>
      <c r="G343" s="81"/>
      <c r="H343" s="81" t="str">
        <f aca="false">_xlfn.IFNA(VLOOKUP(C343,'بيانات الآليات '!A:G,5,FALSE()),"")</f>
        <v/>
      </c>
      <c r="I343" s="82"/>
      <c r="J343" s="83" t="str">
        <f aca="false">_xlfn.IFNA(VLOOKUP(I343,Table14543[],2,FALSE()),"")</f>
        <v/>
      </c>
      <c r="K343" s="84" t="str">
        <f aca="false">_xlfn.IFNA(VLOOKUP(I343,Table14543[],3,FALSE()),"")</f>
        <v/>
      </c>
      <c r="L343" s="83" t="str">
        <f aca="false">CONCATENATE("",I343,""," ",J343," ",K343)</f>
        <v>  </v>
      </c>
      <c r="M343" s="85"/>
      <c r="N343" s="86"/>
      <c r="O343" s="86"/>
      <c r="P343" s="86" t="n">
        <f aca="false">N343*O343</f>
        <v>0</v>
      </c>
      <c r="Q343" s="86"/>
      <c r="R343" s="87" t="n">
        <f aca="false">(O343*N343)+Q343</f>
        <v>0</v>
      </c>
      <c r="S343" s="91"/>
    </row>
    <row r="344" customFormat="false" ht="14.25" hidden="false" customHeight="false" outlineLevel="0" collapsed="false">
      <c r="A344" s="77"/>
      <c r="B344" s="78"/>
      <c r="C344" s="79"/>
      <c r="D344" s="79"/>
      <c r="E344" s="80" t="str">
        <f aca="false">_xlfn.IFNA(VLOOKUP(C344,'بيانات الآليات '!A:G,4,FALSE()),"")</f>
        <v/>
      </c>
      <c r="F344" s="81" t="str">
        <f aca="false">_xlfn.IFNA(VLOOKUP(C344,'بيانات الآليات '!A:G,2,FALSE()),"")</f>
        <v/>
      </c>
      <c r="G344" s="81"/>
      <c r="H344" s="81" t="str">
        <f aca="false">_xlfn.IFNA(VLOOKUP(C344,'بيانات الآليات '!A:G,5,FALSE()),"")</f>
        <v/>
      </c>
      <c r="I344" s="82"/>
      <c r="J344" s="83" t="str">
        <f aca="false">_xlfn.IFNA(VLOOKUP(I344,Table14543[],2,FALSE()),"")</f>
        <v/>
      </c>
      <c r="K344" s="84" t="str">
        <f aca="false">_xlfn.IFNA(VLOOKUP(I344,Table14543[],3,FALSE()),"")</f>
        <v/>
      </c>
      <c r="L344" s="83" t="str">
        <f aca="false">CONCATENATE("",I344,""," ",J344," ",K344)</f>
        <v>  </v>
      </c>
      <c r="M344" s="85"/>
      <c r="N344" s="86"/>
      <c r="O344" s="86"/>
      <c r="P344" s="86" t="n">
        <f aca="false">N344*O344</f>
        <v>0</v>
      </c>
      <c r="Q344" s="86"/>
      <c r="R344" s="87" t="n">
        <f aca="false">(O344*N344)+Q344</f>
        <v>0</v>
      </c>
      <c r="S344" s="91"/>
    </row>
    <row r="345" customFormat="false" ht="14.25" hidden="false" customHeight="false" outlineLevel="0" collapsed="false">
      <c r="A345" s="77"/>
      <c r="B345" s="78"/>
      <c r="C345" s="79"/>
      <c r="D345" s="79"/>
      <c r="E345" s="80" t="str">
        <f aca="false">_xlfn.IFNA(VLOOKUP(C345,'بيانات الآليات '!A:G,4,FALSE()),"")</f>
        <v/>
      </c>
      <c r="F345" s="81" t="str">
        <f aca="false">_xlfn.IFNA(VLOOKUP(C345,'بيانات الآليات '!A:G,2,FALSE()),"")</f>
        <v/>
      </c>
      <c r="G345" s="81"/>
      <c r="H345" s="81" t="str">
        <f aca="false">_xlfn.IFNA(VLOOKUP(C345,'بيانات الآليات '!A:G,5,FALSE()),"")</f>
        <v/>
      </c>
      <c r="I345" s="82"/>
      <c r="J345" s="83" t="str">
        <f aca="false">_xlfn.IFNA(VLOOKUP(I345,Table14543[],2,FALSE()),"")</f>
        <v/>
      </c>
      <c r="K345" s="84" t="str">
        <f aca="false">_xlfn.IFNA(VLOOKUP(I345,Table14543[],3,FALSE()),"")</f>
        <v/>
      </c>
      <c r="L345" s="83" t="str">
        <f aca="false">CONCATENATE("",I345,""," ",J345," ",K345)</f>
        <v>  </v>
      </c>
      <c r="M345" s="85"/>
      <c r="N345" s="86"/>
      <c r="O345" s="86"/>
      <c r="P345" s="86" t="n">
        <f aca="false">N345*O345</f>
        <v>0</v>
      </c>
      <c r="Q345" s="86"/>
      <c r="R345" s="87" t="n">
        <f aca="false">(O345*N345)+Q345</f>
        <v>0</v>
      </c>
      <c r="S345" s="91"/>
    </row>
    <row r="346" customFormat="false" ht="14.25" hidden="false" customHeight="false" outlineLevel="0" collapsed="false">
      <c r="A346" s="77"/>
      <c r="B346" s="78"/>
      <c r="C346" s="79"/>
      <c r="D346" s="79"/>
      <c r="E346" s="80" t="str">
        <f aca="false">_xlfn.IFNA(VLOOKUP(C346,'بيانات الآليات '!A:G,4,FALSE()),"")</f>
        <v/>
      </c>
      <c r="F346" s="81" t="str">
        <f aca="false">_xlfn.IFNA(VLOOKUP(C346,'بيانات الآليات '!A:G,2,FALSE()),"")</f>
        <v/>
      </c>
      <c r="G346" s="81"/>
      <c r="H346" s="81" t="str">
        <f aca="false">_xlfn.IFNA(VLOOKUP(C346,'بيانات الآليات '!A:G,5,FALSE()),"")</f>
        <v/>
      </c>
      <c r="I346" s="82"/>
      <c r="J346" s="83" t="str">
        <f aca="false">_xlfn.IFNA(VLOOKUP(I346,Table14543[],2,FALSE()),"")</f>
        <v/>
      </c>
      <c r="K346" s="84" t="str">
        <f aca="false">_xlfn.IFNA(VLOOKUP(I346,Table14543[],3,FALSE()),"")</f>
        <v/>
      </c>
      <c r="L346" s="83" t="str">
        <f aca="false">CONCATENATE("",I346,""," ",J346," ",K346)</f>
        <v>  </v>
      </c>
      <c r="M346" s="85"/>
      <c r="N346" s="86"/>
      <c r="O346" s="86"/>
      <c r="P346" s="86" t="n">
        <f aca="false">N346*O346</f>
        <v>0</v>
      </c>
      <c r="Q346" s="86"/>
      <c r="R346" s="87" t="n">
        <f aca="false">(O346*N346)+Q346</f>
        <v>0</v>
      </c>
      <c r="S346" s="91"/>
    </row>
    <row r="347" customFormat="false" ht="14.25" hidden="false" customHeight="false" outlineLevel="0" collapsed="false">
      <c r="A347" s="77"/>
      <c r="B347" s="78"/>
      <c r="C347" s="79"/>
      <c r="D347" s="79"/>
      <c r="E347" s="80" t="str">
        <f aca="false">_xlfn.IFNA(VLOOKUP(C347,'بيانات الآليات '!A:G,4,FALSE()),"")</f>
        <v/>
      </c>
      <c r="F347" s="81" t="str">
        <f aca="false">_xlfn.IFNA(VLOOKUP(C347,'بيانات الآليات '!A:G,2,FALSE()),"")</f>
        <v/>
      </c>
      <c r="G347" s="81"/>
      <c r="H347" s="81" t="str">
        <f aca="false">_xlfn.IFNA(VLOOKUP(C347,'بيانات الآليات '!A:G,5,FALSE()),"")</f>
        <v/>
      </c>
      <c r="I347" s="82"/>
      <c r="J347" s="83" t="str">
        <f aca="false">_xlfn.IFNA(VLOOKUP(I347,Table14543[],2,FALSE()),"")</f>
        <v/>
      </c>
      <c r="K347" s="84" t="str">
        <f aca="false">_xlfn.IFNA(VLOOKUP(I347,Table14543[],3,FALSE()),"")</f>
        <v/>
      </c>
      <c r="L347" s="83" t="str">
        <f aca="false">CONCATENATE("",I347,""," ",J347," ",K347)</f>
        <v>  </v>
      </c>
      <c r="M347" s="85"/>
      <c r="N347" s="86"/>
      <c r="O347" s="86"/>
      <c r="P347" s="86" t="n">
        <f aca="false">N347*O347</f>
        <v>0</v>
      </c>
      <c r="Q347" s="86"/>
      <c r="R347" s="87" t="n">
        <f aca="false">(O347*N347)+Q347</f>
        <v>0</v>
      </c>
      <c r="S347" s="91"/>
    </row>
    <row r="348" customFormat="false" ht="14.25" hidden="false" customHeight="false" outlineLevel="0" collapsed="false">
      <c r="A348" s="77"/>
      <c r="B348" s="78"/>
      <c r="C348" s="79"/>
      <c r="D348" s="79"/>
      <c r="E348" s="80" t="str">
        <f aca="false">_xlfn.IFNA(VLOOKUP(C348,'بيانات الآليات '!A:G,4,FALSE()),"")</f>
        <v/>
      </c>
      <c r="F348" s="81" t="str">
        <f aca="false">_xlfn.IFNA(VLOOKUP(C348,'بيانات الآليات '!A:G,2,FALSE()),"")</f>
        <v/>
      </c>
      <c r="G348" s="81"/>
      <c r="H348" s="81" t="str">
        <f aca="false">_xlfn.IFNA(VLOOKUP(C348,'بيانات الآليات '!A:G,5,FALSE()),"")</f>
        <v/>
      </c>
      <c r="I348" s="82"/>
      <c r="J348" s="83" t="str">
        <f aca="false">_xlfn.IFNA(VLOOKUP(I348,Table14543[],2,FALSE()),"")</f>
        <v/>
      </c>
      <c r="K348" s="84" t="str">
        <f aca="false">_xlfn.IFNA(VLOOKUP(I348,Table14543[],3,FALSE()),"")</f>
        <v/>
      </c>
      <c r="L348" s="83" t="str">
        <f aca="false">CONCATENATE("",I348,""," ",J348," ",K348)</f>
        <v>  </v>
      </c>
      <c r="M348" s="85"/>
      <c r="N348" s="86"/>
      <c r="O348" s="86"/>
      <c r="P348" s="86" t="n">
        <f aca="false">N348*O348</f>
        <v>0</v>
      </c>
      <c r="Q348" s="86"/>
      <c r="R348" s="87" t="n">
        <f aca="false">(O348*N348)+Q348</f>
        <v>0</v>
      </c>
      <c r="S348" s="91"/>
    </row>
    <row r="349" customFormat="false" ht="14.25" hidden="false" customHeight="false" outlineLevel="0" collapsed="false">
      <c r="A349" s="77"/>
      <c r="B349" s="78"/>
      <c r="C349" s="79"/>
      <c r="D349" s="79"/>
      <c r="E349" s="80" t="str">
        <f aca="false">_xlfn.IFNA(VLOOKUP(C349,'بيانات الآليات '!A:G,4,FALSE()),"")</f>
        <v/>
      </c>
      <c r="F349" s="81" t="str">
        <f aca="false">_xlfn.IFNA(VLOOKUP(C349,'بيانات الآليات '!A:G,2,FALSE()),"")</f>
        <v/>
      </c>
      <c r="G349" s="81"/>
      <c r="H349" s="81" t="str">
        <f aca="false">_xlfn.IFNA(VLOOKUP(C349,'بيانات الآليات '!A:G,5,FALSE()),"")</f>
        <v/>
      </c>
      <c r="I349" s="82"/>
      <c r="J349" s="83" t="str">
        <f aca="false">_xlfn.IFNA(VLOOKUP(I349,Table14543[],2,FALSE()),"")</f>
        <v/>
      </c>
      <c r="K349" s="84" t="str">
        <f aca="false">_xlfn.IFNA(VLOOKUP(I349,Table14543[],3,FALSE()),"")</f>
        <v/>
      </c>
      <c r="L349" s="83" t="str">
        <f aca="false">CONCATENATE("",I349,""," ",J349," ",K349)</f>
        <v>  </v>
      </c>
      <c r="M349" s="85"/>
      <c r="N349" s="86"/>
      <c r="O349" s="86"/>
      <c r="P349" s="86" t="n">
        <f aca="false">N349*O349</f>
        <v>0</v>
      </c>
      <c r="Q349" s="86"/>
      <c r="R349" s="87" t="n">
        <f aca="false">(O349*N349)+Q349</f>
        <v>0</v>
      </c>
      <c r="S349" s="91"/>
    </row>
    <row r="350" customFormat="false" ht="14.25" hidden="false" customHeight="false" outlineLevel="0" collapsed="false">
      <c r="A350" s="77"/>
      <c r="B350" s="78"/>
      <c r="C350" s="79"/>
      <c r="D350" s="79"/>
      <c r="E350" s="80" t="str">
        <f aca="false">_xlfn.IFNA(VLOOKUP(C350,'بيانات الآليات '!A:G,4,FALSE()),"")</f>
        <v/>
      </c>
      <c r="F350" s="81" t="str">
        <f aca="false">_xlfn.IFNA(VLOOKUP(C350,'بيانات الآليات '!A:G,2,FALSE()),"")</f>
        <v/>
      </c>
      <c r="G350" s="81"/>
      <c r="H350" s="81" t="str">
        <f aca="false">_xlfn.IFNA(VLOOKUP(C350,'بيانات الآليات '!A:G,5,FALSE()),"")</f>
        <v/>
      </c>
      <c r="I350" s="82"/>
      <c r="J350" s="83" t="str">
        <f aca="false">_xlfn.IFNA(VLOOKUP(I350,Table14543[],2,FALSE()),"")</f>
        <v/>
      </c>
      <c r="K350" s="84" t="str">
        <f aca="false">_xlfn.IFNA(VLOOKUP(I350,Table14543[],3,FALSE()),"")</f>
        <v/>
      </c>
      <c r="L350" s="83" t="str">
        <f aca="false">CONCATENATE("",I350,""," ",J350," ",K350)</f>
        <v>  </v>
      </c>
      <c r="M350" s="85"/>
      <c r="N350" s="86"/>
      <c r="O350" s="86"/>
      <c r="P350" s="86" t="n">
        <f aca="false">N350*O350</f>
        <v>0</v>
      </c>
      <c r="Q350" s="86"/>
      <c r="R350" s="87" t="n">
        <f aca="false">(O350*N350)+Q350</f>
        <v>0</v>
      </c>
      <c r="S350" s="91"/>
    </row>
    <row r="351" customFormat="false" ht="14.25" hidden="false" customHeight="false" outlineLevel="0" collapsed="false">
      <c r="A351" s="77"/>
      <c r="B351" s="78"/>
      <c r="C351" s="79"/>
      <c r="D351" s="79"/>
      <c r="E351" s="80" t="str">
        <f aca="false">_xlfn.IFNA(VLOOKUP(C351,'بيانات الآليات '!A:G,4,FALSE()),"")</f>
        <v/>
      </c>
      <c r="F351" s="81" t="str">
        <f aca="false">_xlfn.IFNA(VLOOKUP(C351,'بيانات الآليات '!A:G,2,FALSE()),"")</f>
        <v/>
      </c>
      <c r="G351" s="81"/>
      <c r="H351" s="81" t="str">
        <f aca="false">_xlfn.IFNA(VLOOKUP(C351,'بيانات الآليات '!A:G,5,FALSE()),"")</f>
        <v/>
      </c>
      <c r="I351" s="82"/>
      <c r="J351" s="83" t="str">
        <f aca="false">_xlfn.IFNA(VLOOKUP(I351,Table14543[],2,FALSE()),"")</f>
        <v/>
      </c>
      <c r="K351" s="84" t="str">
        <f aca="false">_xlfn.IFNA(VLOOKUP(I351,Table14543[],3,FALSE()),"")</f>
        <v/>
      </c>
      <c r="L351" s="83" t="str">
        <f aca="false">CONCATENATE("",I351,""," ",J351," ",K351)</f>
        <v>  </v>
      </c>
      <c r="M351" s="85"/>
      <c r="N351" s="86"/>
      <c r="O351" s="86"/>
      <c r="P351" s="86" t="n">
        <f aca="false">N351*O351</f>
        <v>0</v>
      </c>
      <c r="Q351" s="86"/>
      <c r="R351" s="87" t="n">
        <f aca="false">(O351*N351)+Q351</f>
        <v>0</v>
      </c>
      <c r="S351" s="91"/>
    </row>
    <row r="352" customFormat="false" ht="14.25" hidden="false" customHeight="false" outlineLevel="0" collapsed="false">
      <c r="A352" s="77"/>
      <c r="B352" s="78"/>
      <c r="C352" s="79"/>
      <c r="D352" s="79"/>
      <c r="E352" s="80" t="str">
        <f aca="false">_xlfn.IFNA(VLOOKUP(C352,'بيانات الآليات '!A:G,4,FALSE()),"")</f>
        <v/>
      </c>
      <c r="F352" s="81" t="str">
        <f aca="false">_xlfn.IFNA(VLOOKUP(C352,'بيانات الآليات '!A:G,2,FALSE()),"")</f>
        <v/>
      </c>
      <c r="G352" s="81"/>
      <c r="H352" s="81" t="str">
        <f aca="false">_xlfn.IFNA(VLOOKUP(C352,'بيانات الآليات '!A:G,5,FALSE()),"")</f>
        <v/>
      </c>
      <c r="I352" s="82"/>
      <c r="J352" s="83" t="str">
        <f aca="false">_xlfn.IFNA(VLOOKUP(I352,Table14543[],2,FALSE()),"")</f>
        <v/>
      </c>
      <c r="K352" s="84" t="str">
        <f aca="false">_xlfn.IFNA(VLOOKUP(I352,Table14543[],3,FALSE()),"")</f>
        <v/>
      </c>
      <c r="L352" s="83" t="str">
        <f aca="false">CONCATENATE("",I352,""," ",J352," ",K352)</f>
        <v>  </v>
      </c>
      <c r="M352" s="85"/>
      <c r="N352" s="86"/>
      <c r="O352" s="86"/>
      <c r="P352" s="86" t="n">
        <f aca="false">N352*O352</f>
        <v>0</v>
      </c>
      <c r="Q352" s="86"/>
      <c r="R352" s="87" t="n">
        <f aca="false">(O352*N352)+Q352</f>
        <v>0</v>
      </c>
      <c r="S352" s="91"/>
    </row>
    <row r="353" customFormat="false" ht="14.25" hidden="false" customHeight="false" outlineLevel="0" collapsed="false">
      <c r="A353" s="77"/>
      <c r="B353" s="78"/>
      <c r="C353" s="79"/>
      <c r="D353" s="79"/>
      <c r="E353" s="80" t="str">
        <f aca="false">_xlfn.IFNA(VLOOKUP(C353,'بيانات الآليات '!A:G,4,FALSE()),"")</f>
        <v/>
      </c>
      <c r="F353" s="81" t="str">
        <f aca="false">_xlfn.IFNA(VLOOKUP(C353,'بيانات الآليات '!A:G,2,FALSE()),"")</f>
        <v/>
      </c>
      <c r="G353" s="81"/>
      <c r="H353" s="81" t="str">
        <f aca="false">_xlfn.IFNA(VLOOKUP(C353,'بيانات الآليات '!A:G,5,FALSE()),"")</f>
        <v/>
      </c>
      <c r="I353" s="82"/>
      <c r="J353" s="83" t="str">
        <f aca="false">_xlfn.IFNA(VLOOKUP(I353,Table14543[],2,FALSE()),"")</f>
        <v/>
      </c>
      <c r="K353" s="84" t="str">
        <f aca="false">_xlfn.IFNA(VLOOKUP(I353,Table14543[],3,FALSE()),"")</f>
        <v/>
      </c>
      <c r="L353" s="83" t="str">
        <f aca="false">CONCATENATE("",I353,""," ",J353," ",K353)</f>
        <v>  </v>
      </c>
      <c r="M353" s="85"/>
      <c r="N353" s="86"/>
      <c r="O353" s="86"/>
      <c r="P353" s="86" t="n">
        <f aca="false">N353*O353</f>
        <v>0</v>
      </c>
      <c r="Q353" s="86"/>
      <c r="R353" s="87" t="n">
        <f aca="false">(O353*N353)+Q353</f>
        <v>0</v>
      </c>
      <c r="S353" s="91"/>
    </row>
    <row r="354" customFormat="false" ht="14.25" hidden="false" customHeight="false" outlineLevel="0" collapsed="false">
      <c r="A354" s="77"/>
      <c r="B354" s="78"/>
      <c r="C354" s="79"/>
      <c r="D354" s="79"/>
      <c r="E354" s="80" t="str">
        <f aca="false">_xlfn.IFNA(VLOOKUP(C354,'بيانات الآليات '!A:G,4,FALSE()),"")</f>
        <v/>
      </c>
      <c r="F354" s="81" t="str">
        <f aca="false">_xlfn.IFNA(VLOOKUP(C354,'بيانات الآليات '!A:G,2,FALSE()),"")</f>
        <v/>
      </c>
      <c r="G354" s="81"/>
      <c r="H354" s="81" t="str">
        <f aca="false">_xlfn.IFNA(VLOOKUP(C354,'بيانات الآليات '!A:G,5,FALSE()),"")</f>
        <v/>
      </c>
      <c r="I354" s="82"/>
      <c r="J354" s="83" t="str">
        <f aca="false">_xlfn.IFNA(VLOOKUP(I354,Table14543[],2,FALSE()),"")</f>
        <v/>
      </c>
      <c r="K354" s="84" t="str">
        <f aca="false">_xlfn.IFNA(VLOOKUP(I354,Table14543[],3,FALSE()),"")</f>
        <v/>
      </c>
      <c r="L354" s="83" t="str">
        <f aca="false">CONCATENATE("",I354,""," ",J354," ",K354)</f>
        <v>  </v>
      </c>
      <c r="M354" s="85"/>
      <c r="N354" s="86"/>
      <c r="O354" s="86"/>
      <c r="P354" s="86" t="n">
        <f aca="false">N354*O354</f>
        <v>0</v>
      </c>
      <c r="Q354" s="86"/>
      <c r="R354" s="87" t="n">
        <f aca="false">(O354*N354)+Q354</f>
        <v>0</v>
      </c>
      <c r="S354" s="91"/>
    </row>
    <row r="355" customFormat="false" ht="14.25" hidden="false" customHeight="false" outlineLevel="0" collapsed="false">
      <c r="A355" s="77"/>
      <c r="B355" s="78"/>
      <c r="C355" s="79"/>
      <c r="D355" s="79"/>
      <c r="E355" s="80" t="str">
        <f aca="false">_xlfn.IFNA(VLOOKUP(C355,'بيانات الآليات '!A:G,4,FALSE()),"")</f>
        <v/>
      </c>
      <c r="F355" s="81" t="str">
        <f aca="false">_xlfn.IFNA(VLOOKUP(C355,'بيانات الآليات '!A:G,2,FALSE()),"")</f>
        <v/>
      </c>
      <c r="G355" s="81"/>
      <c r="H355" s="81" t="str">
        <f aca="false">_xlfn.IFNA(VLOOKUP(C355,'بيانات الآليات '!A:G,5,FALSE()),"")</f>
        <v/>
      </c>
      <c r="I355" s="82"/>
      <c r="J355" s="83" t="str">
        <f aca="false">_xlfn.IFNA(VLOOKUP(I355,Table14543[],2,FALSE()),"")</f>
        <v/>
      </c>
      <c r="K355" s="84" t="str">
        <f aca="false">_xlfn.IFNA(VLOOKUP(I355,Table14543[],3,FALSE()),"")</f>
        <v/>
      </c>
      <c r="L355" s="83" t="str">
        <f aca="false">CONCATENATE("",I355,""," ",J355," ",K355)</f>
        <v>  </v>
      </c>
      <c r="M355" s="85"/>
      <c r="N355" s="86"/>
      <c r="O355" s="86"/>
      <c r="P355" s="86" t="n">
        <f aca="false">N355*O355</f>
        <v>0</v>
      </c>
      <c r="Q355" s="86"/>
      <c r="R355" s="87" t="n">
        <f aca="false">(O355*N355)+Q355</f>
        <v>0</v>
      </c>
      <c r="S355" s="91"/>
    </row>
    <row r="356" customFormat="false" ht="14.25" hidden="false" customHeight="false" outlineLevel="0" collapsed="false">
      <c r="A356" s="77"/>
      <c r="B356" s="78"/>
      <c r="C356" s="79"/>
      <c r="D356" s="79"/>
      <c r="E356" s="80" t="str">
        <f aca="false">_xlfn.IFNA(VLOOKUP(C356,'بيانات الآليات '!A:G,4,FALSE()),"")</f>
        <v/>
      </c>
      <c r="F356" s="81" t="str">
        <f aca="false">_xlfn.IFNA(VLOOKUP(C356,'بيانات الآليات '!A:G,2,FALSE()),"")</f>
        <v/>
      </c>
      <c r="G356" s="81"/>
      <c r="H356" s="81" t="str">
        <f aca="false">_xlfn.IFNA(VLOOKUP(C356,'بيانات الآليات '!A:G,5,FALSE()),"")</f>
        <v/>
      </c>
      <c r="I356" s="82"/>
      <c r="J356" s="83" t="str">
        <f aca="false">_xlfn.IFNA(VLOOKUP(I356,Table14543[],2,FALSE()),"")</f>
        <v/>
      </c>
      <c r="K356" s="84" t="str">
        <f aca="false">_xlfn.IFNA(VLOOKUP(I356,Table14543[],3,FALSE()),"")</f>
        <v/>
      </c>
      <c r="L356" s="83" t="str">
        <f aca="false">CONCATENATE("",I356,""," ",J356," ",K356)</f>
        <v>  </v>
      </c>
      <c r="M356" s="85"/>
      <c r="N356" s="86"/>
      <c r="O356" s="86"/>
      <c r="P356" s="86" t="n">
        <f aca="false">N356*O356</f>
        <v>0</v>
      </c>
      <c r="Q356" s="86"/>
      <c r="R356" s="87" t="n">
        <f aca="false">(O356*N356)+Q356</f>
        <v>0</v>
      </c>
      <c r="S356" s="91"/>
    </row>
    <row r="357" customFormat="false" ht="14.25" hidden="false" customHeight="false" outlineLevel="0" collapsed="false">
      <c r="A357" s="77"/>
      <c r="B357" s="78"/>
      <c r="C357" s="79"/>
      <c r="D357" s="79"/>
      <c r="E357" s="80" t="str">
        <f aca="false">_xlfn.IFNA(VLOOKUP(C357,'بيانات الآليات '!A:G,4,FALSE()),"")</f>
        <v/>
      </c>
      <c r="F357" s="81" t="str">
        <f aca="false">_xlfn.IFNA(VLOOKUP(C357,'بيانات الآليات '!A:G,2,FALSE()),"")</f>
        <v/>
      </c>
      <c r="G357" s="81"/>
      <c r="H357" s="81" t="str">
        <f aca="false">_xlfn.IFNA(VLOOKUP(C357,'بيانات الآليات '!A:G,5,FALSE()),"")</f>
        <v/>
      </c>
      <c r="I357" s="82"/>
      <c r="J357" s="83" t="str">
        <f aca="false">_xlfn.IFNA(VLOOKUP(I357,Table14543[],2,FALSE()),"")</f>
        <v/>
      </c>
      <c r="K357" s="84" t="str">
        <f aca="false">_xlfn.IFNA(VLOOKUP(I357,Table14543[],3,FALSE()),"")</f>
        <v/>
      </c>
      <c r="L357" s="83" t="str">
        <f aca="false">CONCATENATE("",I357,""," ",J357," ",K357)</f>
        <v>  </v>
      </c>
      <c r="M357" s="85"/>
      <c r="N357" s="86"/>
      <c r="O357" s="86"/>
      <c r="P357" s="86" t="n">
        <f aca="false">N357*O357</f>
        <v>0</v>
      </c>
      <c r="Q357" s="86"/>
      <c r="R357" s="87" t="n">
        <f aca="false">(O357*N357)+Q357</f>
        <v>0</v>
      </c>
      <c r="S357" s="91"/>
    </row>
    <row r="358" customFormat="false" ht="14.25" hidden="false" customHeight="false" outlineLevel="0" collapsed="false">
      <c r="A358" s="77"/>
      <c r="B358" s="78"/>
      <c r="C358" s="79"/>
      <c r="D358" s="79"/>
      <c r="E358" s="80" t="str">
        <f aca="false">_xlfn.IFNA(VLOOKUP(C358,'بيانات الآليات '!A:G,4,FALSE()),"")</f>
        <v/>
      </c>
      <c r="F358" s="81" t="str">
        <f aca="false">_xlfn.IFNA(VLOOKUP(C358,'بيانات الآليات '!A:G,2,FALSE()),"")</f>
        <v/>
      </c>
      <c r="G358" s="81"/>
      <c r="H358" s="81" t="str">
        <f aca="false">_xlfn.IFNA(VLOOKUP(C358,'بيانات الآليات '!A:G,5,FALSE()),"")</f>
        <v/>
      </c>
      <c r="I358" s="82"/>
      <c r="J358" s="83" t="str">
        <f aca="false">_xlfn.IFNA(VLOOKUP(I358,Table14543[],2,FALSE()),"")</f>
        <v/>
      </c>
      <c r="K358" s="84" t="str">
        <f aca="false">_xlfn.IFNA(VLOOKUP(I358,Table14543[],3,FALSE()),"")</f>
        <v/>
      </c>
      <c r="L358" s="83" t="str">
        <f aca="false">CONCATENATE("",I358,""," ",J358," ",K358)</f>
        <v>  </v>
      </c>
      <c r="M358" s="85"/>
      <c r="N358" s="86"/>
      <c r="O358" s="86"/>
      <c r="P358" s="86" t="n">
        <f aca="false">N358*O358</f>
        <v>0</v>
      </c>
      <c r="Q358" s="86"/>
      <c r="R358" s="87" t="n">
        <f aca="false">(O358*N358)+Q358</f>
        <v>0</v>
      </c>
      <c r="S358" s="91"/>
    </row>
    <row r="359" customFormat="false" ht="14.25" hidden="false" customHeight="false" outlineLevel="0" collapsed="false">
      <c r="A359" s="77"/>
      <c r="B359" s="78"/>
      <c r="C359" s="79"/>
      <c r="D359" s="79"/>
      <c r="E359" s="80" t="str">
        <f aca="false">_xlfn.IFNA(VLOOKUP(C359,'بيانات الآليات '!A:G,4,FALSE()),"")</f>
        <v/>
      </c>
      <c r="F359" s="81" t="str">
        <f aca="false">_xlfn.IFNA(VLOOKUP(C359,'بيانات الآليات '!A:G,2,FALSE()),"")</f>
        <v/>
      </c>
      <c r="G359" s="81"/>
      <c r="H359" s="81" t="str">
        <f aca="false">_xlfn.IFNA(VLOOKUP(C359,'بيانات الآليات '!A:G,5,FALSE()),"")</f>
        <v/>
      </c>
      <c r="I359" s="82"/>
      <c r="J359" s="83" t="str">
        <f aca="false">_xlfn.IFNA(VLOOKUP(I359,Table14543[],2,FALSE()),"")</f>
        <v/>
      </c>
      <c r="K359" s="84" t="str">
        <f aca="false">_xlfn.IFNA(VLOOKUP(I359,Table14543[],3,FALSE()),"")</f>
        <v/>
      </c>
      <c r="L359" s="83" t="str">
        <f aca="false">CONCATENATE("",I359,""," ",J359," ",K359)</f>
        <v>  </v>
      </c>
      <c r="M359" s="85"/>
      <c r="N359" s="86"/>
      <c r="O359" s="86"/>
      <c r="P359" s="86" t="n">
        <f aca="false">N359*O359</f>
        <v>0</v>
      </c>
      <c r="Q359" s="86"/>
      <c r="R359" s="87" t="n">
        <f aca="false">(O359*N359)+Q359</f>
        <v>0</v>
      </c>
      <c r="S359" s="91"/>
    </row>
    <row r="360" customFormat="false" ht="14.25" hidden="false" customHeight="false" outlineLevel="0" collapsed="false">
      <c r="A360" s="77"/>
      <c r="B360" s="78"/>
      <c r="C360" s="79"/>
      <c r="D360" s="79"/>
      <c r="E360" s="80" t="str">
        <f aca="false">_xlfn.IFNA(VLOOKUP(C360,'بيانات الآليات '!A:G,4,FALSE()),"")</f>
        <v/>
      </c>
      <c r="F360" s="81" t="str">
        <f aca="false">_xlfn.IFNA(VLOOKUP(C360,'بيانات الآليات '!A:G,2,FALSE()),"")</f>
        <v/>
      </c>
      <c r="G360" s="81"/>
      <c r="H360" s="81" t="str">
        <f aca="false">_xlfn.IFNA(VLOOKUP(C360,'بيانات الآليات '!A:G,5,FALSE()),"")</f>
        <v/>
      </c>
      <c r="I360" s="82"/>
      <c r="J360" s="83" t="str">
        <f aca="false">_xlfn.IFNA(VLOOKUP(I360,Table14543[],2,FALSE()),"")</f>
        <v/>
      </c>
      <c r="K360" s="84" t="str">
        <f aca="false">_xlfn.IFNA(VLOOKUP(I360,Table14543[],3,FALSE()),"")</f>
        <v/>
      </c>
      <c r="L360" s="83" t="str">
        <f aca="false">CONCATENATE("",I360,""," ",J360," ",K360)</f>
        <v>  </v>
      </c>
      <c r="M360" s="85"/>
      <c r="N360" s="86"/>
      <c r="O360" s="86"/>
      <c r="P360" s="86" t="n">
        <f aca="false">N360*O360</f>
        <v>0</v>
      </c>
      <c r="Q360" s="86"/>
      <c r="R360" s="87" t="n">
        <f aca="false">(O360*N360)+Q360</f>
        <v>0</v>
      </c>
      <c r="S360" s="91"/>
    </row>
    <row r="361" customFormat="false" ht="14.25" hidden="false" customHeight="false" outlineLevel="0" collapsed="false">
      <c r="A361" s="77"/>
      <c r="B361" s="78"/>
      <c r="C361" s="79"/>
      <c r="D361" s="79"/>
      <c r="E361" s="80" t="str">
        <f aca="false">_xlfn.IFNA(VLOOKUP(C361,'بيانات الآليات '!A:G,4,FALSE()),"")</f>
        <v/>
      </c>
      <c r="F361" s="81" t="str">
        <f aca="false">_xlfn.IFNA(VLOOKUP(C361,'بيانات الآليات '!A:G,2,FALSE()),"")</f>
        <v/>
      </c>
      <c r="G361" s="81"/>
      <c r="H361" s="81" t="str">
        <f aca="false">_xlfn.IFNA(VLOOKUP(C361,'بيانات الآليات '!A:G,5,FALSE()),"")</f>
        <v/>
      </c>
      <c r="I361" s="82"/>
      <c r="J361" s="83" t="str">
        <f aca="false">_xlfn.IFNA(VLOOKUP(I361,Table14543[],2,FALSE()),"")</f>
        <v/>
      </c>
      <c r="K361" s="84" t="str">
        <f aca="false">_xlfn.IFNA(VLOOKUP(I361,Table14543[],3,FALSE()),"")</f>
        <v/>
      </c>
      <c r="L361" s="83" t="str">
        <f aca="false">CONCATENATE("",I361,""," ",J361," ",K361)</f>
        <v>  </v>
      </c>
      <c r="M361" s="85"/>
      <c r="N361" s="86"/>
      <c r="O361" s="86"/>
      <c r="P361" s="86" t="n">
        <f aca="false">N361*O361</f>
        <v>0</v>
      </c>
      <c r="Q361" s="86"/>
      <c r="R361" s="87" t="n">
        <f aca="false">(O361*N361)+Q361</f>
        <v>0</v>
      </c>
      <c r="S361" s="91"/>
    </row>
    <row r="362" customFormat="false" ht="14.25" hidden="false" customHeight="false" outlineLevel="0" collapsed="false">
      <c r="A362" s="77"/>
      <c r="B362" s="78"/>
      <c r="C362" s="79"/>
      <c r="D362" s="79"/>
      <c r="E362" s="80" t="str">
        <f aca="false">_xlfn.IFNA(VLOOKUP(C362,'بيانات الآليات '!A:G,4,FALSE()),"")</f>
        <v/>
      </c>
      <c r="F362" s="81" t="str">
        <f aca="false">_xlfn.IFNA(VLOOKUP(C362,'بيانات الآليات '!A:G,2,FALSE()),"")</f>
        <v/>
      </c>
      <c r="G362" s="81"/>
      <c r="H362" s="81" t="str">
        <f aca="false">_xlfn.IFNA(VLOOKUP(C362,'بيانات الآليات '!A:G,5,FALSE()),"")</f>
        <v/>
      </c>
      <c r="I362" s="82"/>
      <c r="J362" s="83" t="str">
        <f aca="false">_xlfn.IFNA(VLOOKUP(I362,Table14543[],2,FALSE()),"")</f>
        <v/>
      </c>
      <c r="K362" s="84" t="str">
        <f aca="false">_xlfn.IFNA(VLOOKUP(I362,Table14543[],3,FALSE()),"")</f>
        <v/>
      </c>
      <c r="L362" s="83" t="str">
        <f aca="false">CONCATENATE("",I362,""," ",J362," ",K362)</f>
        <v>  </v>
      </c>
      <c r="M362" s="85"/>
      <c r="N362" s="86"/>
      <c r="O362" s="86"/>
      <c r="P362" s="86" t="n">
        <f aca="false">N362*O362</f>
        <v>0</v>
      </c>
      <c r="Q362" s="86"/>
      <c r="R362" s="87" t="n">
        <f aca="false">(O362*N362)+Q362</f>
        <v>0</v>
      </c>
      <c r="S362" s="91"/>
    </row>
    <row r="363" customFormat="false" ht="14.25" hidden="false" customHeight="false" outlineLevel="0" collapsed="false">
      <c r="A363" s="77"/>
      <c r="B363" s="78"/>
      <c r="C363" s="79"/>
      <c r="D363" s="79"/>
      <c r="E363" s="80" t="str">
        <f aca="false">_xlfn.IFNA(VLOOKUP(C363,'بيانات الآليات '!A:G,4,FALSE()),"")</f>
        <v/>
      </c>
      <c r="F363" s="81" t="str">
        <f aca="false">_xlfn.IFNA(VLOOKUP(C363,'بيانات الآليات '!A:G,2,FALSE()),"")</f>
        <v/>
      </c>
      <c r="G363" s="81"/>
      <c r="H363" s="81" t="str">
        <f aca="false">_xlfn.IFNA(VLOOKUP(C363,'بيانات الآليات '!A:G,5,FALSE()),"")</f>
        <v/>
      </c>
      <c r="I363" s="82"/>
      <c r="J363" s="83" t="str">
        <f aca="false">_xlfn.IFNA(VLOOKUP(I363,Table14543[],2,FALSE()),"")</f>
        <v/>
      </c>
      <c r="K363" s="84" t="str">
        <f aca="false">_xlfn.IFNA(VLOOKUP(I363,Table14543[],3,FALSE()),"")</f>
        <v/>
      </c>
      <c r="L363" s="83" t="str">
        <f aca="false">CONCATENATE("",I363,""," ",J363," ",K363)</f>
        <v>  </v>
      </c>
      <c r="M363" s="85"/>
      <c r="N363" s="86"/>
      <c r="O363" s="86"/>
      <c r="P363" s="86" t="n">
        <f aca="false">N363*O363</f>
        <v>0</v>
      </c>
      <c r="Q363" s="86"/>
      <c r="R363" s="87" t="n">
        <f aca="false">(O363*N363)+Q363</f>
        <v>0</v>
      </c>
      <c r="S363" s="91"/>
    </row>
    <row r="364" customFormat="false" ht="14.25" hidden="false" customHeight="false" outlineLevel="0" collapsed="false">
      <c r="A364" s="77"/>
      <c r="B364" s="78"/>
      <c r="C364" s="79"/>
      <c r="D364" s="79"/>
      <c r="E364" s="80" t="str">
        <f aca="false">_xlfn.IFNA(VLOOKUP(C364,'بيانات الآليات '!A:G,4,FALSE()),"")</f>
        <v/>
      </c>
      <c r="F364" s="81" t="str">
        <f aca="false">_xlfn.IFNA(VLOOKUP(C364,'بيانات الآليات '!A:G,2,FALSE()),"")</f>
        <v/>
      </c>
      <c r="G364" s="81"/>
      <c r="H364" s="81" t="str">
        <f aca="false">_xlfn.IFNA(VLOOKUP(C364,'بيانات الآليات '!A:G,5,FALSE()),"")</f>
        <v/>
      </c>
      <c r="I364" s="82"/>
      <c r="J364" s="83" t="str">
        <f aca="false">_xlfn.IFNA(VLOOKUP(I364,Table14543[],2,FALSE()),"")</f>
        <v/>
      </c>
      <c r="K364" s="84" t="str">
        <f aca="false">_xlfn.IFNA(VLOOKUP(I364,Table14543[],3,FALSE()),"")</f>
        <v/>
      </c>
      <c r="L364" s="83" t="str">
        <f aca="false">CONCATENATE("",I364,""," ",J364," ",K364)</f>
        <v>  </v>
      </c>
      <c r="M364" s="85"/>
      <c r="N364" s="86"/>
      <c r="O364" s="86"/>
      <c r="P364" s="86" t="n">
        <f aca="false">N364*O364</f>
        <v>0</v>
      </c>
      <c r="Q364" s="86"/>
      <c r="R364" s="87" t="n">
        <f aca="false">(O364*N364)+Q364</f>
        <v>0</v>
      </c>
      <c r="S364" s="91"/>
    </row>
    <row r="365" customFormat="false" ht="14.25" hidden="false" customHeight="false" outlineLevel="0" collapsed="false">
      <c r="A365" s="77"/>
      <c r="B365" s="78"/>
      <c r="C365" s="79"/>
      <c r="D365" s="79"/>
      <c r="E365" s="80" t="str">
        <f aca="false">_xlfn.IFNA(VLOOKUP(C365,'بيانات الآليات '!A:G,4,FALSE()),"")</f>
        <v/>
      </c>
      <c r="F365" s="81" t="str">
        <f aca="false">_xlfn.IFNA(VLOOKUP(C365,'بيانات الآليات '!A:G,2,FALSE()),"")</f>
        <v/>
      </c>
      <c r="G365" s="81"/>
      <c r="H365" s="81" t="str">
        <f aca="false">_xlfn.IFNA(VLOOKUP(C365,'بيانات الآليات '!A:G,5,FALSE()),"")</f>
        <v/>
      </c>
      <c r="I365" s="82"/>
      <c r="J365" s="83" t="str">
        <f aca="false">_xlfn.IFNA(VLOOKUP(I365,Table14543[],2,FALSE()),"")</f>
        <v/>
      </c>
      <c r="K365" s="84" t="str">
        <f aca="false">_xlfn.IFNA(VLOOKUP(I365,Table14543[],3,FALSE()),"")</f>
        <v/>
      </c>
      <c r="L365" s="83" t="str">
        <f aca="false">CONCATENATE("",I365,""," ",J365," ",K365)</f>
        <v>  </v>
      </c>
      <c r="M365" s="85"/>
      <c r="N365" s="86"/>
      <c r="O365" s="86"/>
      <c r="P365" s="86" t="n">
        <f aca="false">N365*O365</f>
        <v>0</v>
      </c>
      <c r="Q365" s="86"/>
      <c r="R365" s="87" t="n">
        <f aca="false">(O365*N365)+Q365</f>
        <v>0</v>
      </c>
      <c r="S365" s="91"/>
    </row>
    <row r="366" customFormat="false" ht="14.25" hidden="false" customHeight="false" outlineLevel="0" collapsed="false">
      <c r="A366" s="77"/>
      <c r="B366" s="78"/>
      <c r="C366" s="79"/>
      <c r="D366" s="79"/>
      <c r="E366" s="80" t="str">
        <f aca="false">_xlfn.IFNA(VLOOKUP(C366,'بيانات الآليات '!A:G,4,FALSE()),"")</f>
        <v/>
      </c>
      <c r="F366" s="81" t="str">
        <f aca="false">_xlfn.IFNA(VLOOKUP(C366,'بيانات الآليات '!A:G,2,FALSE()),"")</f>
        <v/>
      </c>
      <c r="G366" s="81"/>
      <c r="H366" s="81" t="str">
        <f aca="false">_xlfn.IFNA(VLOOKUP(C366,'بيانات الآليات '!A:G,5,FALSE()),"")</f>
        <v/>
      </c>
      <c r="I366" s="82"/>
      <c r="J366" s="83" t="str">
        <f aca="false">_xlfn.IFNA(VLOOKUP(I366,Table14543[],2,FALSE()),"")</f>
        <v/>
      </c>
      <c r="K366" s="84" t="str">
        <f aca="false">_xlfn.IFNA(VLOOKUP(I366,Table14543[],3,FALSE()),"")</f>
        <v/>
      </c>
      <c r="L366" s="83" t="str">
        <f aca="false">CONCATENATE("",I366,""," ",J366," ",K366)</f>
        <v>  </v>
      </c>
      <c r="M366" s="85"/>
      <c r="N366" s="86"/>
      <c r="O366" s="86"/>
      <c r="P366" s="86" t="n">
        <f aca="false">N366*O366</f>
        <v>0</v>
      </c>
      <c r="Q366" s="86"/>
      <c r="R366" s="87" t="n">
        <f aca="false">(O366*N366)+Q366</f>
        <v>0</v>
      </c>
      <c r="S366" s="91"/>
    </row>
    <row r="367" customFormat="false" ht="14.25" hidden="false" customHeight="false" outlineLevel="0" collapsed="false">
      <c r="A367" s="77"/>
      <c r="B367" s="78"/>
      <c r="C367" s="79"/>
      <c r="D367" s="79"/>
      <c r="E367" s="80" t="str">
        <f aca="false">_xlfn.IFNA(VLOOKUP(C367,'بيانات الآليات '!A:G,4,FALSE()),"")</f>
        <v/>
      </c>
      <c r="F367" s="81" t="str">
        <f aca="false">_xlfn.IFNA(VLOOKUP(C367,'بيانات الآليات '!A:G,2,FALSE()),"")</f>
        <v/>
      </c>
      <c r="G367" s="81"/>
      <c r="H367" s="81" t="str">
        <f aca="false">_xlfn.IFNA(VLOOKUP(C367,'بيانات الآليات '!A:G,5,FALSE()),"")</f>
        <v/>
      </c>
      <c r="I367" s="82"/>
      <c r="J367" s="83" t="str">
        <f aca="false">_xlfn.IFNA(VLOOKUP(I367,Table14543[],2,FALSE()),"")</f>
        <v/>
      </c>
      <c r="K367" s="84" t="str">
        <f aca="false">_xlfn.IFNA(VLOOKUP(I367,Table14543[],3,FALSE()),"")</f>
        <v/>
      </c>
      <c r="L367" s="83" t="str">
        <f aca="false">CONCATENATE("",I367,""," ",J367," ",K367)</f>
        <v>  </v>
      </c>
      <c r="M367" s="85"/>
      <c r="N367" s="86"/>
      <c r="O367" s="86"/>
      <c r="P367" s="86" t="n">
        <f aca="false">N367*O367</f>
        <v>0</v>
      </c>
      <c r="Q367" s="86"/>
      <c r="R367" s="87" t="n">
        <f aca="false">(O367*N367)+Q367</f>
        <v>0</v>
      </c>
      <c r="S367" s="91"/>
    </row>
    <row r="368" customFormat="false" ht="14.25" hidden="false" customHeight="false" outlineLevel="0" collapsed="false">
      <c r="A368" s="77"/>
      <c r="B368" s="78"/>
      <c r="C368" s="79"/>
      <c r="D368" s="79"/>
      <c r="E368" s="80" t="str">
        <f aca="false">_xlfn.IFNA(VLOOKUP(C368,'بيانات الآليات '!A:G,4,FALSE()),"")</f>
        <v/>
      </c>
      <c r="F368" s="81" t="str">
        <f aca="false">_xlfn.IFNA(VLOOKUP(C368,'بيانات الآليات '!A:G,2,FALSE()),"")</f>
        <v/>
      </c>
      <c r="G368" s="81"/>
      <c r="H368" s="81" t="str">
        <f aca="false">_xlfn.IFNA(VLOOKUP(C368,'بيانات الآليات '!A:G,5,FALSE()),"")</f>
        <v/>
      </c>
      <c r="I368" s="82"/>
      <c r="J368" s="83" t="str">
        <f aca="false">_xlfn.IFNA(VLOOKUP(I368,Table14543[],2,FALSE()),"")</f>
        <v/>
      </c>
      <c r="K368" s="84" t="str">
        <f aca="false">_xlfn.IFNA(VLOOKUP(I368,Table14543[],3,FALSE()),"")</f>
        <v/>
      </c>
      <c r="L368" s="83" t="str">
        <f aca="false">CONCATENATE("",I368,""," ",J368," ",K368)</f>
        <v>  </v>
      </c>
      <c r="M368" s="85"/>
      <c r="N368" s="86"/>
      <c r="O368" s="86"/>
      <c r="P368" s="86" t="n">
        <f aca="false">N368*O368</f>
        <v>0</v>
      </c>
      <c r="Q368" s="86"/>
      <c r="R368" s="87" t="n">
        <f aca="false">(O368*N368)+Q368</f>
        <v>0</v>
      </c>
      <c r="S368" s="91"/>
    </row>
    <row r="369" customFormat="false" ht="14.25" hidden="false" customHeight="false" outlineLevel="0" collapsed="false">
      <c r="A369" s="77"/>
      <c r="B369" s="78"/>
      <c r="C369" s="79"/>
      <c r="D369" s="79"/>
      <c r="E369" s="80" t="str">
        <f aca="false">_xlfn.IFNA(VLOOKUP(C369,'بيانات الآليات '!A:G,4,FALSE()),"")</f>
        <v/>
      </c>
      <c r="F369" s="81" t="str">
        <f aca="false">_xlfn.IFNA(VLOOKUP(C369,'بيانات الآليات '!A:G,2,FALSE()),"")</f>
        <v/>
      </c>
      <c r="G369" s="81"/>
      <c r="H369" s="81" t="str">
        <f aca="false">_xlfn.IFNA(VLOOKUP(C369,'بيانات الآليات '!A:G,5,FALSE()),"")</f>
        <v/>
      </c>
      <c r="I369" s="82"/>
      <c r="J369" s="83" t="str">
        <f aca="false">_xlfn.IFNA(VLOOKUP(I369,Table14543[],2,FALSE()),"")</f>
        <v/>
      </c>
      <c r="K369" s="84" t="str">
        <f aca="false">_xlfn.IFNA(VLOOKUP(I369,Table14543[],3,FALSE()),"")</f>
        <v/>
      </c>
      <c r="L369" s="83" t="str">
        <f aca="false">CONCATENATE("",I369,""," ",J369," ",K369)</f>
        <v>  </v>
      </c>
      <c r="M369" s="85"/>
      <c r="N369" s="86"/>
      <c r="O369" s="86"/>
      <c r="P369" s="86" t="n">
        <f aca="false">N369*O369</f>
        <v>0</v>
      </c>
      <c r="Q369" s="86"/>
      <c r="R369" s="87" t="n">
        <f aca="false">(O369*N369)+Q369</f>
        <v>0</v>
      </c>
      <c r="S369" s="91"/>
    </row>
    <row r="370" customFormat="false" ht="14.25" hidden="false" customHeight="false" outlineLevel="0" collapsed="false">
      <c r="A370" s="77"/>
      <c r="B370" s="78"/>
      <c r="C370" s="79"/>
      <c r="D370" s="79"/>
      <c r="E370" s="80" t="str">
        <f aca="false">_xlfn.IFNA(VLOOKUP(C370,'بيانات الآليات '!A:G,4,FALSE()),"")</f>
        <v/>
      </c>
      <c r="F370" s="81" t="str">
        <f aca="false">_xlfn.IFNA(VLOOKUP(C370,'بيانات الآليات '!A:G,2,FALSE()),"")</f>
        <v/>
      </c>
      <c r="G370" s="81"/>
      <c r="H370" s="81" t="str">
        <f aca="false">_xlfn.IFNA(VLOOKUP(C370,'بيانات الآليات '!A:G,5,FALSE()),"")</f>
        <v/>
      </c>
      <c r="I370" s="82"/>
      <c r="J370" s="83" t="str">
        <f aca="false">_xlfn.IFNA(VLOOKUP(I370,Table14543[],2,FALSE()),"")</f>
        <v/>
      </c>
      <c r="K370" s="84" t="str">
        <f aca="false">_xlfn.IFNA(VLOOKUP(I370,Table14543[],3,FALSE()),"")</f>
        <v/>
      </c>
      <c r="L370" s="83" t="str">
        <f aca="false">CONCATENATE("",I370,""," ",J370," ",K370)</f>
        <v>  </v>
      </c>
      <c r="M370" s="85"/>
      <c r="N370" s="86"/>
      <c r="O370" s="86"/>
      <c r="P370" s="86" t="n">
        <f aca="false">N370*O370</f>
        <v>0</v>
      </c>
      <c r="Q370" s="86"/>
      <c r="R370" s="87" t="n">
        <f aca="false">(O370*N370)+Q370</f>
        <v>0</v>
      </c>
      <c r="S370" s="91"/>
    </row>
    <row r="371" customFormat="false" ht="14.25" hidden="false" customHeight="false" outlineLevel="0" collapsed="false">
      <c r="A371" s="77"/>
      <c r="B371" s="78"/>
      <c r="C371" s="79"/>
      <c r="D371" s="79"/>
      <c r="E371" s="80" t="str">
        <f aca="false">_xlfn.IFNA(VLOOKUP(C371,'بيانات الآليات '!A:G,4,FALSE()),"")</f>
        <v/>
      </c>
      <c r="F371" s="81" t="str">
        <f aca="false">_xlfn.IFNA(VLOOKUP(C371,'بيانات الآليات '!A:G,2,FALSE()),"")</f>
        <v/>
      </c>
      <c r="G371" s="81"/>
      <c r="H371" s="81" t="str">
        <f aca="false">_xlfn.IFNA(VLOOKUP(C371,'بيانات الآليات '!A:G,5,FALSE()),"")</f>
        <v/>
      </c>
      <c r="I371" s="82"/>
      <c r="J371" s="83" t="str">
        <f aca="false">_xlfn.IFNA(VLOOKUP(I371,Table14543[],2,FALSE()),"")</f>
        <v/>
      </c>
      <c r="K371" s="84" t="str">
        <f aca="false">_xlfn.IFNA(VLOOKUP(I371,Table14543[],3,FALSE()),"")</f>
        <v/>
      </c>
      <c r="L371" s="83" t="str">
        <f aca="false">CONCATENATE("",I371,""," ",J371," ",K371)</f>
        <v>  </v>
      </c>
      <c r="M371" s="85"/>
      <c r="N371" s="86"/>
      <c r="O371" s="86"/>
      <c r="P371" s="86" t="n">
        <f aca="false">N371*O371</f>
        <v>0</v>
      </c>
      <c r="Q371" s="86"/>
      <c r="R371" s="87" t="n">
        <f aca="false">(O371*N371)+Q371</f>
        <v>0</v>
      </c>
      <c r="S371" s="91"/>
    </row>
    <row r="372" customFormat="false" ht="14.25" hidden="false" customHeight="false" outlineLevel="0" collapsed="false">
      <c r="A372" s="77"/>
      <c r="B372" s="78"/>
      <c r="C372" s="79"/>
      <c r="D372" s="79"/>
      <c r="E372" s="80" t="str">
        <f aca="false">_xlfn.IFNA(VLOOKUP(C372,'بيانات الآليات '!A:G,4,FALSE()),"")</f>
        <v/>
      </c>
      <c r="F372" s="81" t="str">
        <f aca="false">_xlfn.IFNA(VLOOKUP(C372,'بيانات الآليات '!A:G,2,FALSE()),"")</f>
        <v/>
      </c>
      <c r="G372" s="81"/>
      <c r="H372" s="81" t="str">
        <f aca="false">_xlfn.IFNA(VLOOKUP(C372,'بيانات الآليات '!A:G,5,FALSE()),"")</f>
        <v/>
      </c>
      <c r="I372" s="82"/>
      <c r="J372" s="83" t="str">
        <f aca="false">_xlfn.IFNA(VLOOKUP(I372,Table14543[],2,FALSE()),"")</f>
        <v/>
      </c>
      <c r="K372" s="84" t="str">
        <f aca="false">_xlfn.IFNA(VLOOKUP(I372,Table14543[],3,FALSE()),"")</f>
        <v/>
      </c>
      <c r="L372" s="83" t="str">
        <f aca="false">CONCATENATE("",I372,""," ",J372," ",K372)</f>
        <v>  </v>
      </c>
      <c r="M372" s="85"/>
      <c r="N372" s="86"/>
      <c r="O372" s="86"/>
      <c r="P372" s="86" t="n">
        <f aca="false">N372*O372</f>
        <v>0</v>
      </c>
      <c r="Q372" s="86"/>
      <c r="R372" s="87" t="n">
        <f aca="false">(O372*N372)+Q372</f>
        <v>0</v>
      </c>
      <c r="S372" s="91"/>
    </row>
    <row r="373" customFormat="false" ht="14.25" hidden="false" customHeight="false" outlineLevel="0" collapsed="false">
      <c r="A373" s="77"/>
      <c r="B373" s="78"/>
      <c r="C373" s="79"/>
      <c r="D373" s="79"/>
      <c r="E373" s="80" t="str">
        <f aca="false">_xlfn.IFNA(VLOOKUP(C373,'بيانات الآليات '!A:G,4,FALSE()),"")</f>
        <v/>
      </c>
      <c r="F373" s="81" t="str">
        <f aca="false">_xlfn.IFNA(VLOOKUP(C373,'بيانات الآليات '!A:G,2,FALSE()),"")</f>
        <v/>
      </c>
      <c r="G373" s="81"/>
      <c r="H373" s="81" t="str">
        <f aca="false">_xlfn.IFNA(VLOOKUP(C373,'بيانات الآليات '!A:G,5,FALSE()),"")</f>
        <v/>
      </c>
      <c r="I373" s="82"/>
      <c r="J373" s="83" t="str">
        <f aca="false">_xlfn.IFNA(VLOOKUP(I373,Table14543[],2,FALSE()),"")</f>
        <v/>
      </c>
      <c r="K373" s="84" t="str">
        <f aca="false">_xlfn.IFNA(VLOOKUP(I373,Table14543[],3,FALSE()),"")</f>
        <v/>
      </c>
      <c r="L373" s="83" t="str">
        <f aca="false">CONCATENATE("",I373,""," ",J373," ",K373)</f>
        <v>  </v>
      </c>
      <c r="M373" s="85"/>
      <c r="N373" s="86"/>
      <c r="O373" s="86"/>
      <c r="P373" s="86" t="n">
        <f aca="false">N373*O373</f>
        <v>0</v>
      </c>
      <c r="Q373" s="86"/>
      <c r="R373" s="87" t="n">
        <f aca="false">(O373*N373)+Q373</f>
        <v>0</v>
      </c>
      <c r="S373" s="91"/>
    </row>
    <row r="374" customFormat="false" ht="14.25" hidden="false" customHeight="false" outlineLevel="0" collapsed="false">
      <c r="A374" s="77"/>
      <c r="B374" s="78"/>
      <c r="C374" s="79"/>
      <c r="D374" s="79"/>
      <c r="E374" s="80" t="str">
        <f aca="false">_xlfn.IFNA(VLOOKUP(C374,'بيانات الآليات '!A:G,4,FALSE()),"")</f>
        <v/>
      </c>
      <c r="F374" s="81" t="str">
        <f aca="false">_xlfn.IFNA(VLOOKUP(C374,'بيانات الآليات '!A:G,2,FALSE()),"")</f>
        <v/>
      </c>
      <c r="G374" s="81"/>
      <c r="H374" s="81" t="str">
        <f aca="false">_xlfn.IFNA(VLOOKUP(C374,'بيانات الآليات '!A:G,5,FALSE()),"")</f>
        <v/>
      </c>
      <c r="I374" s="82"/>
      <c r="J374" s="83" t="str">
        <f aca="false">_xlfn.IFNA(VLOOKUP(I374,Table14543[],2,FALSE()),"")</f>
        <v/>
      </c>
      <c r="K374" s="84" t="str">
        <f aca="false">_xlfn.IFNA(VLOOKUP(I374,Table14543[],3,FALSE()),"")</f>
        <v/>
      </c>
      <c r="L374" s="83" t="str">
        <f aca="false">CONCATENATE("",I374,""," ",J374," ",K374)</f>
        <v>  </v>
      </c>
      <c r="M374" s="85"/>
      <c r="N374" s="86"/>
      <c r="O374" s="86"/>
      <c r="P374" s="86" t="n">
        <f aca="false">N374*O374</f>
        <v>0</v>
      </c>
      <c r="Q374" s="86"/>
      <c r="R374" s="87" t="n">
        <f aca="false">(O374*N374)+Q374</f>
        <v>0</v>
      </c>
      <c r="S374" s="91"/>
    </row>
    <row r="375" customFormat="false" ht="14.25" hidden="false" customHeight="false" outlineLevel="0" collapsed="false">
      <c r="A375" s="77"/>
      <c r="B375" s="78"/>
      <c r="C375" s="79"/>
      <c r="D375" s="79"/>
      <c r="E375" s="80" t="str">
        <f aca="false">_xlfn.IFNA(VLOOKUP(C375,'بيانات الآليات '!A:G,4,FALSE()),"")</f>
        <v/>
      </c>
      <c r="F375" s="81" t="str">
        <f aca="false">_xlfn.IFNA(VLOOKUP(C375,'بيانات الآليات '!A:G,2,FALSE()),"")</f>
        <v/>
      </c>
      <c r="G375" s="81"/>
      <c r="H375" s="81" t="str">
        <f aca="false">_xlfn.IFNA(VLOOKUP(C375,'بيانات الآليات '!A:G,5,FALSE()),"")</f>
        <v/>
      </c>
      <c r="I375" s="82"/>
      <c r="J375" s="83" t="str">
        <f aca="false">_xlfn.IFNA(VLOOKUP(I375,Table14543[],2,FALSE()),"")</f>
        <v/>
      </c>
      <c r="K375" s="84" t="str">
        <f aca="false">_xlfn.IFNA(VLOOKUP(I375,Table14543[],3,FALSE()),"")</f>
        <v/>
      </c>
      <c r="L375" s="83" t="str">
        <f aca="false">CONCATENATE("",I375,""," ",J375," ",K375)</f>
        <v>  </v>
      </c>
      <c r="M375" s="85"/>
      <c r="N375" s="86"/>
      <c r="O375" s="86"/>
      <c r="P375" s="86" t="n">
        <f aca="false">N375*O375</f>
        <v>0</v>
      </c>
      <c r="Q375" s="86"/>
      <c r="R375" s="87" t="n">
        <f aca="false">(O375*N375)+Q375</f>
        <v>0</v>
      </c>
      <c r="S375" s="91"/>
    </row>
    <row r="376" customFormat="false" ht="14.25" hidden="false" customHeight="false" outlineLevel="0" collapsed="false">
      <c r="A376" s="77"/>
      <c r="B376" s="78"/>
      <c r="C376" s="79"/>
      <c r="D376" s="79"/>
      <c r="E376" s="80" t="str">
        <f aca="false">_xlfn.IFNA(VLOOKUP(C376,'بيانات الآليات '!A:G,4,FALSE()),"")</f>
        <v/>
      </c>
      <c r="F376" s="81" t="str">
        <f aca="false">_xlfn.IFNA(VLOOKUP(C376,'بيانات الآليات '!A:G,2,FALSE()),"")</f>
        <v/>
      </c>
      <c r="G376" s="81"/>
      <c r="H376" s="81" t="str">
        <f aca="false">_xlfn.IFNA(VLOOKUP(C376,'بيانات الآليات '!A:G,5,FALSE()),"")</f>
        <v/>
      </c>
      <c r="I376" s="82"/>
      <c r="J376" s="83" t="str">
        <f aca="false">_xlfn.IFNA(VLOOKUP(I376,Table14543[],2,FALSE()),"")</f>
        <v/>
      </c>
      <c r="K376" s="84" t="str">
        <f aca="false">_xlfn.IFNA(VLOOKUP(I376,Table14543[],3,FALSE()),"")</f>
        <v/>
      </c>
      <c r="L376" s="83" t="str">
        <f aca="false">CONCATENATE("",I376,""," ",J376," ",K376)</f>
        <v>  </v>
      </c>
      <c r="M376" s="85"/>
      <c r="N376" s="86"/>
      <c r="O376" s="86"/>
      <c r="P376" s="86" t="n">
        <f aca="false">N376*O376</f>
        <v>0</v>
      </c>
      <c r="Q376" s="86"/>
      <c r="R376" s="87" t="n">
        <f aca="false">(O376*N376)+Q376</f>
        <v>0</v>
      </c>
      <c r="S376" s="91"/>
    </row>
    <row r="377" customFormat="false" ht="14.25" hidden="false" customHeight="false" outlineLevel="0" collapsed="false">
      <c r="A377" s="77"/>
      <c r="B377" s="78"/>
      <c r="C377" s="79"/>
      <c r="D377" s="79"/>
      <c r="E377" s="80" t="str">
        <f aca="false">_xlfn.IFNA(VLOOKUP(C377,'بيانات الآليات '!A:G,4,FALSE()),"")</f>
        <v/>
      </c>
      <c r="F377" s="81" t="str">
        <f aca="false">_xlfn.IFNA(VLOOKUP(C377,'بيانات الآليات '!A:G,2,FALSE()),"")</f>
        <v/>
      </c>
      <c r="G377" s="81"/>
      <c r="H377" s="81" t="str">
        <f aca="false">_xlfn.IFNA(VLOOKUP(C377,'بيانات الآليات '!A:G,5,FALSE()),"")</f>
        <v/>
      </c>
      <c r="I377" s="82"/>
      <c r="J377" s="83" t="str">
        <f aca="false">_xlfn.IFNA(VLOOKUP(I377,Table14543[],2,FALSE()),"")</f>
        <v/>
      </c>
      <c r="K377" s="84" t="str">
        <f aca="false">_xlfn.IFNA(VLOOKUP(I377,Table14543[],3,FALSE()),"")</f>
        <v/>
      </c>
      <c r="L377" s="83" t="str">
        <f aca="false">CONCATENATE("",I377,""," ",J377," ",K377)</f>
        <v>  </v>
      </c>
      <c r="M377" s="85"/>
      <c r="N377" s="86"/>
      <c r="O377" s="86"/>
      <c r="P377" s="86" t="n">
        <f aca="false">N377*O377</f>
        <v>0</v>
      </c>
      <c r="Q377" s="86"/>
      <c r="R377" s="87" t="n">
        <f aca="false">(O377*N377)+Q377</f>
        <v>0</v>
      </c>
      <c r="S377" s="91"/>
    </row>
    <row r="378" customFormat="false" ht="14.25" hidden="false" customHeight="false" outlineLevel="0" collapsed="false">
      <c r="A378" s="77"/>
      <c r="B378" s="78"/>
      <c r="C378" s="79"/>
      <c r="D378" s="79"/>
      <c r="E378" s="80" t="str">
        <f aca="false">_xlfn.IFNA(VLOOKUP(C378,'بيانات الآليات '!A:G,4,FALSE()),"")</f>
        <v/>
      </c>
      <c r="F378" s="81" t="str">
        <f aca="false">_xlfn.IFNA(VLOOKUP(C378,'بيانات الآليات '!A:G,2,FALSE()),"")</f>
        <v/>
      </c>
      <c r="G378" s="81"/>
      <c r="H378" s="81" t="str">
        <f aca="false">_xlfn.IFNA(VLOOKUP(C378,'بيانات الآليات '!A:G,5,FALSE()),"")</f>
        <v/>
      </c>
      <c r="I378" s="82"/>
      <c r="J378" s="83" t="str">
        <f aca="false">_xlfn.IFNA(VLOOKUP(I378,Table14543[],2,FALSE()),"")</f>
        <v/>
      </c>
      <c r="K378" s="84" t="str">
        <f aca="false">_xlfn.IFNA(VLOOKUP(I378,Table14543[],3,FALSE()),"")</f>
        <v/>
      </c>
      <c r="L378" s="83" t="str">
        <f aca="false">CONCATENATE("",I378,""," ",J378," ",K378)</f>
        <v>  </v>
      </c>
      <c r="M378" s="85"/>
      <c r="N378" s="86"/>
      <c r="O378" s="86"/>
      <c r="P378" s="86" t="n">
        <f aca="false">N378*O378</f>
        <v>0</v>
      </c>
      <c r="Q378" s="86"/>
      <c r="R378" s="87" t="n">
        <f aca="false">(O378*N378)+Q378</f>
        <v>0</v>
      </c>
      <c r="S378" s="91"/>
    </row>
    <row r="379" customFormat="false" ht="14.25" hidden="false" customHeight="false" outlineLevel="0" collapsed="false">
      <c r="A379" s="77"/>
      <c r="B379" s="78"/>
      <c r="C379" s="79"/>
      <c r="D379" s="79"/>
      <c r="E379" s="80" t="str">
        <f aca="false">_xlfn.IFNA(VLOOKUP(C379,'بيانات الآليات '!A:G,4,FALSE()),"")</f>
        <v/>
      </c>
      <c r="F379" s="81" t="str">
        <f aca="false">_xlfn.IFNA(VLOOKUP(C379,'بيانات الآليات '!A:G,2,FALSE()),"")</f>
        <v/>
      </c>
      <c r="G379" s="81"/>
      <c r="H379" s="81" t="str">
        <f aca="false">_xlfn.IFNA(VLOOKUP(C379,'بيانات الآليات '!A:G,5,FALSE()),"")</f>
        <v/>
      </c>
      <c r="I379" s="82"/>
      <c r="J379" s="83" t="str">
        <f aca="false">_xlfn.IFNA(VLOOKUP(I379,Table14543[],2,FALSE()),"")</f>
        <v/>
      </c>
      <c r="K379" s="84" t="str">
        <f aca="false">_xlfn.IFNA(VLOOKUP(I379,Table14543[],3,FALSE()),"")</f>
        <v/>
      </c>
      <c r="L379" s="83" t="str">
        <f aca="false">CONCATENATE("",I379,""," ",J379," ",K379)</f>
        <v>  </v>
      </c>
      <c r="M379" s="85"/>
      <c r="N379" s="86"/>
      <c r="O379" s="86"/>
      <c r="P379" s="86" t="n">
        <f aca="false">N379*O379</f>
        <v>0</v>
      </c>
      <c r="Q379" s="86"/>
      <c r="R379" s="87" t="n">
        <f aca="false">(O379*N379)+Q379</f>
        <v>0</v>
      </c>
      <c r="S379" s="91"/>
    </row>
    <row r="380" customFormat="false" ht="14.25" hidden="false" customHeight="false" outlineLevel="0" collapsed="false">
      <c r="A380" s="77"/>
      <c r="B380" s="78"/>
      <c r="C380" s="79"/>
      <c r="D380" s="79"/>
      <c r="E380" s="80" t="str">
        <f aca="false">_xlfn.IFNA(VLOOKUP(C380,'بيانات الآليات '!A:G,4,FALSE()),"")</f>
        <v/>
      </c>
      <c r="F380" s="81" t="str">
        <f aca="false">_xlfn.IFNA(VLOOKUP(C380,'بيانات الآليات '!A:G,2,FALSE()),"")</f>
        <v/>
      </c>
      <c r="G380" s="81"/>
      <c r="H380" s="81" t="str">
        <f aca="false">_xlfn.IFNA(VLOOKUP(C380,'بيانات الآليات '!A:G,5,FALSE()),"")</f>
        <v/>
      </c>
      <c r="I380" s="82"/>
      <c r="J380" s="83" t="str">
        <f aca="false">_xlfn.IFNA(VLOOKUP(I380,Table14543[],2,FALSE()),"")</f>
        <v/>
      </c>
      <c r="K380" s="84" t="str">
        <f aca="false">_xlfn.IFNA(VLOOKUP(I380,Table14543[],3,FALSE()),"")</f>
        <v/>
      </c>
      <c r="L380" s="83" t="str">
        <f aca="false">CONCATENATE("",I380,""," ",J380," ",K380)</f>
        <v>  </v>
      </c>
      <c r="M380" s="85"/>
      <c r="N380" s="86"/>
      <c r="O380" s="86"/>
      <c r="P380" s="86" t="n">
        <f aca="false">N380*O380</f>
        <v>0</v>
      </c>
      <c r="Q380" s="86"/>
      <c r="R380" s="87" t="n">
        <f aca="false">(O380*N380)+Q380</f>
        <v>0</v>
      </c>
      <c r="S380" s="91"/>
    </row>
    <row r="381" customFormat="false" ht="14.25" hidden="false" customHeight="false" outlineLevel="0" collapsed="false">
      <c r="A381" s="77"/>
      <c r="B381" s="78"/>
      <c r="C381" s="79"/>
      <c r="D381" s="79"/>
      <c r="E381" s="80" t="str">
        <f aca="false">_xlfn.IFNA(VLOOKUP(C381,'بيانات الآليات '!A:G,4,FALSE()),"")</f>
        <v/>
      </c>
      <c r="F381" s="81" t="str">
        <f aca="false">_xlfn.IFNA(VLOOKUP(C381,'بيانات الآليات '!A:G,2,FALSE()),"")</f>
        <v/>
      </c>
      <c r="G381" s="81"/>
      <c r="H381" s="81" t="str">
        <f aca="false">_xlfn.IFNA(VLOOKUP(C381,'بيانات الآليات '!A:G,5,FALSE()),"")</f>
        <v/>
      </c>
      <c r="I381" s="82"/>
      <c r="J381" s="83" t="str">
        <f aca="false">_xlfn.IFNA(VLOOKUP(I381,Table14543[],2,FALSE()),"")</f>
        <v/>
      </c>
      <c r="K381" s="84" t="str">
        <f aca="false">_xlfn.IFNA(VLOOKUP(I381,Table14543[],3,FALSE()),"")</f>
        <v/>
      </c>
      <c r="L381" s="83" t="str">
        <f aca="false">CONCATENATE("",I381,""," ",J381," ",K381)</f>
        <v>  </v>
      </c>
      <c r="M381" s="85"/>
      <c r="N381" s="86"/>
      <c r="O381" s="86"/>
      <c r="P381" s="86" t="n">
        <f aca="false">N381*O381</f>
        <v>0</v>
      </c>
      <c r="Q381" s="86"/>
      <c r="R381" s="87" t="n">
        <f aca="false">(O381*N381)+Q381</f>
        <v>0</v>
      </c>
      <c r="S381" s="91"/>
    </row>
    <row r="382" customFormat="false" ht="14.25" hidden="false" customHeight="false" outlineLevel="0" collapsed="false">
      <c r="A382" s="77"/>
      <c r="B382" s="78"/>
      <c r="C382" s="79"/>
      <c r="D382" s="79"/>
      <c r="E382" s="80" t="str">
        <f aca="false">_xlfn.IFNA(VLOOKUP(C382,'بيانات الآليات '!A:G,4,FALSE()),"")</f>
        <v/>
      </c>
      <c r="F382" s="81" t="str">
        <f aca="false">_xlfn.IFNA(VLOOKUP(C382,'بيانات الآليات '!A:G,2,FALSE()),"")</f>
        <v/>
      </c>
      <c r="G382" s="81"/>
      <c r="H382" s="81" t="str">
        <f aca="false">_xlfn.IFNA(VLOOKUP(C382,'بيانات الآليات '!A:G,5,FALSE()),"")</f>
        <v/>
      </c>
      <c r="I382" s="82"/>
      <c r="J382" s="83" t="str">
        <f aca="false">_xlfn.IFNA(VLOOKUP(I382,Table14543[],2,FALSE()),"")</f>
        <v/>
      </c>
      <c r="K382" s="84" t="str">
        <f aca="false">_xlfn.IFNA(VLOOKUP(I382,Table14543[],3,FALSE()),"")</f>
        <v/>
      </c>
      <c r="L382" s="83" t="str">
        <f aca="false">CONCATENATE("",I382,""," ",J382," ",K382)</f>
        <v>  </v>
      </c>
      <c r="M382" s="85"/>
      <c r="N382" s="86"/>
      <c r="O382" s="86"/>
      <c r="P382" s="86" t="n">
        <f aca="false">N382*O382</f>
        <v>0</v>
      </c>
      <c r="Q382" s="86"/>
      <c r="R382" s="87" t="n">
        <f aca="false">(O382*N382)+Q382</f>
        <v>0</v>
      </c>
      <c r="S382" s="91"/>
    </row>
    <row r="383" customFormat="false" ht="14.25" hidden="false" customHeight="false" outlineLevel="0" collapsed="false">
      <c r="A383" s="77"/>
      <c r="B383" s="78"/>
      <c r="C383" s="79"/>
      <c r="D383" s="79"/>
      <c r="E383" s="80" t="str">
        <f aca="false">_xlfn.IFNA(VLOOKUP(C383,'بيانات الآليات '!A:G,4,FALSE()),"")</f>
        <v/>
      </c>
      <c r="F383" s="81" t="str">
        <f aca="false">_xlfn.IFNA(VLOOKUP(C383,'بيانات الآليات '!A:G,2,FALSE()),"")</f>
        <v/>
      </c>
      <c r="G383" s="81"/>
      <c r="H383" s="81" t="str">
        <f aca="false">_xlfn.IFNA(VLOOKUP(C383,'بيانات الآليات '!A:G,5,FALSE()),"")</f>
        <v/>
      </c>
      <c r="I383" s="82"/>
      <c r="J383" s="83" t="str">
        <f aca="false">_xlfn.IFNA(VLOOKUP(I383,Table14543[],2,FALSE()),"")</f>
        <v/>
      </c>
      <c r="K383" s="84" t="str">
        <f aca="false">_xlfn.IFNA(VLOOKUP(I383,Table14543[],3,FALSE()),"")</f>
        <v/>
      </c>
      <c r="L383" s="83" t="str">
        <f aca="false">CONCATENATE("",I383,""," ",J383," ",K383)</f>
        <v>  </v>
      </c>
      <c r="M383" s="85"/>
      <c r="N383" s="86"/>
      <c r="O383" s="86"/>
      <c r="P383" s="86" t="n">
        <f aca="false">N383*O383</f>
        <v>0</v>
      </c>
      <c r="Q383" s="86"/>
      <c r="R383" s="87" t="n">
        <f aca="false">(O383*N383)+Q383</f>
        <v>0</v>
      </c>
      <c r="S383" s="91"/>
    </row>
    <row r="384" customFormat="false" ht="14.25" hidden="false" customHeight="false" outlineLevel="0" collapsed="false">
      <c r="A384" s="77"/>
      <c r="B384" s="78"/>
      <c r="C384" s="79"/>
      <c r="D384" s="79"/>
      <c r="E384" s="80" t="str">
        <f aca="false">_xlfn.IFNA(VLOOKUP(C384,'بيانات الآليات '!A:G,4,FALSE()),"")</f>
        <v/>
      </c>
      <c r="F384" s="81" t="str">
        <f aca="false">_xlfn.IFNA(VLOOKUP(C384,'بيانات الآليات '!A:G,2,FALSE()),"")</f>
        <v/>
      </c>
      <c r="G384" s="81"/>
      <c r="H384" s="81" t="str">
        <f aca="false">_xlfn.IFNA(VLOOKUP(C384,'بيانات الآليات '!A:G,5,FALSE()),"")</f>
        <v/>
      </c>
      <c r="I384" s="82"/>
      <c r="J384" s="83" t="str">
        <f aca="false">_xlfn.IFNA(VLOOKUP(I384,Table14543[],2,FALSE()),"")</f>
        <v/>
      </c>
      <c r="K384" s="84" t="str">
        <f aca="false">_xlfn.IFNA(VLOOKUP(I384,Table14543[],3,FALSE()),"")</f>
        <v/>
      </c>
      <c r="L384" s="83" t="str">
        <f aca="false">CONCATENATE("",I384,""," ",J384," ",K384)</f>
        <v>  </v>
      </c>
      <c r="M384" s="85"/>
      <c r="N384" s="86"/>
      <c r="O384" s="86"/>
      <c r="P384" s="86" t="n">
        <f aca="false">N384*O384</f>
        <v>0</v>
      </c>
      <c r="Q384" s="86"/>
      <c r="R384" s="87" t="n">
        <f aca="false">(O384*N384)+Q384</f>
        <v>0</v>
      </c>
      <c r="S384" s="91"/>
    </row>
    <row r="385" customFormat="false" ht="14.25" hidden="false" customHeight="false" outlineLevel="0" collapsed="false">
      <c r="A385" s="77"/>
      <c r="B385" s="78"/>
      <c r="C385" s="79"/>
      <c r="D385" s="79"/>
      <c r="E385" s="80" t="str">
        <f aca="false">_xlfn.IFNA(VLOOKUP(C385,'بيانات الآليات '!A:G,4,FALSE()),"")</f>
        <v/>
      </c>
      <c r="F385" s="81" t="str">
        <f aca="false">_xlfn.IFNA(VLOOKUP(C385,'بيانات الآليات '!A:G,2,FALSE()),"")</f>
        <v/>
      </c>
      <c r="G385" s="81"/>
      <c r="H385" s="81" t="str">
        <f aca="false">_xlfn.IFNA(VLOOKUP(C385,'بيانات الآليات '!A:G,5,FALSE()),"")</f>
        <v/>
      </c>
      <c r="I385" s="82"/>
      <c r="J385" s="83" t="str">
        <f aca="false">_xlfn.IFNA(VLOOKUP(I385,Table14543[],2,FALSE()),"")</f>
        <v/>
      </c>
      <c r="K385" s="84" t="str">
        <f aca="false">_xlfn.IFNA(VLOOKUP(I385,Table14543[],3,FALSE()),"")</f>
        <v/>
      </c>
      <c r="L385" s="83" t="str">
        <f aca="false">CONCATENATE("",I385,""," ",J385," ",K385)</f>
        <v>  </v>
      </c>
      <c r="M385" s="85"/>
      <c r="N385" s="86"/>
      <c r="O385" s="86"/>
      <c r="P385" s="86" t="n">
        <f aca="false">N385*O385</f>
        <v>0</v>
      </c>
      <c r="Q385" s="86"/>
      <c r="R385" s="87" t="n">
        <f aca="false">(O385*N385)+Q385</f>
        <v>0</v>
      </c>
      <c r="S385" s="91"/>
    </row>
    <row r="386" customFormat="false" ht="14.25" hidden="false" customHeight="false" outlineLevel="0" collapsed="false">
      <c r="A386" s="77"/>
      <c r="B386" s="78"/>
      <c r="C386" s="79"/>
      <c r="D386" s="79"/>
      <c r="E386" s="80" t="str">
        <f aca="false">_xlfn.IFNA(VLOOKUP(C386,'بيانات الآليات '!A:G,4,FALSE()),"")</f>
        <v/>
      </c>
      <c r="F386" s="81" t="str">
        <f aca="false">_xlfn.IFNA(VLOOKUP(C386,'بيانات الآليات '!A:G,2,FALSE()),"")</f>
        <v/>
      </c>
      <c r="G386" s="81"/>
      <c r="H386" s="81" t="str">
        <f aca="false">_xlfn.IFNA(VLOOKUP(C386,'بيانات الآليات '!A:G,5,FALSE()),"")</f>
        <v/>
      </c>
      <c r="I386" s="82"/>
      <c r="J386" s="83" t="str">
        <f aca="false">_xlfn.IFNA(VLOOKUP(I386,Table14543[],2,FALSE()),"")</f>
        <v/>
      </c>
      <c r="K386" s="84" t="str">
        <f aca="false">_xlfn.IFNA(VLOOKUP(I386,Table14543[],3,FALSE()),"")</f>
        <v/>
      </c>
      <c r="L386" s="83" t="str">
        <f aca="false">CONCATENATE("",I386,""," ",J386," ",K386)</f>
        <v>  </v>
      </c>
      <c r="M386" s="85"/>
      <c r="N386" s="86"/>
      <c r="O386" s="86"/>
      <c r="P386" s="86" t="n">
        <f aca="false">N386*O386</f>
        <v>0</v>
      </c>
      <c r="Q386" s="86"/>
      <c r="R386" s="87" t="n">
        <f aca="false">(O386*N386)+Q386</f>
        <v>0</v>
      </c>
      <c r="S386" s="91"/>
    </row>
    <row r="387" customFormat="false" ht="14.25" hidden="false" customHeight="false" outlineLevel="0" collapsed="false">
      <c r="A387" s="77"/>
      <c r="B387" s="78"/>
      <c r="C387" s="79"/>
      <c r="D387" s="79"/>
      <c r="E387" s="80" t="str">
        <f aca="false">_xlfn.IFNA(VLOOKUP(C387,'بيانات الآليات '!A:G,4,FALSE()),"")</f>
        <v/>
      </c>
      <c r="F387" s="81" t="str">
        <f aca="false">_xlfn.IFNA(VLOOKUP(C387,'بيانات الآليات '!A:G,2,FALSE()),"")</f>
        <v/>
      </c>
      <c r="G387" s="81"/>
      <c r="H387" s="81" t="str">
        <f aca="false">_xlfn.IFNA(VLOOKUP(C387,'بيانات الآليات '!A:G,5,FALSE()),"")</f>
        <v/>
      </c>
      <c r="I387" s="82"/>
      <c r="J387" s="83" t="str">
        <f aca="false">_xlfn.IFNA(VLOOKUP(I387,Table14543[],2,FALSE()),"")</f>
        <v/>
      </c>
      <c r="K387" s="84" t="str">
        <f aca="false">_xlfn.IFNA(VLOOKUP(I387,Table14543[],3,FALSE()),"")</f>
        <v/>
      </c>
      <c r="L387" s="83" t="str">
        <f aca="false">CONCATENATE("",I387,""," ",J387," ",K387)</f>
        <v>  </v>
      </c>
      <c r="M387" s="85"/>
      <c r="N387" s="86"/>
      <c r="O387" s="86"/>
      <c r="P387" s="86" t="n">
        <f aca="false">N387*O387</f>
        <v>0</v>
      </c>
      <c r="Q387" s="86"/>
      <c r="R387" s="87" t="n">
        <f aca="false">(O387*N387)+Q387</f>
        <v>0</v>
      </c>
      <c r="S387" s="91"/>
    </row>
    <row r="388" customFormat="false" ht="14.25" hidden="false" customHeight="false" outlineLevel="0" collapsed="false">
      <c r="A388" s="77"/>
      <c r="B388" s="78"/>
      <c r="C388" s="79"/>
      <c r="D388" s="79"/>
      <c r="E388" s="80" t="str">
        <f aca="false">_xlfn.IFNA(VLOOKUP(C388,'بيانات الآليات '!A:G,4,FALSE()),"")</f>
        <v/>
      </c>
      <c r="F388" s="81" t="str">
        <f aca="false">_xlfn.IFNA(VLOOKUP(C388,'بيانات الآليات '!A:G,2,FALSE()),"")</f>
        <v/>
      </c>
      <c r="G388" s="81"/>
      <c r="H388" s="81" t="str">
        <f aca="false">_xlfn.IFNA(VLOOKUP(C388,'بيانات الآليات '!A:G,5,FALSE()),"")</f>
        <v/>
      </c>
      <c r="I388" s="82"/>
      <c r="J388" s="83" t="str">
        <f aca="false">_xlfn.IFNA(VLOOKUP(I388,Table14543[],2,FALSE()),"")</f>
        <v/>
      </c>
      <c r="K388" s="84" t="str">
        <f aca="false">_xlfn.IFNA(VLOOKUP(I388,Table14543[],3,FALSE()),"")</f>
        <v/>
      </c>
      <c r="L388" s="83" t="str">
        <f aca="false">CONCATENATE("",I388,""," ",J388," ",K388)</f>
        <v>  </v>
      </c>
      <c r="M388" s="85"/>
      <c r="N388" s="86"/>
      <c r="O388" s="86"/>
      <c r="P388" s="86" t="n">
        <f aca="false">N388*O388</f>
        <v>0</v>
      </c>
      <c r="Q388" s="86"/>
      <c r="R388" s="87" t="n">
        <f aca="false">(O388*N388)+Q388</f>
        <v>0</v>
      </c>
      <c r="S388" s="91"/>
    </row>
    <row r="389" customFormat="false" ht="14.25" hidden="false" customHeight="false" outlineLevel="0" collapsed="false">
      <c r="A389" s="77"/>
      <c r="B389" s="78"/>
      <c r="C389" s="79"/>
      <c r="D389" s="79"/>
      <c r="E389" s="80" t="str">
        <f aca="false">_xlfn.IFNA(VLOOKUP(C389,'بيانات الآليات '!A:G,4,FALSE()),"")</f>
        <v/>
      </c>
      <c r="F389" s="81" t="str">
        <f aca="false">_xlfn.IFNA(VLOOKUP(C389,'بيانات الآليات '!A:G,2,FALSE()),"")</f>
        <v/>
      </c>
      <c r="G389" s="81"/>
      <c r="H389" s="81" t="str">
        <f aca="false">_xlfn.IFNA(VLOOKUP(C389,'بيانات الآليات '!A:G,5,FALSE()),"")</f>
        <v/>
      </c>
      <c r="I389" s="82"/>
      <c r="J389" s="83" t="str">
        <f aca="false">_xlfn.IFNA(VLOOKUP(I389,Table14543[],2,FALSE()),"")</f>
        <v/>
      </c>
      <c r="K389" s="84" t="str">
        <f aca="false">_xlfn.IFNA(VLOOKUP(I389,Table14543[],3,FALSE()),"")</f>
        <v/>
      </c>
      <c r="L389" s="83" t="str">
        <f aca="false">CONCATENATE("",I389,""," ",J389," ",K389)</f>
        <v>  </v>
      </c>
      <c r="M389" s="85"/>
      <c r="N389" s="86"/>
      <c r="O389" s="86"/>
      <c r="P389" s="86" t="n">
        <f aca="false">N389*O389</f>
        <v>0</v>
      </c>
      <c r="Q389" s="86"/>
      <c r="R389" s="87" t="n">
        <f aca="false">(O389*N389)+Q389</f>
        <v>0</v>
      </c>
      <c r="S389" s="91"/>
    </row>
    <row r="390" customFormat="false" ht="14.25" hidden="false" customHeight="false" outlineLevel="0" collapsed="false">
      <c r="A390" s="77"/>
      <c r="B390" s="78"/>
      <c r="C390" s="79"/>
      <c r="D390" s="79"/>
      <c r="E390" s="80" t="str">
        <f aca="false">_xlfn.IFNA(VLOOKUP(C390,'بيانات الآليات '!A:G,4,FALSE()),"")</f>
        <v/>
      </c>
      <c r="F390" s="81" t="str">
        <f aca="false">_xlfn.IFNA(VLOOKUP(C390,'بيانات الآليات '!A:G,2,FALSE()),"")</f>
        <v/>
      </c>
      <c r="G390" s="81"/>
      <c r="H390" s="81" t="str">
        <f aca="false">_xlfn.IFNA(VLOOKUP(C390,'بيانات الآليات '!A:G,5,FALSE()),"")</f>
        <v/>
      </c>
      <c r="I390" s="82"/>
      <c r="J390" s="83" t="str">
        <f aca="false">_xlfn.IFNA(VLOOKUP(I390,Table14543[],2,FALSE()),"")</f>
        <v/>
      </c>
      <c r="K390" s="84" t="str">
        <f aca="false">_xlfn.IFNA(VLOOKUP(I390,Table14543[],3,FALSE()),"")</f>
        <v/>
      </c>
      <c r="L390" s="83" t="str">
        <f aca="false">CONCATENATE("",I390,""," ",J390," ",K390)</f>
        <v>  </v>
      </c>
      <c r="M390" s="85"/>
      <c r="N390" s="86"/>
      <c r="O390" s="86"/>
      <c r="P390" s="86" t="n">
        <f aca="false">N390*O390</f>
        <v>0</v>
      </c>
      <c r="Q390" s="86"/>
      <c r="R390" s="87" t="n">
        <f aca="false">(O390*N390)+Q390</f>
        <v>0</v>
      </c>
      <c r="S390" s="91"/>
    </row>
    <row r="391" customFormat="false" ht="14.25" hidden="false" customHeight="false" outlineLevel="0" collapsed="false">
      <c r="A391" s="77"/>
      <c r="B391" s="78"/>
      <c r="C391" s="79"/>
      <c r="D391" s="79"/>
      <c r="E391" s="80" t="str">
        <f aca="false">_xlfn.IFNA(VLOOKUP(C391,'بيانات الآليات '!A:G,4,FALSE()),"")</f>
        <v/>
      </c>
      <c r="F391" s="81" t="str">
        <f aca="false">_xlfn.IFNA(VLOOKUP(C391,'بيانات الآليات '!A:G,2,FALSE()),"")</f>
        <v/>
      </c>
      <c r="G391" s="81"/>
      <c r="H391" s="81" t="str">
        <f aca="false">_xlfn.IFNA(VLOOKUP(C391,'بيانات الآليات '!A:G,5,FALSE()),"")</f>
        <v/>
      </c>
      <c r="I391" s="82"/>
      <c r="J391" s="83" t="str">
        <f aca="false">_xlfn.IFNA(VLOOKUP(I391,Table14543[],2,FALSE()),"")</f>
        <v/>
      </c>
      <c r="K391" s="84" t="str">
        <f aca="false">_xlfn.IFNA(VLOOKUP(I391,Table14543[],3,FALSE()),"")</f>
        <v/>
      </c>
      <c r="L391" s="83" t="str">
        <f aca="false">CONCATENATE("",I391,""," ",J391," ",K391)</f>
        <v>  </v>
      </c>
      <c r="M391" s="85"/>
      <c r="N391" s="86"/>
      <c r="O391" s="86"/>
      <c r="P391" s="86" t="n">
        <f aca="false">N391*O391</f>
        <v>0</v>
      </c>
      <c r="Q391" s="86"/>
      <c r="R391" s="87" t="n">
        <f aca="false">(O391*N391)+Q391</f>
        <v>0</v>
      </c>
      <c r="S391" s="91"/>
    </row>
    <row r="392" customFormat="false" ht="14.25" hidden="false" customHeight="false" outlineLevel="0" collapsed="false">
      <c r="A392" s="77"/>
      <c r="B392" s="78"/>
      <c r="C392" s="79"/>
      <c r="D392" s="79"/>
      <c r="E392" s="80" t="str">
        <f aca="false">_xlfn.IFNA(VLOOKUP(C392,'بيانات الآليات '!A:G,4,FALSE()),"")</f>
        <v/>
      </c>
      <c r="F392" s="81" t="str">
        <f aca="false">_xlfn.IFNA(VLOOKUP(C392,'بيانات الآليات '!A:G,2,FALSE()),"")</f>
        <v/>
      </c>
      <c r="G392" s="81"/>
      <c r="H392" s="81" t="str">
        <f aca="false">_xlfn.IFNA(VLOOKUP(C392,'بيانات الآليات '!A:G,5,FALSE()),"")</f>
        <v/>
      </c>
      <c r="I392" s="82"/>
      <c r="J392" s="83" t="str">
        <f aca="false">_xlfn.IFNA(VLOOKUP(I392,Table14543[],2,FALSE()),"")</f>
        <v/>
      </c>
      <c r="K392" s="84" t="str">
        <f aca="false">_xlfn.IFNA(VLOOKUP(I392,Table14543[],3,FALSE()),"")</f>
        <v/>
      </c>
      <c r="L392" s="83" t="str">
        <f aca="false">CONCATENATE("",I392,""," ",J392," ",K392)</f>
        <v>  </v>
      </c>
      <c r="M392" s="85"/>
      <c r="N392" s="86"/>
      <c r="O392" s="86"/>
      <c r="P392" s="86" t="n">
        <f aca="false">N392*O392</f>
        <v>0</v>
      </c>
      <c r="Q392" s="86"/>
      <c r="R392" s="87" t="n">
        <f aca="false">(O392*N392)+Q392</f>
        <v>0</v>
      </c>
      <c r="S392" s="91"/>
    </row>
    <row r="393" customFormat="false" ht="14.25" hidden="false" customHeight="false" outlineLevel="0" collapsed="false">
      <c r="A393" s="77"/>
      <c r="B393" s="78"/>
      <c r="C393" s="79"/>
      <c r="D393" s="79"/>
      <c r="E393" s="80" t="str">
        <f aca="false">_xlfn.IFNA(VLOOKUP(C393,'بيانات الآليات '!A:G,4,FALSE()),"")</f>
        <v/>
      </c>
      <c r="F393" s="81" t="str">
        <f aca="false">_xlfn.IFNA(VLOOKUP(C393,'بيانات الآليات '!A:G,2,FALSE()),"")</f>
        <v/>
      </c>
      <c r="G393" s="81"/>
      <c r="H393" s="81" t="str">
        <f aca="false">_xlfn.IFNA(VLOOKUP(C393,'بيانات الآليات '!A:G,5,FALSE()),"")</f>
        <v/>
      </c>
      <c r="I393" s="82"/>
      <c r="J393" s="83" t="str">
        <f aca="false">_xlfn.IFNA(VLOOKUP(I393,Table14543[],2,FALSE()),"")</f>
        <v/>
      </c>
      <c r="K393" s="84" t="str">
        <f aca="false">_xlfn.IFNA(VLOOKUP(I393,Table14543[],3,FALSE()),"")</f>
        <v/>
      </c>
      <c r="L393" s="83" t="str">
        <f aca="false">CONCATENATE("",I393,""," ",J393," ",K393)</f>
        <v>  </v>
      </c>
      <c r="M393" s="85"/>
      <c r="N393" s="86"/>
      <c r="O393" s="86"/>
      <c r="P393" s="86" t="n">
        <f aca="false">N393*O393</f>
        <v>0</v>
      </c>
      <c r="Q393" s="86"/>
      <c r="R393" s="87" t="n">
        <f aca="false">(O393*N393)+Q393</f>
        <v>0</v>
      </c>
      <c r="S393" s="91"/>
    </row>
    <row r="394" customFormat="false" ht="14.25" hidden="false" customHeight="false" outlineLevel="0" collapsed="false">
      <c r="A394" s="77"/>
      <c r="B394" s="78"/>
      <c r="C394" s="79"/>
      <c r="D394" s="79"/>
      <c r="E394" s="80" t="str">
        <f aca="false">_xlfn.IFNA(VLOOKUP(C394,'بيانات الآليات '!A:G,4,FALSE()),"")</f>
        <v/>
      </c>
      <c r="F394" s="81" t="str">
        <f aca="false">_xlfn.IFNA(VLOOKUP(C394,'بيانات الآليات '!A:G,2,FALSE()),"")</f>
        <v/>
      </c>
      <c r="G394" s="81"/>
      <c r="H394" s="81" t="str">
        <f aca="false">_xlfn.IFNA(VLOOKUP(C394,'بيانات الآليات '!A:G,5,FALSE()),"")</f>
        <v/>
      </c>
      <c r="I394" s="82"/>
      <c r="J394" s="83" t="str">
        <f aca="false">_xlfn.IFNA(VLOOKUP(I394,Table14543[],2,FALSE()),"")</f>
        <v/>
      </c>
      <c r="K394" s="84" t="str">
        <f aca="false">_xlfn.IFNA(VLOOKUP(I394,Table14543[],3,FALSE()),"")</f>
        <v/>
      </c>
      <c r="L394" s="83" t="str">
        <f aca="false">CONCATENATE("",I394,""," ",J394," ",K394)</f>
        <v>  </v>
      </c>
      <c r="M394" s="85"/>
      <c r="N394" s="86"/>
      <c r="O394" s="86"/>
      <c r="P394" s="86" t="n">
        <f aca="false">N394*O394</f>
        <v>0</v>
      </c>
      <c r="Q394" s="86"/>
      <c r="R394" s="87" t="n">
        <f aca="false">(O394*N394)+Q394</f>
        <v>0</v>
      </c>
      <c r="S394" s="91"/>
    </row>
    <row r="395" customFormat="false" ht="14.25" hidden="false" customHeight="false" outlineLevel="0" collapsed="false">
      <c r="A395" s="77"/>
      <c r="B395" s="78"/>
      <c r="C395" s="79"/>
      <c r="D395" s="79"/>
      <c r="E395" s="80" t="str">
        <f aca="false">_xlfn.IFNA(VLOOKUP(C395,'بيانات الآليات '!A:G,4,FALSE()),"")</f>
        <v/>
      </c>
      <c r="F395" s="81" t="str">
        <f aca="false">_xlfn.IFNA(VLOOKUP(C395,'بيانات الآليات '!A:G,2,FALSE()),"")</f>
        <v/>
      </c>
      <c r="G395" s="81"/>
      <c r="H395" s="81" t="str">
        <f aca="false">_xlfn.IFNA(VLOOKUP(C395,'بيانات الآليات '!A:G,5,FALSE()),"")</f>
        <v/>
      </c>
      <c r="I395" s="82"/>
      <c r="J395" s="83" t="str">
        <f aca="false">_xlfn.IFNA(VLOOKUP(I395,Table14543[],2,FALSE()),"")</f>
        <v/>
      </c>
      <c r="K395" s="84" t="str">
        <f aca="false">_xlfn.IFNA(VLOOKUP(I395,Table14543[],3,FALSE()),"")</f>
        <v/>
      </c>
      <c r="L395" s="83" t="str">
        <f aca="false">CONCATENATE("",I395,""," ",J395," ",K395)</f>
        <v>  </v>
      </c>
      <c r="M395" s="85"/>
      <c r="N395" s="86"/>
      <c r="O395" s="86"/>
      <c r="P395" s="86" t="n">
        <f aca="false">N395*O395</f>
        <v>0</v>
      </c>
      <c r="Q395" s="86"/>
      <c r="R395" s="87" t="n">
        <f aca="false">(O395*N395)+Q395</f>
        <v>0</v>
      </c>
      <c r="S395" s="91"/>
    </row>
    <row r="396" customFormat="false" ht="14.25" hidden="false" customHeight="false" outlineLevel="0" collapsed="false">
      <c r="A396" s="77"/>
      <c r="B396" s="78"/>
      <c r="C396" s="79"/>
      <c r="D396" s="79"/>
      <c r="E396" s="80" t="str">
        <f aca="false">_xlfn.IFNA(VLOOKUP(C396,'بيانات الآليات '!A:G,4,FALSE()),"")</f>
        <v/>
      </c>
      <c r="F396" s="81" t="str">
        <f aca="false">_xlfn.IFNA(VLOOKUP(C396,'بيانات الآليات '!A:G,2,FALSE()),"")</f>
        <v/>
      </c>
      <c r="G396" s="81"/>
      <c r="H396" s="81" t="str">
        <f aca="false">_xlfn.IFNA(VLOOKUP(C396,'بيانات الآليات '!A:G,5,FALSE()),"")</f>
        <v/>
      </c>
      <c r="I396" s="82"/>
      <c r="J396" s="83" t="str">
        <f aca="false">_xlfn.IFNA(VLOOKUP(I396,Table14543[],2,FALSE()),"")</f>
        <v/>
      </c>
      <c r="K396" s="84" t="str">
        <f aca="false">_xlfn.IFNA(VLOOKUP(I396,Table14543[],3,FALSE()),"")</f>
        <v/>
      </c>
      <c r="L396" s="83" t="str">
        <f aca="false">CONCATENATE("",I396,""," ",J396," ",K396)</f>
        <v>  </v>
      </c>
      <c r="M396" s="85"/>
      <c r="N396" s="86"/>
      <c r="O396" s="86"/>
      <c r="P396" s="86" t="n">
        <f aca="false">N396*O396</f>
        <v>0</v>
      </c>
      <c r="Q396" s="86"/>
      <c r="R396" s="87" t="n">
        <f aca="false">(O396*N396)+Q396</f>
        <v>0</v>
      </c>
      <c r="S396" s="91"/>
    </row>
    <row r="397" customFormat="false" ht="14.25" hidden="false" customHeight="false" outlineLevel="0" collapsed="false">
      <c r="A397" s="77"/>
      <c r="B397" s="78"/>
      <c r="C397" s="79"/>
      <c r="D397" s="79"/>
      <c r="E397" s="80" t="str">
        <f aca="false">_xlfn.IFNA(VLOOKUP(C397,'بيانات الآليات '!A:G,4,FALSE()),"")</f>
        <v/>
      </c>
      <c r="F397" s="81" t="str">
        <f aca="false">_xlfn.IFNA(VLOOKUP(C397,'بيانات الآليات '!A:G,2,FALSE()),"")</f>
        <v/>
      </c>
      <c r="G397" s="81"/>
      <c r="H397" s="81" t="str">
        <f aca="false">_xlfn.IFNA(VLOOKUP(C397,'بيانات الآليات '!A:G,5,FALSE()),"")</f>
        <v/>
      </c>
      <c r="I397" s="82"/>
      <c r="J397" s="83" t="str">
        <f aca="false">_xlfn.IFNA(VLOOKUP(I397,Table14543[],2,FALSE()),"")</f>
        <v/>
      </c>
      <c r="K397" s="84" t="str">
        <f aca="false">_xlfn.IFNA(VLOOKUP(I397,Table14543[],3,FALSE()),"")</f>
        <v/>
      </c>
      <c r="L397" s="83" t="str">
        <f aca="false">CONCATENATE("",I397,""," ",J397," ",K397)</f>
        <v>  </v>
      </c>
      <c r="M397" s="85"/>
      <c r="N397" s="86"/>
      <c r="O397" s="86"/>
      <c r="P397" s="86" t="n">
        <f aca="false">N397*O397</f>
        <v>0</v>
      </c>
      <c r="Q397" s="86"/>
      <c r="R397" s="87" t="n">
        <f aca="false">(O397*N397)+Q397</f>
        <v>0</v>
      </c>
      <c r="S397" s="91"/>
    </row>
    <row r="398" customFormat="false" ht="14.25" hidden="false" customHeight="false" outlineLevel="0" collapsed="false">
      <c r="A398" s="77"/>
      <c r="B398" s="78"/>
      <c r="C398" s="79"/>
      <c r="D398" s="79"/>
      <c r="E398" s="80" t="str">
        <f aca="false">_xlfn.IFNA(VLOOKUP(C398,'بيانات الآليات '!A:G,4,FALSE()),"")</f>
        <v/>
      </c>
      <c r="F398" s="81" t="str">
        <f aca="false">_xlfn.IFNA(VLOOKUP(C398,'بيانات الآليات '!A:G,2,FALSE()),"")</f>
        <v/>
      </c>
      <c r="G398" s="81"/>
      <c r="H398" s="81" t="str">
        <f aca="false">_xlfn.IFNA(VLOOKUP(C398,'بيانات الآليات '!A:G,5,FALSE()),"")</f>
        <v/>
      </c>
      <c r="I398" s="82"/>
      <c r="J398" s="83" t="str">
        <f aca="false">_xlfn.IFNA(VLOOKUP(I398,Table14543[],2,FALSE()),"")</f>
        <v/>
      </c>
      <c r="K398" s="84" t="str">
        <f aca="false">_xlfn.IFNA(VLOOKUP(I398,Table14543[],3,FALSE()),"")</f>
        <v/>
      </c>
      <c r="L398" s="83" t="str">
        <f aca="false">CONCATENATE("",I398,""," ",J398," ",K398)</f>
        <v>  </v>
      </c>
      <c r="M398" s="85"/>
      <c r="N398" s="86"/>
      <c r="O398" s="86"/>
      <c r="P398" s="86" t="n">
        <f aca="false">N398*O398</f>
        <v>0</v>
      </c>
      <c r="Q398" s="86"/>
      <c r="R398" s="87" t="n">
        <f aca="false">(O398*N398)+Q398</f>
        <v>0</v>
      </c>
      <c r="S398" s="91"/>
    </row>
    <row r="399" customFormat="false" ht="14.25" hidden="false" customHeight="false" outlineLevel="0" collapsed="false">
      <c r="A399" s="77"/>
      <c r="B399" s="78"/>
      <c r="C399" s="79"/>
      <c r="D399" s="79"/>
      <c r="E399" s="80" t="str">
        <f aca="false">_xlfn.IFNA(VLOOKUP(C399,'بيانات الآليات '!A:G,4,FALSE()),"")</f>
        <v/>
      </c>
      <c r="F399" s="81" t="str">
        <f aca="false">_xlfn.IFNA(VLOOKUP(C399,'بيانات الآليات '!A:G,2,FALSE()),"")</f>
        <v/>
      </c>
      <c r="G399" s="81"/>
      <c r="H399" s="81" t="str">
        <f aca="false">_xlfn.IFNA(VLOOKUP(C399,'بيانات الآليات '!A:G,5,FALSE()),"")</f>
        <v/>
      </c>
      <c r="I399" s="82"/>
      <c r="J399" s="83" t="str">
        <f aca="false">_xlfn.IFNA(VLOOKUP(I399,Table14543[],2,FALSE()),"")</f>
        <v/>
      </c>
      <c r="K399" s="84" t="str">
        <f aca="false">_xlfn.IFNA(VLOOKUP(I399,Table14543[],3,FALSE()),"")</f>
        <v/>
      </c>
      <c r="L399" s="83" t="str">
        <f aca="false">CONCATENATE("",I399,""," ",J399," ",K399)</f>
        <v>  </v>
      </c>
      <c r="M399" s="85"/>
      <c r="N399" s="86"/>
      <c r="O399" s="86"/>
      <c r="P399" s="86" t="n">
        <f aca="false">N399*O399</f>
        <v>0</v>
      </c>
      <c r="Q399" s="86"/>
      <c r="R399" s="87" t="n">
        <f aca="false">(O399*N399)+Q399</f>
        <v>0</v>
      </c>
      <c r="S399" s="91"/>
    </row>
    <row r="400" customFormat="false" ht="14.25" hidden="false" customHeight="false" outlineLevel="0" collapsed="false">
      <c r="A400" s="77"/>
      <c r="B400" s="78"/>
      <c r="C400" s="79"/>
      <c r="D400" s="79"/>
      <c r="E400" s="80" t="str">
        <f aca="false">_xlfn.IFNA(VLOOKUP(C400,'بيانات الآليات '!A:G,4,FALSE()),"")</f>
        <v/>
      </c>
      <c r="F400" s="81" t="str">
        <f aca="false">_xlfn.IFNA(VLOOKUP(C400,'بيانات الآليات '!A:G,2,FALSE()),"")</f>
        <v/>
      </c>
      <c r="G400" s="81"/>
      <c r="H400" s="81" t="str">
        <f aca="false">_xlfn.IFNA(VLOOKUP(C400,'بيانات الآليات '!A:G,5,FALSE()),"")</f>
        <v/>
      </c>
      <c r="I400" s="82"/>
      <c r="J400" s="83" t="str">
        <f aca="false">_xlfn.IFNA(VLOOKUP(I400,Table14543[],2,FALSE()),"")</f>
        <v/>
      </c>
      <c r="K400" s="84" t="str">
        <f aca="false">_xlfn.IFNA(VLOOKUP(I400,Table14543[],3,FALSE()),"")</f>
        <v/>
      </c>
      <c r="L400" s="83" t="str">
        <f aca="false">CONCATENATE("",I400,""," ",J400," ",K400)</f>
        <v>  </v>
      </c>
      <c r="M400" s="85"/>
      <c r="N400" s="86"/>
      <c r="O400" s="86"/>
      <c r="P400" s="86" t="n">
        <f aca="false">N400*O400</f>
        <v>0</v>
      </c>
      <c r="Q400" s="86"/>
      <c r="R400" s="87" t="n">
        <f aca="false">(O400*N400)+Q400</f>
        <v>0</v>
      </c>
      <c r="S400" s="91"/>
    </row>
    <row r="401" customFormat="false" ht="14.25" hidden="false" customHeight="false" outlineLevel="0" collapsed="false">
      <c r="A401" s="77"/>
      <c r="B401" s="78"/>
      <c r="C401" s="79"/>
      <c r="D401" s="79"/>
      <c r="E401" s="80" t="str">
        <f aca="false">_xlfn.IFNA(VLOOKUP(C401,'بيانات الآليات '!A:G,4,FALSE()),"")</f>
        <v/>
      </c>
      <c r="F401" s="81" t="str">
        <f aca="false">_xlfn.IFNA(VLOOKUP(C401,'بيانات الآليات '!A:G,2,FALSE()),"")</f>
        <v/>
      </c>
      <c r="G401" s="81"/>
      <c r="H401" s="81" t="str">
        <f aca="false">_xlfn.IFNA(VLOOKUP(C401,'بيانات الآليات '!A:G,5,FALSE()),"")</f>
        <v/>
      </c>
      <c r="I401" s="82"/>
      <c r="J401" s="83" t="str">
        <f aca="false">_xlfn.IFNA(VLOOKUP(I401,Table14543[],2,FALSE()),"")</f>
        <v/>
      </c>
      <c r="K401" s="84" t="str">
        <f aca="false">_xlfn.IFNA(VLOOKUP(I401,Table14543[],3,FALSE()),"")</f>
        <v/>
      </c>
      <c r="L401" s="83" t="str">
        <f aca="false">CONCATENATE("",I401,""," ",J401," ",K401)</f>
        <v>  </v>
      </c>
      <c r="M401" s="85"/>
      <c r="N401" s="86"/>
      <c r="O401" s="86"/>
      <c r="P401" s="86" t="n">
        <f aca="false">N401*O401</f>
        <v>0</v>
      </c>
      <c r="Q401" s="86"/>
      <c r="R401" s="87" t="n">
        <f aca="false">(O401*N401)+Q401</f>
        <v>0</v>
      </c>
      <c r="S401" s="91"/>
    </row>
    <row r="402" customFormat="false" ht="14.25" hidden="false" customHeight="false" outlineLevel="0" collapsed="false">
      <c r="A402" s="77"/>
      <c r="B402" s="78"/>
      <c r="C402" s="79"/>
      <c r="D402" s="79"/>
      <c r="E402" s="80" t="str">
        <f aca="false">_xlfn.IFNA(VLOOKUP(C402,'بيانات الآليات '!A:G,4,FALSE()),"")</f>
        <v/>
      </c>
      <c r="F402" s="81" t="str">
        <f aca="false">_xlfn.IFNA(VLOOKUP(C402,'بيانات الآليات '!A:G,2,FALSE()),"")</f>
        <v/>
      </c>
      <c r="G402" s="81"/>
      <c r="H402" s="81" t="str">
        <f aca="false">_xlfn.IFNA(VLOOKUP(C402,'بيانات الآليات '!A:G,5,FALSE()),"")</f>
        <v/>
      </c>
      <c r="I402" s="82"/>
      <c r="J402" s="83" t="str">
        <f aca="false">_xlfn.IFNA(VLOOKUP(I402,Table14543[],2,FALSE()),"")</f>
        <v/>
      </c>
      <c r="K402" s="84" t="str">
        <f aca="false">_xlfn.IFNA(VLOOKUP(I402,Table14543[],3,FALSE()),"")</f>
        <v/>
      </c>
      <c r="L402" s="83" t="str">
        <f aca="false">CONCATENATE("",I402,""," ",J402," ",K402)</f>
        <v>  </v>
      </c>
      <c r="M402" s="85"/>
      <c r="N402" s="86"/>
      <c r="O402" s="86"/>
      <c r="P402" s="86" t="n">
        <f aca="false">N402*O402</f>
        <v>0</v>
      </c>
      <c r="Q402" s="86"/>
      <c r="R402" s="87" t="n">
        <f aca="false">(O402*N402)+Q402</f>
        <v>0</v>
      </c>
      <c r="S402" s="91"/>
    </row>
    <row r="403" customFormat="false" ht="14.25" hidden="false" customHeight="false" outlineLevel="0" collapsed="false">
      <c r="A403" s="77"/>
      <c r="B403" s="78"/>
      <c r="C403" s="79"/>
      <c r="D403" s="79"/>
      <c r="E403" s="80" t="str">
        <f aca="false">_xlfn.IFNA(VLOOKUP(C403,'بيانات الآليات '!A:G,4,FALSE()),"")</f>
        <v/>
      </c>
      <c r="F403" s="81" t="str">
        <f aca="false">_xlfn.IFNA(VLOOKUP(C403,'بيانات الآليات '!A:G,2,FALSE()),"")</f>
        <v/>
      </c>
      <c r="G403" s="81"/>
      <c r="H403" s="81" t="str">
        <f aca="false">_xlfn.IFNA(VLOOKUP(C403,'بيانات الآليات '!A:G,5,FALSE()),"")</f>
        <v/>
      </c>
      <c r="I403" s="82"/>
      <c r="J403" s="83" t="str">
        <f aca="false">_xlfn.IFNA(VLOOKUP(I403,Table14543[],2,FALSE()),"")</f>
        <v/>
      </c>
      <c r="K403" s="84" t="str">
        <f aca="false">_xlfn.IFNA(VLOOKUP(I403,Table14543[],3,FALSE()),"")</f>
        <v/>
      </c>
      <c r="L403" s="83" t="str">
        <f aca="false">CONCATENATE("",I403,""," ",J403," ",K403)</f>
        <v>  </v>
      </c>
      <c r="M403" s="85"/>
      <c r="N403" s="86"/>
      <c r="O403" s="86"/>
      <c r="P403" s="86" t="n">
        <f aca="false">N403*O403</f>
        <v>0</v>
      </c>
      <c r="Q403" s="86"/>
      <c r="R403" s="87" t="n">
        <f aca="false">(O403*N403)+Q403</f>
        <v>0</v>
      </c>
      <c r="S403" s="91"/>
    </row>
    <row r="404" customFormat="false" ht="14.25" hidden="false" customHeight="false" outlineLevel="0" collapsed="false">
      <c r="A404" s="77"/>
      <c r="B404" s="78"/>
      <c r="C404" s="79"/>
      <c r="D404" s="79"/>
      <c r="E404" s="80" t="str">
        <f aca="false">_xlfn.IFNA(VLOOKUP(C404,'بيانات الآليات '!A:G,4,FALSE()),"")</f>
        <v/>
      </c>
      <c r="F404" s="81" t="str">
        <f aca="false">_xlfn.IFNA(VLOOKUP(C404,'بيانات الآليات '!A:G,2,FALSE()),"")</f>
        <v/>
      </c>
      <c r="G404" s="81"/>
      <c r="H404" s="81" t="str">
        <f aca="false">_xlfn.IFNA(VLOOKUP(C404,'بيانات الآليات '!A:G,5,FALSE()),"")</f>
        <v/>
      </c>
      <c r="I404" s="82"/>
      <c r="J404" s="83" t="str">
        <f aca="false">_xlfn.IFNA(VLOOKUP(I404,Table14543[],2,FALSE()),"")</f>
        <v/>
      </c>
      <c r="K404" s="84" t="str">
        <f aca="false">_xlfn.IFNA(VLOOKUP(I404,Table14543[],3,FALSE()),"")</f>
        <v/>
      </c>
      <c r="L404" s="83" t="str">
        <f aca="false">CONCATENATE("",I404,""," ",J404," ",K404)</f>
        <v>  </v>
      </c>
      <c r="M404" s="85"/>
      <c r="N404" s="86"/>
      <c r="O404" s="86"/>
      <c r="P404" s="86" t="n">
        <f aca="false">N404*O404</f>
        <v>0</v>
      </c>
      <c r="Q404" s="86"/>
      <c r="R404" s="87" t="n">
        <f aca="false">(O404*N404)+Q404</f>
        <v>0</v>
      </c>
      <c r="S404" s="91"/>
    </row>
    <row r="405" customFormat="false" ht="14.25" hidden="false" customHeight="false" outlineLevel="0" collapsed="false">
      <c r="A405" s="77"/>
      <c r="B405" s="78"/>
      <c r="C405" s="79"/>
      <c r="D405" s="79"/>
      <c r="E405" s="80" t="str">
        <f aca="false">_xlfn.IFNA(VLOOKUP(C405,'بيانات الآليات '!A:G,4,FALSE()),"")</f>
        <v/>
      </c>
      <c r="F405" s="81" t="str">
        <f aca="false">_xlfn.IFNA(VLOOKUP(C405,'بيانات الآليات '!A:G,2,FALSE()),"")</f>
        <v/>
      </c>
      <c r="G405" s="81"/>
      <c r="H405" s="81" t="str">
        <f aca="false">_xlfn.IFNA(VLOOKUP(C405,'بيانات الآليات '!A:G,5,FALSE()),"")</f>
        <v/>
      </c>
      <c r="I405" s="82"/>
      <c r="J405" s="83" t="str">
        <f aca="false">_xlfn.IFNA(VLOOKUP(I405,Table14543[],2,FALSE()),"")</f>
        <v/>
      </c>
      <c r="K405" s="84" t="str">
        <f aca="false">_xlfn.IFNA(VLOOKUP(I405,Table14543[],3,FALSE()),"")</f>
        <v/>
      </c>
      <c r="L405" s="83" t="str">
        <f aca="false">CONCATENATE("",I405,""," ",J405," ",K405)</f>
        <v>  </v>
      </c>
      <c r="M405" s="85"/>
      <c r="N405" s="86"/>
      <c r="O405" s="86"/>
      <c r="P405" s="86" t="n">
        <f aca="false">N405*O405</f>
        <v>0</v>
      </c>
      <c r="Q405" s="86"/>
      <c r="R405" s="87" t="n">
        <f aca="false">(O405*N405)+Q405</f>
        <v>0</v>
      </c>
      <c r="S405" s="91"/>
    </row>
    <row r="406" customFormat="false" ht="14.25" hidden="false" customHeight="false" outlineLevel="0" collapsed="false">
      <c r="A406" s="77"/>
      <c r="B406" s="78"/>
      <c r="C406" s="79"/>
      <c r="D406" s="79"/>
      <c r="E406" s="80" t="str">
        <f aca="false">_xlfn.IFNA(VLOOKUP(C406,'بيانات الآليات '!A:G,4,FALSE()),"")</f>
        <v/>
      </c>
      <c r="F406" s="81" t="str">
        <f aca="false">_xlfn.IFNA(VLOOKUP(C406,'بيانات الآليات '!A:G,2,FALSE()),"")</f>
        <v/>
      </c>
      <c r="G406" s="81"/>
      <c r="H406" s="81" t="str">
        <f aca="false">_xlfn.IFNA(VLOOKUP(C406,'بيانات الآليات '!A:G,5,FALSE()),"")</f>
        <v/>
      </c>
      <c r="I406" s="82"/>
      <c r="J406" s="83" t="str">
        <f aca="false">_xlfn.IFNA(VLOOKUP(I406,Table14543[],2,FALSE()),"")</f>
        <v/>
      </c>
      <c r="K406" s="84" t="str">
        <f aca="false">_xlfn.IFNA(VLOOKUP(I406,Table14543[],3,FALSE()),"")</f>
        <v/>
      </c>
      <c r="L406" s="83" t="str">
        <f aca="false">CONCATENATE("",I406,""," ",J406," ",K406)</f>
        <v>  </v>
      </c>
      <c r="M406" s="85"/>
      <c r="N406" s="86"/>
      <c r="O406" s="86"/>
      <c r="P406" s="86" t="n">
        <f aca="false">N406*O406</f>
        <v>0</v>
      </c>
      <c r="Q406" s="86"/>
      <c r="R406" s="87" t="n">
        <f aca="false">(O406*N406)+Q406</f>
        <v>0</v>
      </c>
      <c r="S406" s="91"/>
    </row>
    <row r="407" customFormat="false" ht="14.25" hidden="false" customHeight="false" outlineLevel="0" collapsed="false">
      <c r="A407" s="77"/>
      <c r="B407" s="78"/>
      <c r="C407" s="79"/>
      <c r="D407" s="79"/>
      <c r="E407" s="80" t="str">
        <f aca="false">_xlfn.IFNA(VLOOKUP(C407,'بيانات الآليات '!A:G,4,FALSE()),"")</f>
        <v/>
      </c>
      <c r="F407" s="81" t="str">
        <f aca="false">_xlfn.IFNA(VLOOKUP(C407,'بيانات الآليات '!A:G,2,FALSE()),"")</f>
        <v/>
      </c>
      <c r="G407" s="81"/>
      <c r="H407" s="81" t="str">
        <f aca="false">_xlfn.IFNA(VLOOKUP(C407,'بيانات الآليات '!A:G,5,FALSE()),"")</f>
        <v/>
      </c>
      <c r="I407" s="82"/>
      <c r="J407" s="83" t="str">
        <f aca="false">_xlfn.IFNA(VLOOKUP(I407,Table14543[],2,FALSE()),"")</f>
        <v/>
      </c>
      <c r="K407" s="84" t="str">
        <f aca="false">_xlfn.IFNA(VLOOKUP(I407,Table14543[],3,FALSE()),"")</f>
        <v/>
      </c>
      <c r="L407" s="83" t="str">
        <f aca="false">CONCATENATE("",I407,""," ",J407," ",K407)</f>
        <v>  </v>
      </c>
      <c r="M407" s="85"/>
      <c r="N407" s="86"/>
      <c r="O407" s="86"/>
      <c r="P407" s="86" t="n">
        <f aca="false">N407*O407</f>
        <v>0</v>
      </c>
      <c r="Q407" s="86"/>
      <c r="R407" s="87" t="n">
        <f aca="false">(O407*N407)+Q407</f>
        <v>0</v>
      </c>
      <c r="S407" s="91"/>
    </row>
    <row r="408" customFormat="false" ht="14.25" hidden="false" customHeight="false" outlineLevel="0" collapsed="false">
      <c r="A408" s="77"/>
      <c r="B408" s="78"/>
      <c r="C408" s="79"/>
      <c r="D408" s="79"/>
      <c r="E408" s="80" t="str">
        <f aca="false">_xlfn.IFNA(VLOOKUP(C408,'بيانات الآليات '!A:G,4,FALSE()),"")</f>
        <v/>
      </c>
      <c r="F408" s="81" t="str">
        <f aca="false">_xlfn.IFNA(VLOOKUP(C408,'بيانات الآليات '!A:G,2,FALSE()),"")</f>
        <v/>
      </c>
      <c r="G408" s="81"/>
      <c r="H408" s="81" t="str">
        <f aca="false">_xlfn.IFNA(VLOOKUP(C408,'بيانات الآليات '!A:G,5,FALSE()),"")</f>
        <v/>
      </c>
      <c r="I408" s="82"/>
      <c r="J408" s="83" t="str">
        <f aca="false">_xlfn.IFNA(VLOOKUP(I408,Table14543[],2,FALSE()),"")</f>
        <v/>
      </c>
      <c r="K408" s="84" t="str">
        <f aca="false">_xlfn.IFNA(VLOOKUP(I408,Table14543[],3,FALSE()),"")</f>
        <v/>
      </c>
      <c r="L408" s="83" t="str">
        <f aca="false">CONCATENATE("",I408,""," ",J408," ",K408)</f>
        <v>  </v>
      </c>
      <c r="M408" s="85"/>
      <c r="N408" s="86"/>
      <c r="O408" s="86"/>
      <c r="P408" s="86" t="n">
        <f aca="false">N408*O408</f>
        <v>0</v>
      </c>
      <c r="Q408" s="86"/>
      <c r="R408" s="87" t="n">
        <f aca="false">(O408*N408)+Q408</f>
        <v>0</v>
      </c>
      <c r="S408" s="91"/>
    </row>
    <row r="409" customFormat="false" ht="14.25" hidden="false" customHeight="false" outlineLevel="0" collapsed="false">
      <c r="A409" s="77"/>
      <c r="B409" s="78"/>
      <c r="C409" s="79"/>
      <c r="D409" s="79"/>
      <c r="E409" s="80" t="str">
        <f aca="false">_xlfn.IFNA(VLOOKUP(C409,'بيانات الآليات '!A:G,4,FALSE()),"")</f>
        <v/>
      </c>
      <c r="F409" s="81" t="str">
        <f aca="false">_xlfn.IFNA(VLOOKUP(C409,'بيانات الآليات '!A:G,2,FALSE()),"")</f>
        <v/>
      </c>
      <c r="G409" s="81"/>
      <c r="H409" s="81" t="str">
        <f aca="false">_xlfn.IFNA(VLOOKUP(C409,'بيانات الآليات '!A:G,5,FALSE()),"")</f>
        <v/>
      </c>
      <c r="I409" s="82"/>
      <c r="J409" s="83" t="str">
        <f aca="false">_xlfn.IFNA(VLOOKUP(I409,Table14543[],2,FALSE()),"")</f>
        <v/>
      </c>
      <c r="K409" s="84" t="str">
        <f aca="false">_xlfn.IFNA(VLOOKUP(I409,Table14543[],3,FALSE()),"")</f>
        <v/>
      </c>
      <c r="L409" s="83" t="str">
        <f aca="false">CONCATENATE("",I409,""," ",J409," ",K409)</f>
        <v>  </v>
      </c>
      <c r="M409" s="85"/>
      <c r="N409" s="86"/>
      <c r="O409" s="86"/>
      <c r="P409" s="86" t="n">
        <f aca="false">N409*O409</f>
        <v>0</v>
      </c>
      <c r="Q409" s="86"/>
      <c r="R409" s="87" t="n">
        <f aca="false">(O409*N409)+Q409</f>
        <v>0</v>
      </c>
      <c r="S409" s="91"/>
    </row>
    <row r="410" customFormat="false" ht="14.25" hidden="false" customHeight="false" outlineLevel="0" collapsed="false">
      <c r="A410" s="77"/>
      <c r="B410" s="78"/>
      <c r="C410" s="79"/>
      <c r="D410" s="79"/>
      <c r="E410" s="80" t="str">
        <f aca="false">_xlfn.IFNA(VLOOKUP(C410,'بيانات الآليات '!A:G,4,FALSE()),"")</f>
        <v/>
      </c>
      <c r="F410" s="81" t="str">
        <f aca="false">_xlfn.IFNA(VLOOKUP(C410,'بيانات الآليات '!A:G,2,FALSE()),"")</f>
        <v/>
      </c>
      <c r="G410" s="81"/>
      <c r="H410" s="81" t="str">
        <f aca="false">_xlfn.IFNA(VLOOKUP(C410,'بيانات الآليات '!A:G,5,FALSE()),"")</f>
        <v/>
      </c>
      <c r="I410" s="82"/>
      <c r="J410" s="83" t="str">
        <f aca="false">_xlfn.IFNA(VLOOKUP(I410,Table14543[],2,FALSE()),"")</f>
        <v/>
      </c>
      <c r="K410" s="84" t="str">
        <f aca="false">_xlfn.IFNA(VLOOKUP(I410,Table14543[],3,FALSE()),"")</f>
        <v/>
      </c>
      <c r="L410" s="83" t="str">
        <f aca="false">CONCATENATE("",I410,""," ",J410," ",K410)</f>
        <v>  </v>
      </c>
      <c r="M410" s="85"/>
      <c r="N410" s="86"/>
      <c r="O410" s="86"/>
      <c r="P410" s="86" t="n">
        <f aca="false">N410*O410</f>
        <v>0</v>
      </c>
      <c r="Q410" s="86"/>
      <c r="R410" s="87" t="n">
        <f aca="false">(O410*N410)+Q410</f>
        <v>0</v>
      </c>
      <c r="S410" s="91"/>
    </row>
    <row r="411" customFormat="false" ht="14.25" hidden="false" customHeight="false" outlineLevel="0" collapsed="false">
      <c r="A411" s="77"/>
      <c r="B411" s="78"/>
      <c r="C411" s="79"/>
      <c r="D411" s="79"/>
      <c r="E411" s="80" t="str">
        <f aca="false">_xlfn.IFNA(VLOOKUP(C411,'بيانات الآليات '!A:G,4,FALSE()),"")</f>
        <v/>
      </c>
      <c r="F411" s="81" t="str">
        <f aca="false">_xlfn.IFNA(VLOOKUP(C411,'بيانات الآليات '!A:G,2,FALSE()),"")</f>
        <v/>
      </c>
      <c r="G411" s="81"/>
      <c r="H411" s="81" t="str">
        <f aca="false">_xlfn.IFNA(VLOOKUP(C411,'بيانات الآليات '!A:G,5,FALSE()),"")</f>
        <v/>
      </c>
      <c r="I411" s="82"/>
      <c r="J411" s="83" t="str">
        <f aca="false">_xlfn.IFNA(VLOOKUP(I411,Table14543[],2,FALSE()),"")</f>
        <v/>
      </c>
      <c r="K411" s="84" t="str">
        <f aca="false">_xlfn.IFNA(VLOOKUP(I411,Table14543[],3,FALSE()),"")</f>
        <v/>
      </c>
      <c r="L411" s="83" t="str">
        <f aca="false">CONCATENATE("",I411,""," ",J411," ",K411)</f>
        <v>  </v>
      </c>
      <c r="M411" s="85"/>
      <c r="N411" s="86"/>
      <c r="O411" s="86"/>
      <c r="P411" s="86" t="n">
        <f aca="false">N411*O411</f>
        <v>0</v>
      </c>
      <c r="Q411" s="86"/>
      <c r="R411" s="87" t="n">
        <f aca="false">(O411*N411)+Q411</f>
        <v>0</v>
      </c>
      <c r="S411" s="91"/>
    </row>
    <row r="412" customFormat="false" ht="14.25" hidden="false" customHeight="false" outlineLevel="0" collapsed="false">
      <c r="A412" s="77"/>
      <c r="B412" s="78"/>
      <c r="C412" s="79"/>
      <c r="D412" s="79"/>
      <c r="E412" s="80" t="str">
        <f aca="false">_xlfn.IFNA(VLOOKUP(C412,'بيانات الآليات '!A:G,4,FALSE()),"")</f>
        <v/>
      </c>
      <c r="F412" s="81" t="str">
        <f aca="false">_xlfn.IFNA(VLOOKUP(C412,'بيانات الآليات '!A:G,2,FALSE()),"")</f>
        <v/>
      </c>
      <c r="G412" s="81"/>
      <c r="H412" s="81" t="str">
        <f aca="false">_xlfn.IFNA(VLOOKUP(C412,'بيانات الآليات '!A:G,5,FALSE()),"")</f>
        <v/>
      </c>
      <c r="I412" s="82"/>
      <c r="J412" s="83" t="str">
        <f aca="false">_xlfn.IFNA(VLOOKUP(I412,Table14543[],2,FALSE()),"")</f>
        <v/>
      </c>
      <c r="K412" s="84" t="str">
        <f aca="false">_xlfn.IFNA(VLOOKUP(I412,Table14543[],3,FALSE()),"")</f>
        <v/>
      </c>
      <c r="L412" s="83" t="str">
        <f aca="false">CONCATENATE("",I412,""," ",J412," ",K412)</f>
        <v>  </v>
      </c>
      <c r="M412" s="85"/>
      <c r="N412" s="86"/>
      <c r="O412" s="86"/>
      <c r="P412" s="86" t="n">
        <f aca="false">N412*O412</f>
        <v>0</v>
      </c>
      <c r="Q412" s="86"/>
      <c r="R412" s="87" t="n">
        <f aca="false">(O412*N412)+Q412</f>
        <v>0</v>
      </c>
      <c r="S412" s="91"/>
    </row>
    <row r="413" customFormat="false" ht="14.25" hidden="false" customHeight="false" outlineLevel="0" collapsed="false">
      <c r="A413" s="77"/>
      <c r="B413" s="78"/>
      <c r="C413" s="79"/>
      <c r="D413" s="79"/>
      <c r="E413" s="80" t="str">
        <f aca="false">_xlfn.IFNA(VLOOKUP(C413,'بيانات الآليات '!A:G,4,FALSE()),"")</f>
        <v/>
      </c>
      <c r="F413" s="81" t="str">
        <f aca="false">_xlfn.IFNA(VLOOKUP(C413,'بيانات الآليات '!A:G,2,FALSE()),"")</f>
        <v/>
      </c>
      <c r="G413" s="81"/>
      <c r="H413" s="81" t="str">
        <f aca="false">_xlfn.IFNA(VLOOKUP(C413,'بيانات الآليات '!A:G,5,FALSE()),"")</f>
        <v/>
      </c>
      <c r="I413" s="82"/>
      <c r="J413" s="83" t="str">
        <f aca="false">_xlfn.IFNA(VLOOKUP(I413,Table14543[],2,FALSE()),"")</f>
        <v/>
      </c>
      <c r="K413" s="84" t="str">
        <f aca="false">_xlfn.IFNA(VLOOKUP(I413,Table14543[],3,FALSE()),"")</f>
        <v/>
      </c>
      <c r="L413" s="83" t="str">
        <f aca="false">CONCATENATE("",I413,""," ",J413," ",K413)</f>
        <v>  </v>
      </c>
      <c r="M413" s="85"/>
      <c r="N413" s="86"/>
      <c r="O413" s="86"/>
      <c r="P413" s="86" t="n">
        <f aca="false">N413*O413</f>
        <v>0</v>
      </c>
      <c r="Q413" s="86"/>
      <c r="R413" s="87" t="n">
        <f aca="false">(O413*N413)+Q413</f>
        <v>0</v>
      </c>
      <c r="S413" s="91"/>
    </row>
    <row r="414" customFormat="false" ht="14.25" hidden="false" customHeight="false" outlineLevel="0" collapsed="false">
      <c r="A414" s="77"/>
      <c r="B414" s="78"/>
      <c r="C414" s="79"/>
      <c r="D414" s="79"/>
      <c r="E414" s="80" t="str">
        <f aca="false">_xlfn.IFNA(VLOOKUP(C414,'بيانات الآليات '!A:G,4,FALSE()),"")</f>
        <v/>
      </c>
      <c r="F414" s="81" t="str">
        <f aca="false">_xlfn.IFNA(VLOOKUP(C414,'بيانات الآليات '!A:G,2,FALSE()),"")</f>
        <v/>
      </c>
      <c r="G414" s="81"/>
      <c r="H414" s="81" t="str">
        <f aca="false">_xlfn.IFNA(VLOOKUP(C414,'بيانات الآليات '!A:G,5,FALSE()),"")</f>
        <v/>
      </c>
      <c r="I414" s="82"/>
      <c r="J414" s="83" t="str">
        <f aca="false">_xlfn.IFNA(VLOOKUP(I414,Table14543[],2,FALSE()),"")</f>
        <v/>
      </c>
      <c r="K414" s="84" t="str">
        <f aca="false">_xlfn.IFNA(VLOOKUP(I414,Table14543[],3,FALSE()),"")</f>
        <v/>
      </c>
      <c r="L414" s="83" t="str">
        <f aca="false">CONCATENATE("",I414,""," ",J414," ",K414)</f>
        <v>  </v>
      </c>
      <c r="M414" s="85"/>
      <c r="N414" s="86"/>
      <c r="O414" s="86"/>
      <c r="P414" s="86" t="n">
        <f aca="false">N414*O414</f>
        <v>0</v>
      </c>
      <c r="Q414" s="86"/>
      <c r="R414" s="87" t="n">
        <f aca="false">(O414*N414)+Q414</f>
        <v>0</v>
      </c>
      <c r="S414" s="91"/>
    </row>
    <row r="415" customFormat="false" ht="14.25" hidden="false" customHeight="false" outlineLevel="0" collapsed="false">
      <c r="A415" s="77"/>
      <c r="B415" s="78"/>
      <c r="C415" s="79"/>
      <c r="D415" s="79"/>
      <c r="E415" s="80" t="str">
        <f aca="false">_xlfn.IFNA(VLOOKUP(C415,'بيانات الآليات '!A:G,4,FALSE()),"")</f>
        <v/>
      </c>
      <c r="F415" s="81" t="str">
        <f aca="false">_xlfn.IFNA(VLOOKUP(C415,'بيانات الآليات '!A:G,2,FALSE()),"")</f>
        <v/>
      </c>
      <c r="G415" s="81"/>
      <c r="H415" s="81" t="str">
        <f aca="false">_xlfn.IFNA(VLOOKUP(C415,'بيانات الآليات '!A:G,5,FALSE()),"")</f>
        <v/>
      </c>
      <c r="I415" s="82"/>
      <c r="J415" s="83" t="str">
        <f aca="false">_xlfn.IFNA(VLOOKUP(I415,Table14543[],2,FALSE()),"")</f>
        <v/>
      </c>
      <c r="K415" s="84" t="str">
        <f aca="false">_xlfn.IFNA(VLOOKUP(I415,Table14543[],3,FALSE()),"")</f>
        <v/>
      </c>
      <c r="L415" s="83" t="str">
        <f aca="false">CONCATENATE("",I415,""," ",J415," ",K415)</f>
        <v>  </v>
      </c>
      <c r="M415" s="85"/>
      <c r="N415" s="86"/>
      <c r="O415" s="86"/>
      <c r="P415" s="86" t="n">
        <f aca="false">N415*O415</f>
        <v>0</v>
      </c>
      <c r="Q415" s="86"/>
      <c r="R415" s="87" t="n">
        <f aca="false">(O415*N415)+Q415</f>
        <v>0</v>
      </c>
      <c r="S415" s="91"/>
    </row>
    <row r="416" customFormat="false" ht="14.25" hidden="false" customHeight="false" outlineLevel="0" collapsed="false">
      <c r="A416" s="77"/>
      <c r="B416" s="78"/>
      <c r="C416" s="79"/>
      <c r="D416" s="79"/>
      <c r="E416" s="80" t="str">
        <f aca="false">_xlfn.IFNA(VLOOKUP(C416,'بيانات الآليات '!A:G,4,FALSE()),"")</f>
        <v/>
      </c>
      <c r="F416" s="81" t="str">
        <f aca="false">_xlfn.IFNA(VLOOKUP(C416,'بيانات الآليات '!A:G,2,FALSE()),"")</f>
        <v/>
      </c>
      <c r="G416" s="81"/>
      <c r="H416" s="81" t="str">
        <f aca="false">_xlfn.IFNA(VLOOKUP(C416,'بيانات الآليات '!A:G,5,FALSE()),"")</f>
        <v/>
      </c>
      <c r="I416" s="82"/>
      <c r="J416" s="83" t="str">
        <f aca="false">_xlfn.IFNA(VLOOKUP(I416,Table14543[],2,FALSE()),"")</f>
        <v/>
      </c>
      <c r="K416" s="84" t="str">
        <f aca="false">_xlfn.IFNA(VLOOKUP(I416,Table14543[],3,FALSE()),"")</f>
        <v/>
      </c>
      <c r="L416" s="83" t="str">
        <f aca="false">CONCATENATE("",I416,""," ",J416," ",K416)</f>
        <v>  </v>
      </c>
      <c r="M416" s="85"/>
      <c r="N416" s="86"/>
      <c r="O416" s="86"/>
      <c r="P416" s="86" t="n">
        <f aca="false">N416*O416</f>
        <v>0</v>
      </c>
      <c r="Q416" s="86"/>
      <c r="R416" s="87" t="n">
        <f aca="false">(O416*N416)+Q416</f>
        <v>0</v>
      </c>
      <c r="S416" s="91"/>
    </row>
    <row r="417" customFormat="false" ht="14.25" hidden="false" customHeight="false" outlineLevel="0" collapsed="false">
      <c r="A417" s="77"/>
      <c r="B417" s="78"/>
      <c r="C417" s="79"/>
      <c r="D417" s="79"/>
      <c r="E417" s="80" t="str">
        <f aca="false">_xlfn.IFNA(VLOOKUP(C417,'بيانات الآليات '!A:G,4,FALSE()),"")</f>
        <v/>
      </c>
      <c r="F417" s="81" t="str">
        <f aca="false">_xlfn.IFNA(VLOOKUP(C417,'بيانات الآليات '!A:G,2,FALSE()),"")</f>
        <v/>
      </c>
      <c r="G417" s="81"/>
      <c r="H417" s="81" t="str">
        <f aca="false">_xlfn.IFNA(VLOOKUP(C417,'بيانات الآليات '!A:G,5,FALSE()),"")</f>
        <v/>
      </c>
      <c r="I417" s="82"/>
      <c r="J417" s="83" t="str">
        <f aca="false">_xlfn.IFNA(VLOOKUP(I417,Table14543[],2,FALSE()),"")</f>
        <v/>
      </c>
      <c r="K417" s="84" t="str">
        <f aca="false">_xlfn.IFNA(VLOOKUP(I417,Table14543[],3,FALSE()),"")</f>
        <v/>
      </c>
      <c r="L417" s="83" t="str">
        <f aca="false">CONCATENATE("",I417,""," ",J417," ",K417)</f>
        <v>  </v>
      </c>
      <c r="M417" s="85"/>
      <c r="N417" s="86"/>
      <c r="O417" s="86"/>
      <c r="P417" s="86" t="n">
        <f aca="false">N417*O417</f>
        <v>0</v>
      </c>
      <c r="Q417" s="86"/>
      <c r="R417" s="87" t="n">
        <f aca="false">(O417*N417)+Q417</f>
        <v>0</v>
      </c>
      <c r="S417" s="91"/>
    </row>
    <row r="418" customFormat="false" ht="14.25" hidden="false" customHeight="false" outlineLevel="0" collapsed="false">
      <c r="A418" s="77"/>
      <c r="B418" s="78"/>
      <c r="C418" s="79"/>
      <c r="D418" s="79"/>
      <c r="E418" s="80" t="str">
        <f aca="false">_xlfn.IFNA(VLOOKUP(C418,'بيانات الآليات '!A:G,4,FALSE()),"")</f>
        <v/>
      </c>
      <c r="F418" s="81" t="str">
        <f aca="false">_xlfn.IFNA(VLOOKUP(C418,'بيانات الآليات '!A:G,2,FALSE()),"")</f>
        <v/>
      </c>
      <c r="G418" s="81"/>
      <c r="H418" s="81" t="str">
        <f aca="false">_xlfn.IFNA(VLOOKUP(C418,'بيانات الآليات '!A:G,5,FALSE()),"")</f>
        <v/>
      </c>
      <c r="I418" s="82"/>
      <c r="J418" s="83" t="str">
        <f aca="false">_xlfn.IFNA(VLOOKUP(I418,Table14543[],2,FALSE()),"")</f>
        <v/>
      </c>
      <c r="K418" s="84" t="str">
        <f aca="false">_xlfn.IFNA(VLOOKUP(I418,Table14543[],3,FALSE()),"")</f>
        <v/>
      </c>
      <c r="L418" s="83" t="str">
        <f aca="false">CONCATENATE("",I418,""," ",J418," ",K418)</f>
        <v>  </v>
      </c>
      <c r="M418" s="85"/>
      <c r="N418" s="86"/>
      <c r="O418" s="86"/>
      <c r="P418" s="86" t="n">
        <f aca="false">N418*O418</f>
        <v>0</v>
      </c>
      <c r="Q418" s="86"/>
      <c r="R418" s="87" t="n">
        <f aca="false">(O418*N418)+Q418</f>
        <v>0</v>
      </c>
      <c r="S418" s="91"/>
    </row>
    <row r="419" customFormat="false" ht="14.25" hidden="false" customHeight="false" outlineLevel="0" collapsed="false">
      <c r="A419" s="77"/>
      <c r="B419" s="78"/>
      <c r="C419" s="79"/>
      <c r="D419" s="79"/>
      <c r="E419" s="80" t="str">
        <f aca="false">_xlfn.IFNA(VLOOKUP(C419,'بيانات الآليات '!A:G,4,FALSE()),"")</f>
        <v/>
      </c>
      <c r="F419" s="81" t="str">
        <f aca="false">_xlfn.IFNA(VLOOKUP(C419,'بيانات الآليات '!A:G,2,FALSE()),"")</f>
        <v/>
      </c>
      <c r="G419" s="81"/>
      <c r="H419" s="81" t="str">
        <f aca="false">_xlfn.IFNA(VLOOKUP(C419,'بيانات الآليات '!A:G,5,FALSE()),"")</f>
        <v/>
      </c>
      <c r="I419" s="82"/>
      <c r="J419" s="83" t="str">
        <f aca="false">_xlfn.IFNA(VLOOKUP(I419,Table14543[],2,FALSE()),"")</f>
        <v/>
      </c>
      <c r="K419" s="84" t="str">
        <f aca="false">_xlfn.IFNA(VLOOKUP(I419,Table14543[],3,FALSE()),"")</f>
        <v/>
      </c>
      <c r="L419" s="83" t="str">
        <f aca="false">CONCATENATE("",I419,""," ",J419," ",K419)</f>
        <v>  </v>
      </c>
      <c r="M419" s="85"/>
      <c r="N419" s="86"/>
      <c r="O419" s="86"/>
      <c r="P419" s="86" t="n">
        <f aca="false">N419*O419</f>
        <v>0</v>
      </c>
      <c r="Q419" s="86"/>
      <c r="R419" s="87" t="n">
        <f aca="false">(O419*N419)+Q419</f>
        <v>0</v>
      </c>
      <c r="S419" s="91"/>
    </row>
    <row r="420" customFormat="false" ht="14.25" hidden="false" customHeight="false" outlineLevel="0" collapsed="false">
      <c r="A420" s="77"/>
      <c r="B420" s="78"/>
      <c r="C420" s="79"/>
      <c r="D420" s="79"/>
      <c r="E420" s="80" t="str">
        <f aca="false">_xlfn.IFNA(VLOOKUP(C420,'بيانات الآليات '!A:G,4,FALSE()),"")</f>
        <v/>
      </c>
      <c r="F420" s="81" t="str">
        <f aca="false">_xlfn.IFNA(VLOOKUP(C420,'بيانات الآليات '!A:G,2,FALSE()),"")</f>
        <v/>
      </c>
      <c r="G420" s="81"/>
      <c r="H420" s="81" t="str">
        <f aca="false">_xlfn.IFNA(VLOOKUP(C420,'بيانات الآليات '!A:G,5,FALSE()),"")</f>
        <v/>
      </c>
      <c r="I420" s="82"/>
      <c r="J420" s="83" t="str">
        <f aca="false">_xlfn.IFNA(VLOOKUP(I420,Table14543[],2,FALSE()),"")</f>
        <v/>
      </c>
      <c r="K420" s="84" t="str">
        <f aca="false">_xlfn.IFNA(VLOOKUP(I420,Table14543[],3,FALSE()),"")</f>
        <v/>
      </c>
      <c r="L420" s="83" t="str">
        <f aca="false">CONCATENATE("",I420,""," ",J420," ",K420)</f>
        <v>  </v>
      </c>
      <c r="M420" s="85"/>
      <c r="N420" s="86"/>
      <c r="O420" s="86"/>
      <c r="P420" s="86" t="n">
        <f aca="false">N420*O420</f>
        <v>0</v>
      </c>
      <c r="Q420" s="86"/>
      <c r="R420" s="87" t="n">
        <f aca="false">(O420*N420)+Q420</f>
        <v>0</v>
      </c>
      <c r="S420" s="91"/>
    </row>
    <row r="421" customFormat="false" ht="14.25" hidden="false" customHeight="false" outlineLevel="0" collapsed="false">
      <c r="A421" s="77"/>
      <c r="B421" s="78"/>
      <c r="C421" s="79"/>
      <c r="D421" s="79"/>
      <c r="E421" s="80" t="str">
        <f aca="false">_xlfn.IFNA(VLOOKUP(C421,'بيانات الآليات '!A:G,4,FALSE()),"")</f>
        <v/>
      </c>
      <c r="F421" s="81" t="str">
        <f aca="false">_xlfn.IFNA(VLOOKUP(C421,'بيانات الآليات '!A:G,2,FALSE()),"")</f>
        <v/>
      </c>
      <c r="G421" s="81"/>
      <c r="H421" s="81" t="str">
        <f aca="false">_xlfn.IFNA(VLOOKUP(C421,'بيانات الآليات '!A:G,5,FALSE()),"")</f>
        <v/>
      </c>
      <c r="I421" s="82"/>
      <c r="J421" s="83" t="str">
        <f aca="false">_xlfn.IFNA(VLOOKUP(I421,Table14543[],2,FALSE()),"")</f>
        <v/>
      </c>
      <c r="K421" s="84" t="str">
        <f aca="false">_xlfn.IFNA(VLOOKUP(I421,Table14543[],3,FALSE()),"")</f>
        <v/>
      </c>
      <c r="L421" s="83" t="str">
        <f aca="false">CONCATENATE("",I421,""," ",J421," ",K421)</f>
        <v>  </v>
      </c>
      <c r="M421" s="85"/>
      <c r="N421" s="86"/>
      <c r="O421" s="86"/>
      <c r="P421" s="86" t="n">
        <f aca="false">N421*O421</f>
        <v>0</v>
      </c>
      <c r="Q421" s="86"/>
      <c r="R421" s="87" t="n">
        <f aca="false">(O421*N421)+Q421</f>
        <v>0</v>
      </c>
      <c r="S421" s="91"/>
    </row>
    <row r="422" customFormat="false" ht="14.25" hidden="false" customHeight="false" outlineLevel="0" collapsed="false">
      <c r="A422" s="77"/>
      <c r="B422" s="78"/>
      <c r="C422" s="79"/>
      <c r="D422" s="79"/>
      <c r="E422" s="80" t="str">
        <f aca="false">_xlfn.IFNA(VLOOKUP(C422,'بيانات الآليات '!A:G,4,FALSE()),"")</f>
        <v/>
      </c>
      <c r="F422" s="81" t="str">
        <f aca="false">_xlfn.IFNA(VLOOKUP(C422,'بيانات الآليات '!A:G,2,FALSE()),"")</f>
        <v/>
      </c>
      <c r="G422" s="81"/>
      <c r="H422" s="81" t="str">
        <f aca="false">_xlfn.IFNA(VLOOKUP(C422,'بيانات الآليات '!A:G,5,FALSE()),"")</f>
        <v/>
      </c>
      <c r="I422" s="82"/>
      <c r="J422" s="83" t="str">
        <f aca="false">_xlfn.IFNA(VLOOKUP(I422,Table14543[],2,FALSE()),"")</f>
        <v/>
      </c>
      <c r="K422" s="84" t="str">
        <f aca="false">_xlfn.IFNA(VLOOKUP(I422,Table14543[],3,FALSE()),"")</f>
        <v/>
      </c>
      <c r="L422" s="83" t="str">
        <f aca="false">CONCATENATE("",I422,""," ",J422," ",K422)</f>
        <v>  </v>
      </c>
      <c r="M422" s="85"/>
      <c r="N422" s="86"/>
      <c r="O422" s="86"/>
      <c r="P422" s="86" t="n">
        <f aca="false">N422*O422</f>
        <v>0</v>
      </c>
      <c r="Q422" s="86"/>
      <c r="R422" s="87" t="n">
        <f aca="false">(O422*N422)+Q422</f>
        <v>0</v>
      </c>
      <c r="S422" s="91"/>
    </row>
    <row r="423" customFormat="false" ht="14.25" hidden="false" customHeight="false" outlineLevel="0" collapsed="false">
      <c r="A423" s="77"/>
      <c r="B423" s="78"/>
      <c r="C423" s="79"/>
      <c r="D423" s="79"/>
      <c r="E423" s="80" t="str">
        <f aca="false">_xlfn.IFNA(VLOOKUP(C423,'بيانات الآليات '!A:G,4,FALSE()),"")</f>
        <v/>
      </c>
      <c r="F423" s="81" t="str">
        <f aca="false">_xlfn.IFNA(VLOOKUP(C423,'بيانات الآليات '!A:G,2,FALSE()),"")</f>
        <v/>
      </c>
      <c r="G423" s="81"/>
      <c r="H423" s="81" t="str">
        <f aca="false">_xlfn.IFNA(VLOOKUP(C423,'بيانات الآليات '!A:G,5,FALSE()),"")</f>
        <v/>
      </c>
      <c r="I423" s="82"/>
      <c r="J423" s="83" t="str">
        <f aca="false">_xlfn.IFNA(VLOOKUP(I423,Table14543[],2,FALSE()),"")</f>
        <v/>
      </c>
      <c r="K423" s="84" t="str">
        <f aca="false">_xlfn.IFNA(VLOOKUP(I423,Table14543[],3,FALSE()),"")</f>
        <v/>
      </c>
      <c r="L423" s="83" t="str">
        <f aca="false">CONCATENATE("",I423,""," ",J423," ",K423)</f>
        <v>  </v>
      </c>
      <c r="M423" s="85"/>
      <c r="N423" s="86"/>
      <c r="O423" s="86"/>
      <c r="P423" s="86" t="n">
        <f aca="false">N423*O423</f>
        <v>0</v>
      </c>
      <c r="Q423" s="86"/>
      <c r="R423" s="87" t="n">
        <f aca="false">(O423*N423)+Q423</f>
        <v>0</v>
      </c>
      <c r="S423" s="91"/>
    </row>
    <row r="424" customFormat="false" ht="14.25" hidden="false" customHeight="false" outlineLevel="0" collapsed="false">
      <c r="A424" s="77"/>
      <c r="B424" s="78"/>
      <c r="C424" s="79"/>
      <c r="D424" s="79"/>
      <c r="E424" s="80" t="str">
        <f aca="false">_xlfn.IFNA(VLOOKUP(C424,'بيانات الآليات '!A:G,4,FALSE()),"")</f>
        <v/>
      </c>
      <c r="F424" s="81" t="str">
        <f aca="false">_xlfn.IFNA(VLOOKUP(C424,'بيانات الآليات '!A:G,2,FALSE()),"")</f>
        <v/>
      </c>
      <c r="G424" s="81"/>
      <c r="H424" s="81" t="str">
        <f aca="false">_xlfn.IFNA(VLOOKUP(C424,'بيانات الآليات '!A:G,5,FALSE()),"")</f>
        <v/>
      </c>
      <c r="I424" s="82"/>
      <c r="J424" s="83" t="str">
        <f aca="false">_xlfn.IFNA(VLOOKUP(I424,Table14543[],2,FALSE()),"")</f>
        <v/>
      </c>
      <c r="K424" s="84" t="str">
        <f aca="false">_xlfn.IFNA(VLOOKUP(I424,Table14543[],3,FALSE()),"")</f>
        <v/>
      </c>
      <c r="L424" s="83" t="str">
        <f aca="false">CONCATENATE("",I424,""," ",J424," ",K424)</f>
        <v>  </v>
      </c>
      <c r="M424" s="85"/>
      <c r="N424" s="86"/>
      <c r="O424" s="86"/>
      <c r="P424" s="86" t="n">
        <f aca="false">N424*O424</f>
        <v>0</v>
      </c>
      <c r="Q424" s="86"/>
      <c r="R424" s="87" t="n">
        <f aca="false">(O424*N424)+Q424</f>
        <v>0</v>
      </c>
      <c r="S424" s="91"/>
    </row>
    <row r="425" customFormat="false" ht="14.25" hidden="false" customHeight="false" outlineLevel="0" collapsed="false">
      <c r="A425" s="77"/>
      <c r="B425" s="78"/>
      <c r="C425" s="79"/>
      <c r="D425" s="79"/>
      <c r="E425" s="80" t="str">
        <f aca="false">_xlfn.IFNA(VLOOKUP(C425,'بيانات الآليات '!A:G,4,FALSE()),"")</f>
        <v/>
      </c>
      <c r="F425" s="81" t="str">
        <f aca="false">_xlfn.IFNA(VLOOKUP(C425,'بيانات الآليات '!A:G,2,FALSE()),"")</f>
        <v/>
      </c>
      <c r="G425" s="81"/>
      <c r="H425" s="81" t="str">
        <f aca="false">_xlfn.IFNA(VLOOKUP(C425,'بيانات الآليات '!A:G,5,FALSE()),"")</f>
        <v/>
      </c>
      <c r="I425" s="82"/>
      <c r="J425" s="83" t="str">
        <f aca="false">_xlfn.IFNA(VLOOKUP(I425,Table14543[],2,FALSE()),"")</f>
        <v/>
      </c>
      <c r="K425" s="84" t="str">
        <f aca="false">_xlfn.IFNA(VLOOKUP(I425,Table14543[],3,FALSE()),"")</f>
        <v/>
      </c>
      <c r="L425" s="83" t="str">
        <f aca="false">CONCATENATE("",I425,""," ",J425," ",K425)</f>
        <v>  </v>
      </c>
      <c r="M425" s="85"/>
      <c r="N425" s="86"/>
      <c r="O425" s="86"/>
      <c r="P425" s="86" t="n">
        <f aca="false">N425*O425</f>
        <v>0</v>
      </c>
      <c r="Q425" s="86"/>
      <c r="R425" s="87" t="n">
        <f aca="false">(O425*N425)+Q425</f>
        <v>0</v>
      </c>
      <c r="S425" s="91"/>
    </row>
    <row r="426" customFormat="false" ht="14.25" hidden="false" customHeight="false" outlineLevel="0" collapsed="false">
      <c r="A426" s="77"/>
      <c r="B426" s="78"/>
      <c r="C426" s="79"/>
      <c r="D426" s="79"/>
      <c r="E426" s="80" t="str">
        <f aca="false">_xlfn.IFNA(VLOOKUP(C426,'بيانات الآليات '!A:G,4,FALSE()),"")</f>
        <v/>
      </c>
      <c r="F426" s="81" t="str">
        <f aca="false">_xlfn.IFNA(VLOOKUP(C426,'بيانات الآليات '!A:G,2,FALSE()),"")</f>
        <v/>
      </c>
      <c r="G426" s="81"/>
      <c r="H426" s="81" t="str">
        <f aca="false">_xlfn.IFNA(VLOOKUP(C426,'بيانات الآليات '!A:G,5,FALSE()),"")</f>
        <v/>
      </c>
      <c r="I426" s="82"/>
      <c r="J426" s="83" t="str">
        <f aca="false">_xlfn.IFNA(VLOOKUP(I426,Table14543[],2,FALSE()),"")</f>
        <v/>
      </c>
      <c r="K426" s="84" t="str">
        <f aca="false">_xlfn.IFNA(VLOOKUP(I426,Table14543[],3,FALSE()),"")</f>
        <v/>
      </c>
      <c r="L426" s="83" t="str">
        <f aca="false">CONCATENATE("",I426,""," ",J426," ",K426)</f>
        <v>  </v>
      </c>
      <c r="M426" s="85"/>
      <c r="N426" s="86"/>
      <c r="O426" s="86"/>
      <c r="P426" s="86" t="n">
        <f aca="false">N426*O426</f>
        <v>0</v>
      </c>
      <c r="Q426" s="86"/>
      <c r="R426" s="87" t="n">
        <f aca="false">(O426*N426)+Q426</f>
        <v>0</v>
      </c>
      <c r="S426" s="91"/>
    </row>
    <row r="427" customFormat="false" ht="14.25" hidden="false" customHeight="false" outlineLevel="0" collapsed="false">
      <c r="A427" s="77"/>
      <c r="B427" s="78"/>
      <c r="C427" s="79"/>
      <c r="D427" s="79"/>
      <c r="E427" s="80" t="str">
        <f aca="false">_xlfn.IFNA(VLOOKUP(C427,'بيانات الآليات '!A:G,4,FALSE()),"")</f>
        <v/>
      </c>
      <c r="F427" s="81" t="str">
        <f aca="false">_xlfn.IFNA(VLOOKUP(C427,'بيانات الآليات '!A:G,2,FALSE()),"")</f>
        <v/>
      </c>
      <c r="G427" s="81"/>
      <c r="H427" s="81" t="str">
        <f aca="false">_xlfn.IFNA(VLOOKUP(C427,'بيانات الآليات '!A:G,5,FALSE()),"")</f>
        <v/>
      </c>
      <c r="I427" s="82"/>
      <c r="J427" s="83" t="str">
        <f aca="false">_xlfn.IFNA(VLOOKUP(I427,Table14543[],2,FALSE()),"")</f>
        <v/>
      </c>
      <c r="K427" s="84" t="str">
        <f aca="false">_xlfn.IFNA(VLOOKUP(I427,Table14543[],3,FALSE()),"")</f>
        <v/>
      </c>
      <c r="L427" s="83" t="str">
        <f aca="false">CONCATENATE("",I427,""," ",J427," ",K427)</f>
        <v>  </v>
      </c>
      <c r="M427" s="85"/>
      <c r="N427" s="86"/>
      <c r="O427" s="86"/>
      <c r="P427" s="86" t="n">
        <f aca="false">N427*O427</f>
        <v>0</v>
      </c>
      <c r="Q427" s="86"/>
      <c r="R427" s="87" t="n">
        <f aca="false">(O427*N427)+Q427</f>
        <v>0</v>
      </c>
      <c r="S427" s="91"/>
    </row>
    <row r="428" customFormat="false" ht="14.25" hidden="false" customHeight="false" outlineLevel="0" collapsed="false">
      <c r="A428" s="77"/>
      <c r="B428" s="78"/>
      <c r="C428" s="79"/>
      <c r="D428" s="79"/>
      <c r="E428" s="80" t="str">
        <f aca="false">_xlfn.IFNA(VLOOKUP(C428,'بيانات الآليات '!A:G,4,FALSE()),"")</f>
        <v/>
      </c>
      <c r="F428" s="81" t="str">
        <f aca="false">_xlfn.IFNA(VLOOKUP(C428,'بيانات الآليات '!A:G,2,FALSE()),"")</f>
        <v/>
      </c>
      <c r="G428" s="81"/>
      <c r="H428" s="81" t="str">
        <f aca="false">_xlfn.IFNA(VLOOKUP(C428,'بيانات الآليات '!A:G,5,FALSE()),"")</f>
        <v/>
      </c>
      <c r="I428" s="82"/>
      <c r="J428" s="83" t="str">
        <f aca="false">_xlfn.IFNA(VLOOKUP(I428,Table14543[],2,FALSE()),"")</f>
        <v/>
      </c>
      <c r="K428" s="84" t="str">
        <f aca="false">_xlfn.IFNA(VLOOKUP(I428,Table14543[],3,FALSE()),"")</f>
        <v/>
      </c>
      <c r="L428" s="83" t="str">
        <f aca="false">CONCATENATE("",I428,""," ",J428," ",K428)</f>
        <v>  </v>
      </c>
      <c r="M428" s="85"/>
      <c r="N428" s="86"/>
      <c r="O428" s="86"/>
      <c r="P428" s="86" t="n">
        <f aca="false">N428*O428</f>
        <v>0</v>
      </c>
      <c r="Q428" s="86"/>
      <c r="R428" s="87" t="n">
        <f aca="false">(O428*N428)+Q428</f>
        <v>0</v>
      </c>
      <c r="S428" s="91"/>
    </row>
    <row r="429" customFormat="false" ht="14.25" hidden="false" customHeight="false" outlineLevel="0" collapsed="false">
      <c r="A429" s="77"/>
      <c r="B429" s="78"/>
      <c r="C429" s="79"/>
      <c r="D429" s="79"/>
      <c r="E429" s="80" t="str">
        <f aca="false">_xlfn.IFNA(VLOOKUP(C429,'بيانات الآليات '!A:G,4,FALSE()),"")</f>
        <v/>
      </c>
      <c r="F429" s="81" t="str">
        <f aca="false">_xlfn.IFNA(VLOOKUP(C429,'بيانات الآليات '!A:G,2,FALSE()),"")</f>
        <v/>
      </c>
      <c r="G429" s="81"/>
      <c r="H429" s="81" t="str">
        <f aca="false">_xlfn.IFNA(VLOOKUP(C429,'بيانات الآليات '!A:G,5,FALSE()),"")</f>
        <v/>
      </c>
      <c r="I429" s="82"/>
      <c r="J429" s="83" t="str">
        <f aca="false">_xlfn.IFNA(VLOOKUP(I429,Table14543[],2,FALSE()),"")</f>
        <v/>
      </c>
      <c r="K429" s="84" t="str">
        <f aca="false">_xlfn.IFNA(VLOOKUP(I429,Table14543[],3,FALSE()),"")</f>
        <v/>
      </c>
      <c r="L429" s="83" t="str">
        <f aca="false">CONCATENATE("",I429,""," ",J429," ",K429)</f>
        <v>  </v>
      </c>
      <c r="M429" s="85"/>
      <c r="N429" s="86"/>
      <c r="O429" s="86"/>
      <c r="P429" s="86" t="n">
        <f aca="false">N429*O429</f>
        <v>0</v>
      </c>
      <c r="Q429" s="86"/>
      <c r="R429" s="87" t="n">
        <f aca="false">(O429*N429)+Q429</f>
        <v>0</v>
      </c>
      <c r="S429" s="91"/>
    </row>
    <row r="430" customFormat="false" ht="14.25" hidden="false" customHeight="false" outlineLevel="0" collapsed="false">
      <c r="A430" s="77"/>
      <c r="B430" s="78"/>
      <c r="C430" s="79"/>
      <c r="D430" s="79"/>
      <c r="E430" s="80" t="str">
        <f aca="false">_xlfn.IFNA(VLOOKUP(C430,'بيانات الآليات '!A:G,4,FALSE()),"")</f>
        <v/>
      </c>
      <c r="F430" s="81" t="str">
        <f aca="false">_xlfn.IFNA(VLOOKUP(C430,'بيانات الآليات '!A:G,2,FALSE()),"")</f>
        <v/>
      </c>
      <c r="G430" s="81"/>
      <c r="H430" s="81" t="str">
        <f aca="false">_xlfn.IFNA(VLOOKUP(C430,'بيانات الآليات '!A:G,5,FALSE()),"")</f>
        <v/>
      </c>
      <c r="I430" s="82"/>
      <c r="J430" s="83" t="str">
        <f aca="false">_xlfn.IFNA(VLOOKUP(I430,Table14543[],2,FALSE()),"")</f>
        <v/>
      </c>
      <c r="K430" s="84" t="str">
        <f aca="false">_xlfn.IFNA(VLOOKUP(I430,Table14543[],3,FALSE()),"")</f>
        <v/>
      </c>
      <c r="L430" s="83" t="str">
        <f aca="false">CONCATENATE("",I430,""," ",J430," ",K430)</f>
        <v>  </v>
      </c>
      <c r="M430" s="85"/>
      <c r="N430" s="86"/>
      <c r="O430" s="86"/>
      <c r="P430" s="86" t="n">
        <f aca="false">N430*O430</f>
        <v>0</v>
      </c>
      <c r="Q430" s="86"/>
      <c r="R430" s="87" t="n">
        <f aca="false">(O430*N430)+Q430</f>
        <v>0</v>
      </c>
      <c r="S430" s="91"/>
    </row>
    <row r="431" customFormat="false" ht="14.25" hidden="false" customHeight="false" outlineLevel="0" collapsed="false">
      <c r="A431" s="77"/>
      <c r="B431" s="78"/>
      <c r="C431" s="79"/>
      <c r="D431" s="79"/>
      <c r="E431" s="80" t="str">
        <f aca="false">_xlfn.IFNA(VLOOKUP(C431,'بيانات الآليات '!A:G,4,FALSE()),"")</f>
        <v/>
      </c>
      <c r="F431" s="81" t="str">
        <f aca="false">_xlfn.IFNA(VLOOKUP(C431,'بيانات الآليات '!A:G,2,FALSE()),"")</f>
        <v/>
      </c>
      <c r="G431" s="81"/>
      <c r="H431" s="81" t="str">
        <f aca="false">_xlfn.IFNA(VLOOKUP(C431,'بيانات الآليات '!A:G,5,FALSE()),"")</f>
        <v/>
      </c>
      <c r="I431" s="82"/>
      <c r="J431" s="83" t="str">
        <f aca="false">_xlfn.IFNA(VLOOKUP(I431,Table14543[],2,FALSE()),"")</f>
        <v/>
      </c>
      <c r="K431" s="84" t="str">
        <f aca="false">_xlfn.IFNA(VLOOKUP(I431,Table14543[],3,FALSE()),"")</f>
        <v/>
      </c>
      <c r="L431" s="83" t="str">
        <f aca="false">CONCATENATE("",I431,""," ",J431," ",K431)</f>
        <v>  </v>
      </c>
      <c r="M431" s="85"/>
      <c r="N431" s="86"/>
      <c r="O431" s="86"/>
      <c r="P431" s="86" t="n">
        <f aca="false">N431*O431</f>
        <v>0</v>
      </c>
      <c r="Q431" s="86"/>
      <c r="R431" s="87" t="n">
        <f aca="false">(O431*N431)+Q431</f>
        <v>0</v>
      </c>
      <c r="S431" s="91"/>
    </row>
    <row r="432" customFormat="false" ht="14.25" hidden="false" customHeight="false" outlineLevel="0" collapsed="false">
      <c r="A432" s="77"/>
      <c r="B432" s="78"/>
      <c r="C432" s="79"/>
      <c r="D432" s="79"/>
      <c r="E432" s="80" t="str">
        <f aca="false">_xlfn.IFNA(VLOOKUP(C432,'بيانات الآليات '!A:G,4,FALSE()),"")</f>
        <v/>
      </c>
      <c r="F432" s="81" t="str">
        <f aca="false">_xlfn.IFNA(VLOOKUP(C432,'بيانات الآليات '!A:G,2,FALSE()),"")</f>
        <v/>
      </c>
      <c r="G432" s="81"/>
      <c r="H432" s="81" t="str">
        <f aca="false">_xlfn.IFNA(VLOOKUP(C432,'بيانات الآليات '!A:G,5,FALSE()),"")</f>
        <v/>
      </c>
      <c r="I432" s="82"/>
      <c r="J432" s="83" t="str">
        <f aca="false">_xlfn.IFNA(VLOOKUP(I432,Table14543[],2,FALSE()),"")</f>
        <v/>
      </c>
      <c r="K432" s="84" t="str">
        <f aca="false">_xlfn.IFNA(VLOOKUP(I432,Table14543[],3,FALSE()),"")</f>
        <v/>
      </c>
      <c r="L432" s="83" t="str">
        <f aca="false">CONCATENATE("",I432,""," ",J432," ",K432)</f>
        <v>  </v>
      </c>
      <c r="M432" s="85"/>
      <c r="N432" s="86"/>
      <c r="O432" s="86"/>
      <c r="P432" s="86" t="n">
        <f aca="false">N432*O432</f>
        <v>0</v>
      </c>
      <c r="Q432" s="86"/>
      <c r="R432" s="87" t="n">
        <f aca="false">(O432*N432)+Q432</f>
        <v>0</v>
      </c>
      <c r="S432" s="91"/>
    </row>
    <row r="433" customFormat="false" ht="14.25" hidden="false" customHeight="false" outlineLevel="0" collapsed="false">
      <c r="A433" s="77"/>
      <c r="B433" s="78"/>
      <c r="C433" s="79"/>
      <c r="D433" s="79"/>
      <c r="E433" s="80" t="str">
        <f aca="false">_xlfn.IFNA(VLOOKUP(C433,'بيانات الآليات '!A:G,4,FALSE()),"")</f>
        <v/>
      </c>
      <c r="F433" s="81" t="str">
        <f aca="false">_xlfn.IFNA(VLOOKUP(C433,'بيانات الآليات '!A:G,2,FALSE()),"")</f>
        <v/>
      </c>
      <c r="G433" s="81"/>
      <c r="H433" s="81" t="str">
        <f aca="false">_xlfn.IFNA(VLOOKUP(C433,'بيانات الآليات '!A:G,5,FALSE()),"")</f>
        <v/>
      </c>
      <c r="I433" s="82"/>
      <c r="J433" s="83" t="str">
        <f aca="false">_xlfn.IFNA(VLOOKUP(I433,Table14543[],2,FALSE()),"")</f>
        <v/>
      </c>
      <c r="K433" s="84" t="str">
        <f aca="false">_xlfn.IFNA(VLOOKUP(I433,Table14543[],3,FALSE()),"")</f>
        <v/>
      </c>
      <c r="L433" s="83" t="str">
        <f aca="false">CONCATENATE("",I433,""," ",J433," ",K433)</f>
        <v>  </v>
      </c>
      <c r="M433" s="85"/>
      <c r="N433" s="86"/>
      <c r="O433" s="86"/>
      <c r="P433" s="86" t="n">
        <f aca="false">N433*O433</f>
        <v>0</v>
      </c>
      <c r="Q433" s="86"/>
      <c r="R433" s="87" t="n">
        <f aca="false">(O433*N433)+Q433</f>
        <v>0</v>
      </c>
      <c r="S433" s="91"/>
    </row>
    <row r="434" customFormat="false" ht="14.25" hidden="false" customHeight="false" outlineLevel="0" collapsed="false">
      <c r="A434" s="77"/>
      <c r="B434" s="78"/>
      <c r="C434" s="79"/>
      <c r="D434" s="79"/>
      <c r="E434" s="80" t="str">
        <f aca="false">_xlfn.IFNA(VLOOKUP(C434,'بيانات الآليات '!A:G,4,FALSE()),"")</f>
        <v/>
      </c>
      <c r="F434" s="81" t="str">
        <f aca="false">_xlfn.IFNA(VLOOKUP(C434,'بيانات الآليات '!A:G,2,FALSE()),"")</f>
        <v/>
      </c>
      <c r="G434" s="81"/>
      <c r="H434" s="81" t="str">
        <f aca="false">_xlfn.IFNA(VLOOKUP(C434,'بيانات الآليات '!A:G,5,FALSE()),"")</f>
        <v/>
      </c>
      <c r="I434" s="82"/>
      <c r="J434" s="83" t="str">
        <f aca="false">_xlfn.IFNA(VLOOKUP(I434,Table14543[],2,FALSE()),"")</f>
        <v/>
      </c>
      <c r="K434" s="84" t="str">
        <f aca="false">_xlfn.IFNA(VLOOKUP(I434,Table14543[],3,FALSE()),"")</f>
        <v/>
      </c>
      <c r="L434" s="83" t="str">
        <f aca="false">CONCATENATE("",I434,""," ",J434," ",K434)</f>
        <v>  </v>
      </c>
      <c r="M434" s="85"/>
      <c r="N434" s="86"/>
      <c r="O434" s="86"/>
      <c r="P434" s="86" t="n">
        <f aca="false">N434*O434</f>
        <v>0</v>
      </c>
      <c r="Q434" s="86"/>
      <c r="R434" s="87" t="n">
        <f aca="false">(O434*N434)+Q434</f>
        <v>0</v>
      </c>
      <c r="S434" s="91"/>
    </row>
    <row r="435" customFormat="false" ht="14.25" hidden="false" customHeight="false" outlineLevel="0" collapsed="false">
      <c r="A435" s="77"/>
      <c r="B435" s="78"/>
      <c r="C435" s="79"/>
      <c r="D435" s="79"/>
      <c r="E435" s="80" t="str">
        <f aca="false">_xlfn.IFNA(VLOOKUP(C435,'بيانات الآليات '!A:G,4,FALSE()),"")</f>
        <v/>
      </c>
      <c r="F435" s="81" t="str">
        <f aca="false">_xlfn.IFNA(VLOOKUP(C435,'بيانات الآليات '!A:G,2,FALSE()),"")</f>
        <v/>
      </c>
      <c r="G435" s="81"/>
      <c r="H435" s="81" t="str">
        <f aca="false">_xlfn.IFNA(VLOOKUP(C435,'بيانات الآليات '!A:G,5,FALSE()),"")</f>
        <v/>
      </c>
      <c r="I435" s="82"/>
      <c r="J435" s="83" t="str">
        <f aca="false">_xlfn.IFNA(VLOOKUP(I435,Table14543[],2,FALSE()),"")</f>
        <v/>
      </c>
      <c r="K435" s="84" t="str">
        <f aca="false">_xlfn.IFNA(VLOOKUP(I435,Table14543[],3,FALSE()),"")</f>
        <v/>
      </c>
      <c r="L435" s="83" t="str">
        <f aca="false">CONCATENATE("",I435,""," ",J435," ",K435)</f>
        <v>  </v>
      </c>
      <c r="M435" s="85"/>
      <c r="N435" s="86"/>
      <c r="O435" s="86"/>
      <c r="P435" s="86" t="n">
        <f aca="false">N435*O435</f>
        <v>0</v>
      </c>
      <c r="Q435" s="86"/>
      <c r="R435" s="87" t="n">
        <f aca="false">(O435*N435)+Q435</f>
        <v>0</v>
      </c>
      <c r="S435" s="91"/>
    </row>
    <row r="436" customFormat="false" ht="14.25" hidden="false" customHeight="false" outlineLevel="0" collapsed="false">
      <c r="A436" s="77"/>
      <c r="B436" s="78"/>
      <c r="C436" s="79"/>
      <c r="D436" s="79"/>
      <c r="E436" s="80" t="str">
        <f aca="false">_xlfn.IFNA(VLOOKUP(C436,'بيانات الآليات '!A:G,4,FALSE()),"")</f>
        <v/>
      </c>
      <c r="F436" s="81" t="str">
        <f aca="false">_xlfn.IFNA(VLOOKUP(C436,'بيانات الآليات '!A:G,2,FALSE()),"")</f>
        <v/>
      </c>
      <c r="G436" s="81"/>
      <c r="H436" s="81" t="str">
        <f aca="false">_xlfn.IFNA(VLOOKUP(C436,'بيانات الآليات '!A:G,5,FALSE()),"")</f>
        <v/>
      </c>
      <c r="I436" s="82"/>
      <c r="J436" s="83" t="str">
        <f aca="false">_xlfn.IFNA(VLOOKUP(I436,Table14543[],2,FALSE()),"")</f>
        <v/>
      </c>
      <c r="K436" s="84" t="str">
        <f aca="false">_xlfn.IFNA(VLOOKUP(I436,Table14543[],3,FALSE()),"")</f>
        <v/>
      </c>
      <c r="L436" s="83" t="str">
        <f aca="false">CONCATENATE("",I436,""," ",J436," ",K436)</f>
        <v>  </v>
      </c>
      <c r="M436" s="85"/>
      <c r="N436" s="86"/>
      <c r="O436" s="86"/>
      <c r="P436" s="86" t="n">
        <f aca="false">N436*O436</f>
        <v>0</v>
      </c>
      <c r="Q436" s="86"/>
      <c r="R436" s="87" t="n">
        <f aca="false">(O436*N436)+Q436</f>
        <v>0</v>
      </c>
      <c r="S436" s="91"/>
    </row>
    <row r="437" customFormat="false" ht="14.25" hidden="false" customHeight="false" outlineLevel="0" collapsed="false">
      <c r="A437" s="77"/>
      <c r="B437" s="78"/>
      <c r="C437" s="79"/>
      <c r="D437" s="79"/>
      <c r="E437" s="80" t="str">
        <f aca="false">_xlfn.IFNA(VLOOKUP(C437,'بيانات الآليات '!A:G,4,FALSE()),"")</f>
        <v/>
      </c>
      <c r="F437" s="81" t="str">
        <f aca="false">_xlfn.IFNA(VLOOKUP(C437,'بيانات الآليات '!A:G,2,FALSE()),"")</f>
        <v/>
      </c>
      <c r="G437" s="81"/>
      <c r="H437" s="81" t="str">
        <f aca="false">_xlfn.IFNA(VLOOKUP(C437,'بيانات الآليات '!A:G,5,FALSE()),"")</f>
        <v/>
      </c>
      <c r="I437" s="82"/>
      <c r="J437" s="83" t="str">
        <f aca="false">_xlfn.IFNA(VLOOKUP(I437,Table14543[],2,FALSE()),"")</f>
        <v/>
      </c>
      <c r="K437" s="84" t="str">
        <f aca="false">_xlfn.IFNA(VLOOKUP(I437,Table14543[],3,FALSE()),"")</f>
        <v/>
      </c>
      <c r="L437" s="83" t="str">
        <f aca="false">CONCATENATE("",I437,""," ",J437," ",K437)</f>
        <v>  </v>
      </c>
      <c r="M437" s="85"/>
      <c r="N437" s="86"/>
      <c r="O437" s="86"/>
      <c r="P437" s="86" t="n">
        <f aca="false">N437*O437</f>
        <v>0</v>
      </c>
      <c r="Q437" s="86"/>
      <c r="R437" s="87" t="n">
        <f aca="false">(O437*N437)+Q437</f>
        <v>0</v>
      </c>
      <c r="S437" s="91"/>
    </row>
    <row r="438" customFormat="false" ht="14.25" hidden="false" customHeight="false" outlineLevel="0" collapsed="false">
      <c r="A438" s="77"/>
      <c r="B438" s="78"/>
      <c r="C438" s="79"/>
      <c r="D438" s="79"/>
      <c r="E438" s="80" t="str">
        <f aca="false">_xlfn.IFNA(VLOOKUP(C438,'بيانات الآليات '!A:G,4,FALSE()),"")</f>
        <v/>
      </c>
      <c r="F438" s="81" t="str">
        <f aca="false">_xlfn.IFNA(VLOOKUP(C438,'بيانات الآليات '!A:G,2,FALSE()),"")</f>
        <v/>
      </c>
      <c r="G438" s="81"/>
      <c r="H438" s="81" t="str">
        <f aca="false">_xlfn.IFNA(VLOOKUP(C438,'بيانات الآليات '!A:G,5,FALSE()),"")</f>
        <v/>
      </c>
      <c r="I438" s="82"/>
      <c r="J438" s="83" t="str">
        <f aca="false">_xlfn.IFNA(VLOOKUP(I438,Table14543[],2,FALSE()),"")</f>
        <v/>
      </c>
      <c r="K438" s="84" t="str">
        <f aca="false">_xlfn.IFNA(VLOOKUP(I438,Table14543[],3,FALSE()),"")</f>
        <v/>
      </c>
      <c r="L438" s="83" t="str">
        <f aca="false">CONCATENATE("",I438,""," ",J438," ",K438)</f>
        <v>  </v>
      </c>
      <c r="M438" s="85"/>
      <c r="N438" s="86"/>
      <c r="O438" s="86"/>
      <c r="P438" s="86" t="n">
        <f aca="false">N438*O438</f>
        <v>0</v>
      </c>
      <c r="Q438" s="86"/>
      <c r="R438" s="87" t="n">
        <f aca="false">(O438*N438)+Q438</f>
        <v>0</v>
      </c>
      <c r="S438" s="91"/>
    </row>
    <row r="439" customFormat="false" ht="14.25" hidden="false" customHeight="false" outlineLevel="0" collapsed="false">
      <c r="A439" s="77"/>
      <c r="B439" s="78"/>
      <c r="C439" s="79"/>
      <c r="D439" s="79"/>
      <c r="E439" s="80" t="str">
        <f aca="false">_xlfn.IFNA(VLOOKUP(C439,'بيانات الآليات '!A:G,4,FALSE()),"")</f>
        <v/>
      </c>
      <c r="F439" s="81" t="str">
        <f aca="false">_xlfn.IFNA(VLOOKUP(C439,'بيانات الآليات '!A:G,2,FALSE()),"")</f>
        <v/>
      </c>
      <c r="G439" s="81"/>
      <c r="H439" s="81" t="str">
        <f aca="false">_xlfn.IFNA(VLOOKUP(C439,'بيانات الآليات '!A:G,5,FALSE()),"")</f>
        <v/>
      </c>
      <c r="I439" s="82"/>
      <c r="J439" s="83" t="str">
        <f aca="false">_xlfn.IFNA(VLOOKUP(I439,Table14543[],2,FALSE()),"")</f>
        <v/>
      </c>
      <c r="K439" s="84" t="str">
        <f aca="false">_xlfn.IFNA(VLOOKUP(I439,Table14543[],3,FALSE()),"")</f>
        <v/>
      </c>
      <c r="L439" s="83" t="str">
        <f aca="false">CONCATENATE("",I439,""," ",J439," ",K439)</f>
        <v>  </v>
      </c>
      <c r="M439" s="85"/>
      <c r="N439" s="86"/>
      <c r="O439" s="86"/>
      <c r="P439" s="86" t="n">
        <f aca="false">N439*O439</f>
        <v>0</v>
      </c>
      <c r="Q439" s="86"/>
      <c r="R439" s="87" t="n">
        <f aca="false">(O439*N439)+Q439</f>
        <v>0</v>
      </c>
      <c r="S439" s="91"/>
    </row>
    <row r="440" customFormat="false" ht="14.25" hidden="false" customHeight="false" outlineLevel="0" collapsed="false">
      <c r="A440" s="77"/>
      <c r="B440" s="78"/>
      <c r="C440" s="79"/>
      <c r="D440" s="79"/>
      <c r="E440" s="80" t="str">
        <f aca="false">_xlfn.IFNA(VLOOKUP(C440,'بيانات الآليات '!A:G,4,FALSE()),"")</f>
        <v/>
      </c>
      <c r="F440" s="81" t="str">
        <f aca="false">_xlfn.IFNA(VLOOKUP(C440,'بيانات الآليات '!A:G,2,FALSE()),"")</f>
        <v/>
      </c>
      <c r="G440" s="81"/>
      <c r="H440" s="81" t="str">
        <f aca="false">_xlfn.IFNA(VLOOKUP(C440,'بيانات الآليات '!A:G,5,FALSE()),"")</f>
        <v/>
      </c>
      <c r="I440" s="82"/>
      <c r="J440" s="83" t="str">
        <f aca="false">_xlfn.IFNA(VLOOKUP(I440,Table14543[],2,FALSE()),"")</f>
        <v/>
      </c>
      <c r="K440" s="84" t="str">
        <f aca="false">_xlfn.IFNA(VLOOKUP(I440,Table14543[],3,FALSE()),"")</f>
        <v/>
      </c>
      <c r="L440" s="83" t="str">
        <f aca="false">CONCATENATE("",I440,""," ",J440," ",K440)</f>
        <v>  </v>
      </c>
      <c r="M440" s="85"/>
      <c r="N440" s="86"/>
      <c r="O440" s="86"/>
      <c r="P440" s="86" t="n">
        <f aca="false">N440*O440</f>
        <v>0</v>
      </c>
      <c r="Q440" s="86"/>
      <c r="R440" s="87" t="n">
        <f aca="false">(O440*N440)+Q440</f>
        <v>0</v>
      </c>
      <c r="S440" s="91"/>
    </row>
    <row r="441" customFormat="false" ht="14.25" hidden="false" customHeight="false" outlineLevel="0" collapsed="false">
      <c r="A441" s="77"/>
      <c r="B441" s="78"/>
      <c r="C441" s="79"/>
      <c r="D441" s="79"/>
      <c r="E441" s="80" t="str">
        <f aca="false">_xlfn.IFNA(VLOOKUP(C441,'بيانات الآليات '!A:G,4,FALSE()),"")</f>
        <v/>
      </c>
      <c r="F441" s="81" t="str">
        <f aca="false">_xlfn.IFNA(VLOOKUP(C441,'بيانات الآليات '!A:G,2,FALSE()),"")</f>
        <v/>
      </c>
      <c r="G441" s="81"/>
      <c r="H441" s="81" t="str">
        <f aca="false">_xlfn.IFNA(VLOOKUP(C441,'بيانات الآليات '!A:G,5,FALSE()),"")</f>
        <v/>
      </c>
      <c r="I441" s="82"/>
      <c r="J441" s="83" t="str">
        <f aca="false">_xlfn.IFNA(VLOOKUP(I441,Table14543[],2,FALSE()),"")</f>
        <v/>
      </c>
      <c r="K441" s="84" t="str">
        <f aca="false">_xlfn.IFNA(VLOOKUP(I441,Table14543[],3,FALSE()),"")</f>
        <v/>
      </c>
      <c r="L441" s="83" t="str">
        <f aca="false">CONCATENATE("",I441,""," ",J441," ",K441)</f>
        <v>  </v>
      </c>
      <c r="M441" s="85"/>
      <c r="N441" s="86"/>
      <c r="O441" s="86"/>
      <c r="P441" s="86" t="n">
        <f aca="false">N441*O441</f>
        <v>0</v>
      </c>
      <c r="Q441" s="86"/>
      <c r="R441" s="87" t="n">
        <f aca="false">(O441*N441)+Q441</f>
        <v>0</v>
      </c>
      <c r="S441" s="91"/>
    </row>
    <row r="442" customFormat="false" ht="14.25" hidden="false" customHeight="false" outlineLevel="0" collapsed="false">
      <c r="A442" s="77"/>
      <c r="B442" s="78"/>
      <c r="C442" s="79"/>
      <c r="D442" s="79"/>
      <c r="E442" s="80" t="str">
        <f aca="false">_xlfn.IFNA(VLOOKUP(C442,'بيانات الآليات '!A:G,4,FALSE()),"")</f>
        <v/>
      </c>
      <c r="F442" s="81" t="str">
        <f aca="false">_xlfn.IFNA(VLOOKUP(C442,'بيانات الآليات '!A:G,2,FALSE()),"")</f>
        <v/>
      </c>
      <c r="G442" s="81"/>
      <c r="H442" s="81" t="str">
        <f aca="false">_xlfn.IFNA(VLOOKUP(C442,'بيانات الآليات '!A:G,5,FALSE()),"")</f>
        <v/>
      </c>
      <c r="I442" s="82"/>
      <c r="J442" s="83" t="str">
        <f aca="false">_xlfn.IFNA(VLOOKUP(I442,Table14543[],2,FALSE()),"")</f>
        <v/>
      </c>
      <c r="K442" s="84" t="str">
        <f aca="false">_xlfn.IFNA(VLOOKUP(I442,Table14543[],3,FALSE()),"")</f>
        <v/>
      </c>
      <c r="L442" s="83" t="str">
        <f aca="false">CONCATENATE("",I442,""," ",J442," ",K442)</f>
        <v>  </v>
      </c>
      <c r="M442" s="85"/>
      <c r="N442" s="86"/>
      <c r="O442" s="86"/>
      <c r="P442" s="86" t="n">
        <f aca="false">N442*O442</f>
        <v>0</v>
      </c>
      <c r="Q442" s="86"/>
      <c r="R442" s="87" t="n">
        <f aca="false">(O442*N442)+Q442</f>
        <v>0</v>
      </c>
      <c r="S442" s="91"/>
    </row>
    <row r="443" customFormat="false" ht="14.25" hidden="false" customHeight="false" outlineLevel="0" collapsed="false">
      <c r="A443" s="77"/>
      <c r="B443" s="78"/>
      <c r="C443" s="79"/>
      <c r="D443" s="79"/>
      <c r="E443" s="80" t="str">
        <f aca="false">_xlfn.IFNA(VLOOKUP(C443,'بيانات الآليات '!A:G,4,FALSE()),"")</f>
        <v/>
      </c>
      <c r="F443" s="81" t="str">
        <f aca="false">_xlfn.IFNA(VLOOKUP(C443,'بيانات الآليات '!A:G,2,FALSE()),"")</f>
        <v/>
      </c>
      <c r="G443" s="81"/>
      <c r="H443" s="81" t="str">
        <f aca="false">_xlfn.IFNA(VLOOKUP(C443,'بيانات الآليات '!A:G,5,FALSE()),"")</f>
        <v/>
      </c>
      <c r="I443" s="82"/>
      <c r="J443" s="83" t="str">
        <f aca="false">_xlfn.IFNA(VLOOKUP(I443,Table14543[],2,FALSE()),"")</f>
        <v/>
      </c>
      <c r="K443" s="84" t="str">
        <f aca="false">_xlfn.IFNA(VLOOKUP(I443,Table14543[],3,FALSE()),"")</f>
        <v/>
      </c>
      <c r="L443" s="83" t="str">
        <f aca="false">CONCATENATE("",I443,""," ",J443," ",K443)</f>
        <v>  </v>
      </c>
      <c r="M443" s="85"/>
      <c r="N443" s="86"/>
      <c r="O443" s="86"/>
      <c r="P443" s="86" t="n">
        <f aca="false">N443*O443</f>
        <v>0</v>
      </c>
      <c r="Q443" s="86"/>
      <c r="R443" s="87" t="n">
        <f aca="false">(O443*N443)+Q443</f>
        <v>0</v>
      </c>
      <c r="S443" s="91"/>
    </row>
    <row r="444" customFormat="false" ht="14.25" hidden="false" customHeight="false" outlineLevel="0" collapsed="false">
      <c r="A444" s="77"/>
      <c r="B444" s="78"/>
      <c r="C444" s="79"/>
      <c r="D444" s="79"/>
      <c r="E444" s="80" t="str">
        <f aca="false">_xlfn.IFNA(VLOOKUP(C444,'بيانات الآليات '!A:G,4,FALSE()),"")</f>
        <v/>
      </c>
      <c r="F444" s="81" t="str">
        <f aca="false">_xlfn.IFNA(VLOOKUP(C444,'بيانات الآليات '!A:G,2,FALSE()),"")</f>
        <v/>
      </c>
      <c r="G444" s="81"/>
      <c r="H444" s="81" t="str">
        <f aca="false">_xlfn.IFNA(VLOOKUP(C444,'بيانات الآليات '!A:G,5,FALSE()),"")</f>
        <v/>
      </c>
      <c r="I444" s="82"/>
      <c r="J444" s="83" t="str">
        <f aca="false">_xlfn.IFNA(VLOOKUP(I444,Table14543[],2,FALSE()),"")</f>
        <v/>
      </c>
      <c r="K444" s="84" t="str">
        <f aca="false">_xlfn.IFNA(VLOOKUP(I444,Table14543[],3,FALSE()),"")</f>
        <v/>
      </c>
      <c r="L444" s="83" t="str">
        <f aca="false">CONCATENATE("",I444,""," ",J444," ",K444)</f>
        <v>  </v>
      </c>
      <c r="M444" s="85"/>
      <c r="N444" s="86"/>
      <c r="O444" s="86"/>
      <c r="P444" s="86" t="n">
        <f aca="false">N444*O444</f>
        <v>0</v>
      </c>
      <c r="Q444" s="86"/>
      <c r="R444" s="87" t="n">
        <f aca="false">(O444*N444)+Q444</f>
        <v>0</v>
      </c>
      <c r="S444" s="91"/>
    </row>
    <row r="445" customFormat="false" ht="14.25" hidden="false" customHeight="false" outlineLevel="0" collapsed="false">
      <c r="A445" s="77"/>
      <c r="B445" s="78"/>
      <c r="C445" s="79"/>
      <c r="D445" s="79"/>
      <c r="E445" s="80" t="str">
        <f aca="false">_xlfn.IFNA(VLOOKUP(C445,'بيانات الآليات '!A:G,4,FALSE()),"")</f>
        <v/>
      </c>
      <c r="F445" s="81" t="str">
        <f aca="false">_xlfn.IFNA(VLOOKUP(C445,'بيانات الآليات '!A:G,2,FALSE()),"")</f>
        <v/>
      </c>
      <c r="G445" s="81"/>
      <c r="H445" s="81" t="str">
        <f aca="false">_xlfn.IFNA(VLOOKUP(C445,'بيانات الآليات '!A:G,5,FALSE()),"")</f>
        <v/>
      </c>
      <c r="I445" s="82"/>
      <c r="J445" s="83" t="str">
        <f aca="false">_xlfn.IFNA(VLOOKUP(I445,Table14543[],2,FALSE()),"")</f>
        <v/>
      </c>
      <c r="K445" s="84" t="str">
        <f aca="false">_xlfn.IFNA(VLOOKUP(I445,Table14543[],3,FALSE()),"")</f>
        <v/>
      </c>
      <c r="L445" s="83" t="str">
        <f aca="false">CONCATENATE("",I445,""," ",J445," ",K445)</f>
        <v>  </v>
      </c>
      <c r="M445" s="85"/>
      <c r="N445" s="86"/>
      <c r="O445" s="86"/>
      <c r="P445" s="86" t="n">
        <f aca="false">N445*O445</f>
        <v>0</v>
      </c>
      <c r="Q445" s="86"/>
      <c r="R445" s="87" t="n">
        <f aca="false">(O445*N445)+Q445</f>
        <v>0</v>
      </c>
      <c r="S445" s="91"/>
    </row>
    <row r="446" customFormat="false" ht="14.25" hidden="false" customHeight="false" outlineLevel="0" collapsed="false">
      <c r="A446" s="77"/>
      <c r="B446" s="78"/>
      <c r="C446" s="79"/>
      <c r="D446" s="79"/>
      <c r="E446" s="80" t="str">
        <f aca="false">_xlfn.IFNA(VLOOKUP(C446,'بيانات الآليات '!A:G,4,FALSE()),"")</f>
        <v/>
      </c>
      <c r="F446" s="81" t="str">
        <f aca="false">_xlfn.IFNA(VLOOKUP(C446,'بيانات الآليات '!A:G,2,FALSE()),"")</f>
        <v/>
      </c>
      <c r="G446" s="81"/>
      <c r="H446" s="81" t="str">
        <f aca="false">_xlfn.IFNA(VLOOKUP(C446,'بيانات الآليات '!A:G,5,FALSE()),"")</f>
        <v/>
      </c>
      <c r="I446" s="82"/>
      <c r="J446" s="83" t="str">
        <f aca="false">_xlfn.IFNA(VLOOKUP(I446,Table14543[],2,FALSE()),"")</f>
        <v/>
      </c>
      <c r="K446" s="84" t="str">
        <f aca="false">_xlfn.IFNA(VLOOKUP(I446,Table14543[],3,FALSE()),"")</f>
        <v/>
      </c>
      <c r="L446" s="83" t="str">
        <f aca="false">CONCATENATE("",I446,""," ",J446," ",K446)</f>
        <v>  </v>
      </c>
      <c r="M446" s="85"/>
      <c r="N446" s="86"/>
      <c r="O446" s="86"/>
      <c r="P446" s="86" t="n">
        <f aca="false">N446*O446</f>
        <v>0</v>
      </c>
      <c r="Q446" s="86"/>
      <c r="R446" s="87" t="n">
        <f aca="false">(O446*N446)+Q446</f>
        <v>0</v>
      </c>
      <c r="S446" s="91"/>
    </row>
    <row r="447" customFormat="false" ht="14.25" hidden="false" customHeight="false" outlineLevel="0" collapsed="false">
      <c r="A447" s="77"/>
      <c r="B447" s="78"/>
      <c r="C447" s="79"/>
      <c r="D447" s="79"/>
      <c r="E447" s="80" t="str">
        <f aca="false">_xlfn.IFNA(VLOOKUP(C447,'بيانات الآليات '!A:G,4,FALSE()),"")</f>
        <v/>
      </c>
      <c r="F447" s="81" t="str">
        <f aca="false">_xlfn.IFNA(VLOOKUP(C447,'بيانات الآليات '!A:G,2,FALSE()),"")</f>
        <v/>
      </c>
      <c r="G447" s="81"/>
      <c r="H447" s="81" t="str">
        <f aca="false">_xlfn.IFNA(VLOOKUP(C447,'بيانات الآليات '!A:G,5,FALSE()),"")</f>
        <v/>
      </c>
      <c r="I447" s="82"/>
      <c r="J447" s="83" t="str">
        <f aca="false">_xlfn.IFNA(VLOOKUP(I447,Table14543[],2,FALSE()),"")</f>
        <v/>
      </c>
      <c r="K447" s="84" t="str">
        <f aca="false">_xlfn.IFNA(VLOOKUP(I447,Table14543[],3,FALSE()),"")</f>
        <v/>
      </c>
      <c r="L447" s="83" t="str">
        <f aca="false">CONCATENATE("",I447,""," ",J447," ",K447)</f>
        <v>  </v>
      </c>
      <c r="M447" s="85"/>
      <c r="N447" s="86"/>
      <c r="O447" s="86"/>
      <c r="P447" s="86" t="n">
        <f aca="false">N447*O447</f>
        <v>0</v>
      </c>
      <c r="Q447" s="86"/>
      <c r="R447" s="87" t="n">
        <f aca="false">(O447*N447)+Q447</f>
        <v>0</v>
      </c>
      <c r="S447" s="91"/>
    </row>
    <row r="448" customFormat="false" ht="14.25" hidden="false" customHeight="false" outlineLevel="0" collapsed="false">
      <c r="A448" s="77"/>
      <c r="B448" s="78"/>
      <c r="C448" s="79"/>
      <c r="D448" s="79"/>
      <c r="E448" s="80" t="str">
        <f aca="false">_xlfn.IFNA(VLOOKUP(C448,'بيانات الآليات '!A:G,4,FALSE()),"")</f>
        <v/>
      </c>
      <c r="F448" s="81" t="str">
        <f aca="false">_xlfn.IFNA(VLOOKUP(C448,'بيانات الآليات '!A:G,2,FALSE()),"")</f>
        <v/>
      </c>
      <c r="G448" s="81"/>
      <c r="H448" s="81" t="str">
        <f aca="false">_xlfn.IFNA(VLOOKUP(C448,'بيانات الآليات '!A:G,5,FALSE()),"")</f>
        <v/>
      </c>
      <c r="I448" s="82"/>
      <c r="J448" s="83" t="str">
        <f aca="false">_xlfn.IFNA(VLOOKUP(I448,Table14543[],2,FALSE()),"")</f>
        <v/>
      </c>
      <c r="K448" s="84" t="str">
        <f aca="false">_xlfn.IFNA(VLOOKUP(I448,Table14543[],3,FALSE()),"")</f>
        <v/>
      </c>
      <c r="L448" s="83" t="str">
        <f aca="false">CONCATENATE("",I448,""," ",J448," ",K448)</f>
        <v>  </v>
      </c>
      <c r="M448" s="85"/>
      <c r="N448" s="86"/>
      <c r="O448" s="86"/>
      <c r="P448" s="86" t="n">
        <f aca="false">N448*O448</f>
        <v>0</v>
      </c>
      <c r="Q448" s="86"/>
      <c r="R448" s="87" t="n">
        <f aca="false">(O448*N448)+Q448</f>
        <v>0</v>
      </c>
      <c r="S448" s="91"/>
    </row>
    <row r="449" customFormat="false" ht="14.25" hidden="false" customHeight="false" outlineLevel="0" collapsed="false">
      <c r="A449" s="77"/>
      <c r="B449" s="78"/>
      <c r="C449" s="79"/>
      <c r="D449" s="79"/>
      <c r="E449" s="80" t="str">
        <f aca="false">_xlfn.IFNA(VLOOKUP(C449,'بيانات الآليات '!A:G,4,FALSE()),"")</f>
        <v/>
      </c>
      <c r="F449" s="81" t="str">
        <f aca="false">_xlfn.IFNA(VLOOKUP(C449,'بيانات الآليات '!A:G,2,FALSE()),"")</f>
        <v/>
      </c>
      <c r="G449" s="81"/>
      <c r="H449" s="81" t="str">
        <f aca="false">_xlfn.IFNA(VLOOKUP(C449,'بيانات الآليات '!A:G,5,FALSE()),"")</f>
        <v/>
      </c>
      <c r="I449" s="82"/>
      <c r="J449" s="83" t="str">
        <f aca="false">_xlfn.IFNA(VLOOKUP(I449,Table14543[],2,FALSE()),"")</f>
        <v/>
      </c>
      <c r="K449" s="84" t="str">
        <f aca="false">_xlfn.IFNA(VLOOKUP(I449,Table14543[],3,FALSE()),"")</f>
        <v/>
      </c>
      <c r="L449" s="83" t="str">
        <f aca="false">CONCATENATE("",I449,""," ",J449," ",K449)</f>
        <v>  </v>
      </c>
      <c r="M449" s="85"/>
      <c r="N449" s="86"/>
      <c r="O449" s="86"/>
      <c r="P449" s="86" t="n">
        <f aca="false">N449*O449</f>
        <v>0</v>
      </c>
      <c r="Q449" s="86"/>
      <c r="R449" s="87" t="n">
        <f aca="false">(O449*N449)+Q449</f>
        <v>0</v>
      </c>
      <c r="S449" s="91"/>
    </row>
    <row r="450" customFormat="false" ht="14.25" hidden="false" customHeight="false" outlineLevel="0" collapsed="false">
      <c r="A450" s="77"/>
      <c r="B450" s="78"/>
      <c r="C450" s="79"/>
      <c r="D450" s="79"/>
      <c r="E450" s="80" t="str">
        <f aca="false">_xlfn.IFNA(VLOOKUP(C450,'بيانات الآليات '!A:G,4,FALSE()),"")</f>
        <v/>
      </c>
      <c r="F450" s="81" t="str">
        <f aca="false">_xlfn.IFNA(VLOOKUP(C450,'بيانات الآليات '!A:G,2,FALSE()),"")</f>
        <v/>
      </c>
      <c r="G450" s="81"/>
      <c r="H450" s="81" t="str">
        <f aca="false">_xlfn.IFNA(VLOOKUP(C450,'بيانات الآليات '!A:G,5,FALSE()),"")</f>
        <v/>
      </c>
      <c r="I450" s="82"/>
      <c r="J450" s="83" t="str">
        <f aca="false">_xlfn.IFNA(VLOOKUP(I450,Table14543[],2,FALSE()),"")</f>
        <v/>
      </c>
      <c r="K450" s="84" t="str">
        <f aca="false">_xlfn.IFNA(VLOOKUP(I450,Table14543[],3,FALSE()),"")</f>
        <v/>
      </c>
      <c r="L450" s="83" t="str">
        <f aca="false">CONCATENATE("",I450,""," ",J450," ",K450)</f>
        <v>  </v>
      </c>
      <c r="M450" s="85"/>
      <c r="N450" s="86"/>
      <c r="O450" s="86"/>
      <c r="P450" s="86" t="n">
        <f aca="false">N450*O450</f>
        <v>0</v>
      </c>
      <c r="Q450" s="86"/>
      <c r="R450" s="87" t="n">
        <f aca="false">(O450*N450)+Q450</f>
        <v>0</v>
      </c>
      <c r="S450" s="91"/>
    </row>
    <row r="451" customFormat="false" ht="14.25" hidden="false" customHeight="false" outlineLevel="0" collapsed="false">
      <c r="A451" s="77"/>
      <c r="B451" s="78"/>
      <c r="C451" s="79"/>
      <c r="D451" s="79"/>
      <c r="E451" s="80" t="str">
        <f aca="false">_xlfn.IFNA(VLOOKUP(C451,'بيانات الآليات '!A:G,4,FALSE()),"")</f>
        <v/>
      </c>
      <c r="F451" s="81" t="str">
        <f aca="false">_xlfn.IFNA(VLOOKUP(C451,'بيانات الآليات '!A:G,2,FALSE()),"")</f>
        <v/>
      </c>
      <c r="G451" s="81"/>
      <c r="H451" s="81" t="str">
        <f aca="false">_xlfn.IFNA(VLOOKUP(C451,'بيانات الآليات '!A:G,5,FALSE()),"")</f>
        <v/>
      </c>
      <c r="I451" s="82"/>
      <c r="J451" s="83" t="str">
        <f aca="false">_xlfn.IFNA(VLOOKUP(I451,Table14543[],2,FALSE()),"")</f>
        <v/>
      </c>
      <c r="K451" s="84" t="str">
        <f aca="false">_xlfn.IFNA(VLOOKUP(I451,Table14543[],3,FALSE()),"")</f>
        <v/>
      </c>
      <c r="L451" s="83" t="str">
        <f aca="false">CONCATENATE("",I451,""," ",J451," ",K451)</f>
        <v>  </v>
      </c>
      <c r="M451" s="85"/>
      <c r="N451" s="86"/>
      <c r="O451" s="86"/>
      <c r="P451" s="86" t="n">
        <f aca="false">N451*O451</f>
        <v>0</v>
      </c>
      <c r="Q451" s="86"/>
      <c r="R451" s="87" t="n">
        <f aca="false">(O451*N451)+Q451</f>
        <v>0</v>
      </c>
      <c r="S451" s="91"/>
    </row>
    <row r="452" customFormat="false" ht="14.25" hidden="false" customHeight="false" outlineLevel="0" collapsed="false">
      <c r="A452" s="77"/>
      <c r="B452" s="78"/>
      <c r="C452" s="79"/>
      <c r="D452" s="79"/>
      <c r="E452" s="80" t="str">
        <f aca="false">_xlfn.IFNA(VLOOKUP(C452,'بيانات الآليات '!A:G,4,FALSE()),"")</f>
        <v/>
      </c>
      <c r="F452" s="81" t="str">
        <f aca="false">_xlfn.IFNA(VLOOKUP(C452,'بيانات الآليات '!A:G,2,FALSE()),"")</f>
        <v/>
      </c>
      <c r="G452" s="81"/>
      <c r="H452" s="81" t="str">
        <f aca="false">_xlfn.IFNA(VLOOKUP(C452,'بيانات الآليات '!A:G,5,FALSE()),"")</f>
        <v/>
      </c>
      <c r="I452" s="82"/>
      <c r="J452" s="83" t="str">
        <f aca="false">_xlfn.IFNA(VLOOKUP(I452,Table14543[],2,FALSE()),"")</f>
        <v/>
      </c>
      <c r="K452" s="84" t="str">
        <f aca="false">_xlfn.IFNA(VLOOKUP(I452,Table14543[],3,FALSE()),"")</f>
        <v/>
      </c>
      <c r="L452" s="83" t="str">
        <f aca="false">CONCATENATE("",I452,""," ",J452," ",K452)</f>
        <v>  </v>
      </c>
      <c r="M452" s="85"/>
      <c r="N452" s="86"/>
      <c r="O452" s="86"/>
      <c r="P452" s="86" t="n">
        <f aca="false">N452*O452</f>
        <v>0</v>
      </c>
      <c r="Q452" s="86"/>
      <c r="R452" s="87" t="n">
        <f aca="false">(O452*N452)+Q452</f>
        <v>0</v>
      </c>
      <c r="S452" s="91"/>
    </row>
    <row r="453" customFormat="false" ht="14.25" hidden="false" customHeight="false" outlineLevel="0" collapsed="false">
      <c r="A453" s="77"/>
      <c r="B453" s="78"/>
      <c r="C453" s="79"/>
      <c r="D453" s="79"/>
      <c r="E453" s="80" t="str">
        <f aca="false">_xlfn.IFNA(VLOOKUP(C453,'بيانات الآليات '!A:G,4,FALSE()),"")</f>
        <v/>
      </c>
      <c r="F453" s="81" t="str">
        <f aca="false">_xlfn.IFNA(VLOOKUP(C453,'بيانات الآليات '!A:G,2,FALSE()),"")</f>
        <v/>
      </c>
      <c r="G453" s="81"/>
      <c r="H453" s="81" t="str">
        <f aca="false">_xlfn.IFNA(VLOOKUP(C453,'بيانات الآليات '!A:G,5,FALSE()),"")</f>
        <v/>
      </c>
      <c r="I453" s="82"/>
      <c r="J453" s="83" t="str">
        <f aca="false">_xlfn.IFNA(VLOOKUP(I453,Table14543[],2,FALSE()),"")</f>
        <v/>
      </c>
      <c r="K453" s="84" t="str">
        <f aca="false">_xlfn.IFNA(VLOOKUP(I453,Table14543[],3,FALSE()),"")</f>
        <v/>
      </c>
      <c r="L453" s="83" t="str">
        <f aca="false">CONCATENATE("",I453,""," ",J453," ",K453)</f>
        <v>  </v>
      </c>
      <c r="M453" s="85"/>
      <c r="N453" s="86"/>
      <c r="O453" s="86"/>
      <c r="P453" s="86" t="n">
        <f aca="false">N453*O453</f>
        <v>0</v>
      </c>
      <c r="Q453" s="86"/>
      <c r="R453" s="87" t="n">
        <f aca="false">(O453*N453)+Q453</f>
        <v>0</v>
      </c>
      <c r="S453" s="91"/>
    </row>
    <row r="454" customFormat="false" ht="14.25" hidden="false" customHeight="false" outlineLevel="0" collapsed="false">
      <c r="A454" s="77"/>
      <c r="B454" s="78"/>
      <c r="C454" s="79"/>
      <c r="D454" s="79"/>
      <c r="E454" s="80" t="str">
        <f aca="false">_xlfn.IFNA(VLOOKUP(C454,'بيانات الآليات '!A:G,4,FALSE()),"")</f>
        <v/>
      </c>
      <c r="F454" s="81" t="str">
        <f aca="false">_xlfn.IFNA(VLOOKUP(C454,'بيانات الآليات '!A:G,2,FALSE()),"")</f>
        <v/>
      </c>
      <c r="G454" s="81"/>
      <c r="H454" s="81" t="str">
        <f aca="false">_xlfn.IFNA(VLOOKUP(C454,'بيانات الآليات '!A:G,5,FALSE()),"")</f>
        <v/>
      </c>
      <c r="I454" s="82"/>
      <c r="J454" s="83" t="str">
        <f aca="false">_xlfn.IFNA(VLOOKUP(I454,Table14543[],2,FALSE()),"")</f>
        <v/>
      </c>
      <c r="K454" s="84" t="str">
        <f aca="false">_xlfn.IFNA(VLOOKUP(I454,Table14543[],3,FALSE()),"")</f>
        <v/>
      </c>
      <c r="L454" s="83" t="str">
        <f aca="false">CONCATENATE("",I454,""," ",J454," ",K454)</f>
        <v>  </v>
      </c>
      <c r="M454" s="85"/>
      <c r="N454" s="86"/>
      <c r="O454" s="86"/>
      <c r="P454" s="86" t="n">
        <f aca="false">N454*O454</f>
        <v>0</v>
      </c>
      <c r="Q454" s="86"/>
      <c r="R454" s="87" t="n">
        <f aca="false">(O454*N454)+Q454</f>
        <v>0</v>
      </c>
      <c r="S454" s="91"/>
    </row>
    <row r="455" customFormat="false" ht="14.25" hidden="false" customHeight="false" outlineLevel="0" collapsed="false">
      <c r="A455" s="77"/>
      <c r="B455" s="78"/>
      <c r="C455" s="79"/>
      <c r="D455" s="79"/>
      <c r="E455" s="80" t="str">
        <f aca="false">_xlfn.IFNA(VLOOKUP(C455,'بيانات الآليات '!A:G,4,FALSE()),"")</f>
        <v/>
      </c>
      <c r="F455" s="81" t="str">
        <f aca="false">_xlfn.IFNA(VLOOKUP(C455,'بيانات الآليات '!A:G,2,FALSE()),"")</f>
        <v/>
      </c>
      <c r="G455" s="81"/>
      <c r="H455" s="81" t="str">
        <f aca="false">_xlfn.IFNA(VLOOKUP(C455,'بيانات الآليات '!A:G,5,FALSE()),"")</f>
        <v/>
      </c>
      <c r="I455" s="82"/>
      <c r="J455" s="83" t="str">
        <f aca="false">_xlfn.IFNA(VLOOKUP(I455,Table14543[],2,FALSE()),"")</f>
        <v/>
      </c>
      <c r="K455" s="84" t="str">
        <f aca="false">_xlfn.IFNA(VLOOKUP(I455,Table14543[],3,FALSE()),"")</f>
        <v/>
      </c>
      <c r="L455" s="83" t="str">
        <f aca="false">CONCATENATE("",I455,""," ",J455," ",K455)</f>
        <v>  </v>
      </c>
      <c r="M455" s="85"/>
      <c r="N455" s="86"/>
      <c r="O455" s="86"/>
      <c r="P455" s="86" t="n">
        <f aca="false">N455*O455</f>
        <v>0</v>
      </c>
      <c r="Q455" s="86"/>
      <c r="R455" s="87" t="n">
        <f aca="false">(O455*N455)+Q455</f>
        <v>0</v>
      </c>
      <c r="S455" s="91"/>
    </row>
    <row r="456" customFormat="false" ht="14.25" hidden="false" customHeight="false" outlineLevel="0" collapsed="false">
      <c r="A456" s="77"/>
      <c r="B456" s="78"/>
      <c r="C456" s="79"/>
      <c r="D456" s="79"/>
      <c r="E456" s="80" t="str">
        <f aca="false">_xlfn.IFNA(VLOOKUP(C456,'بيانات الآليات '!A:G,4,FALSE()),"")</f>
        <v/>
      </c>
      <c r="F456" s="81" t="str">
        <f aca="false">_xlfn.IFNA(VLOOKUP(C456,'بيانات الآليات '!A:G,2,FALSE()),"")</f>
        <v/>
      </c>
      <c r="G456" s="81"/>
      <c r="H456" s="81" t="str">
        <f aca="false">_xlfn.IFNA(VLOOKUP(C456,'بيانات الآليات '!A:G,5,FALSE()),"")</f>
        <v/>
      </c>
      <c r="I456" s="82"/>
      <c r="J456" s="83" t="str">
        <f aca="false">_xlfn.IFNA(VLOOKUP(I456,Table14543[],2,FALSE()),"")</f>
        <v/>
      </c>
      <c r="K456" s="84" t="str">
        <f aca="false">_xlfn.IFNA(VLOOKUP(I456,Table14543[],3,FALSE()),"")</f>
        <v/>
      </c>
      <c r="L456" s="83" t="str">
        <f aca="false">CONCATENATE("",I456,""," ",J456," ",K456)</f>
        <v>  </v>
      </c>
      <c r="M456" s="85"/>
      <c r="N456" s="86"/>
      <c r="O456" s="86"/>
      <c r="P456" s="86" t="n">
        <f aca="false">N456*O456</f>
        <v>0</v>
      </c>
      <c r="Q456" s="86"/>
      <c r="R456" s="87" t="n">
        <f aca="false">(O456*N456)+Q456</f>
        <v>0</v>
      </c>
      <c r="S456" s="91"/>
    </row>
    <row r="457" customFormat="false" ht="14.25" hidden="false" customHeight="false" outlineLevel="0" collapsed="false">
      <c r="A457" s="77"/>
      <c r="B457" s="78"/>
      <c r="C457" s="79"/>
      <c r="D457" s="79"/>
      <c r="E457" s="80" t="str">
        <f aca="false">_xlfn.IFNA(VLOOKUP(C457,'بيانات الآليات '!A:G,4,FALSE()),"")</f>
        <v/>
      </c>
      <c r="F457" s="81" t="str">
        <f aca="false">_xlfn.IFNA(VLOOKUP(C457,'بيانات الآليات '!A:G,2,FALSE()),"")</f>
        <v/>
      </c>
      <c r="G457" s="81"/>
      <c r="H457" s="81" t="str">
        <f aca="false">_xlfn.IFNA(VLOOKUP(C457,'بيانات الآليات '!A:G,5,FALSE()),"")</f>
        <v/>
      </c>
      <c r="I457" s="82"/>
      <c r="J457" s="83" t="str">
        <f aca="false">_xlfn.IFNA(VLOOKUP(I457,Table14543[],2,FALSE()),"")</f>
        <v/>
      </c>
      <c r="K457" s="84" t="str">
        <f aca="false">_xlfn.IFNA(VLOOKUP(I457,Table14543[],3,FALSE()),"")</f>
        <v/>
      </c>
      <c r="L457" s="83" t="str">
        <f aca="false">CONCATENATE("",I457,""," ",J457," ",K457)</f>
        <v>  </v>
      </c>
      <c r="M457" s="85"/>
      <c r="N457" s="86"/>
      <c r="O457" s="86"/>
      <c r="P457" s="86" t="n">
        <f aca="false">N457*O457</f>
        <v>0</v>
      </c>
      <c r="Q457" s="86"/>
      <c r="R457" s="87" t="n">
        <f aca="false">(O457*N457)+Q457</f>
        <v>0</v>
      </c>
      <c r="S457" s="91"/>
    </row>
    <row r="458" customFormat="false" ht="14.25" hidden="false" customHeight="false" outlineLevel="0" collapsed="false">
      <c r="A458" s="77"/>
      <c r="B458" s="78"/>
      <c r="C458" s="79"/>
      <c r="D458" s="79"/>
      <c r="E458" s="80" t="str">
        <f aca="false">_xlfn.IFNA(VLOOKUP(C458,'بيانات الآليات '!A:G,4,FALSE()),"")</f>
        <v/>
      </c>
      <c r="F458" s="81" t="str">
        <f aca="false">_xlfn.IFNA(VLOOKUP(C458,'بيانات الآليات '!A:G,2,FALSE()),"")</f>
        <v/>
      </c>
      <c r="G458" s="81"/>
      <c r="H458" s="81" t="str">
        <f aca="false">_xlfn.IFNA(VLOOKUP(C458,'بيانات الآليات '!A:G,5,FALSE()),"")</f>
        <v/>
      </c>
      <c r="I458" s="82"/>
      <c r="J458" s="83" t="str">
        <f aca="false">_xlfn.IFNA(VLOOKUP(I458,Table14543[],2,FALSE()),"")</f>
        <v/>
      </c>
      <c r="K458" s="84" t="str">
        <f aca="false">_xlfn.IFNA(VLOOKUP(I458,Table14543[],3,FALSE()),"")</f>
        <v/>
      </c>
      <c r="L458" s="83" t="str">
        <f aca="false">CONCATENATE("",I458,""," ",J458," ",K458)</f>
        <v>  </v>
      </c>
      <c r="M458" s="85"/>
      <c r="N458" s="86"/>
      <c r="O458" s="86"/>
      <c r="P458" s="86" t="n">
        <f aca="false">N458*O458</f>
        <v>0</v>
      </c>
      <c r="Q458" s="86"/>
      <c r="R458" s="87" t="n">
        <f aca="false">(O458*N458)+Q458</f>
        <v>0</v>
      </c>
      <c r="S458" s="91"/>
    </row>
    <row r="459" customFormat="false" ht="14.25" hidden="false" customHeight="false" outlineLevel="0" collapsed="false">
      <c r="A459" s="77"/>
      <c r="B459" s="78"/>
      <c r="C459" s="79"/>
      <c r="D459" s="79"/>
      <c r="E459" s="80" t="str">
        <f aca="false">_xlfn.IFNA(VLOOKUP(C459,'بيانات الآليات '!A:G,4,FALSE()),"")</f>
        <v/>
      </c>
      <c r="F459" s="81" t="str">
        <f aca="false">_xlfn.IFNA(VLOOKUP(C459,'بيانات الآليات '!A:G,2,FALSE()),"")</f>
        <v/>
      </c>
      <c r="G459" s="81"/>
      <c r="H459" s="81" t="str">
        <f aca="false">_xlfn.IFNA(VLOOKUP(C459,'بيانات الآليات '!A:G,5,FALSE()),"")</f>
        <v/>
      </c>
      <c r="I459" s="82"/>
      <c r="J459" s="83" t="str">
        <f aca="false">_xlfn.IFNA(VLOOKUP(I459,Table14543[],2,FALSE()),"")</f>
        <v/>
      </c>
      <c r="K459" s="84" t="str">
        <f aca="false">_xlfn.IFNA(VLOOKUP(I459,Table14543[],3,FALSE()),"")</f>
        <v/>
      </c>
      <c r="L459" s="83" t="str">
        <f aca="false">CONCATENATE("",I459,""," ",J459," ",K459)</f>
        <v>  </v>
      </c>
      <c r="M459" s="85"/>
      <c r="N459" s="86"/>
      <c r="O459" s="86"/>
      <c r="P459" s="86" t="n">
        <f aca="false">N459*O459</f>
        <v>0</v>
      </c>
      <c r="Q459" s="86"/>
      <c r="R459" s="87" t="n">
        <f aca="false">(O459*N459)+Q459</f>
        <v>0</v>
      </c>
      <c r="S459" s="91"/>
    </row>
    <row r="460" customFormat="false" ht="14.25" hidden="false" customHeight="false" outlineLevel="0" collapsed="false">
      <c r="A460" s="77"/>
      <c r="B460" s="78"/>
      <c r="C460" s="79"/>
      <c r="D460" s="79"/>
      <c r="E460" s="80" t="str">
        <f aca="false">_xlfn.IFNA(VLOOKUP(C460,'بيانات الآليات '!A:G,4,FALSE()),"")</f>
        <v/>
      </c>
      <c r="F460" s="81" t="str">
        <f aca="false">_xlfn.IFNA(VLOOKUP(C460,'بيانات الآليات '!A:G,2,FALSE()),"")</f>
        <v/>
      </c>
      <c r="G460" s="81"/>
      <c r="H460" s="81" t="str">
        <f aca="false">_xlfn.IFNA(VLOOKUP(C460,'بيانات الآليات '!A:G,5,FALSE()),"")</f>
        <v/>
      </c>
      <c r="I460" s="82"/>
      <c r="J460" s="83" t="str">
        <f aca="false">_xlfn.IFNA(VLOOKUP(I460,Table14543[],2,FALSE()),"")</f>
        <v/>
      </c>
      <c r="K460" s="84" t="str">
        <f aca="false">_xlfn.IFNA(VLOOKUP(I460,Table14543[],3,FALSE()),"")</f>
        <v/>
      </c>
      <c r="L460" s="83" t="str">
        <f aca="false">CONCATENATE("",I460,""," ",J460," ",K460)</f>
        <v>  </v>
      </c>
      <c r="M460" s="85"/>
      <c r="N460" s="86"/>
      <c r="O460" s="86"/>
      <c r="P460" s="86" t="n">
        <f aca="false">N460*O460</f>
        <v>0</v>
      </c>
      <c r="Q460" s="86"/>
      <c r="R460" s="87" t="n">
        <f aca="false">(O460*N460)+Q460</f>
        <v>0</v>
      </c>
      <c r="S460" s="91"/>
    </row>
    <row r="461" customFormat="false" ht="14.25" hidden="false" customHeight="false" outlineLevel="0" collapsed="false">
      <c r="A461" s="77"/>
      <c r="B461" s="78"/>
      <c r="C461" s="79"/>
      <c r="D461" s="79"/>
      <c r="E461" s="80" t="str">
        <f aca="false">_xlfn.IFNA(VLOOKUP(C461,'بيانات الآليات '!A:G,4,FALSE()),"")</f>
        <v/>
      </c>
      <c r="F461" s="81" t="str">
        <f aca="false">_xlfn.IFNA(VLOOKUP(C461,'بيانات الآليات '!A:G,2,FALSE()),"")</f>
        <v/>
      </c>
      <c r="G461" s="81"/>
      <c r="H461" s="81" t="str">
        <f aca="false">_xlfn.IFNA(VLOOKUP(C461,'بيانات الآليات '!A:G,5,FALSE()),"")</f>
        <v/>
      </c>
      <c r="I461" s="82"/>
      <c r="J461" s="83" t="str">
        <f aca="false">_xlfn.IFNA(VLOOKUP(I461,Table14543[],2,FALSE()),"")</f>
        <v/>
      </c>
      <c r="K461" s="84" t="str">
        <f aca="false">_xlfn.IFNA(VLOOKUP(I461,Table14543[],3,FALSE()),"")</f>
        <v/>
      </c>
      <c r="L461" s="83" t="str">
        <f aca="false">CONCATENATE("",I461,""," ",J461," ",K461)</f>
        <v>  </v>
      </c>
      <c r="M461" s="85"/>
      <c r="N461" s="86"/>
      <c r="O461" s="86"/>
      <c r="P461" s="86" t="n">
        <f aca="false">N461*O461</f>
        <v>0</v>
      </c>
      <c r="Q461" s="86"/>
      <c r="R461" s="87" t="n">
        <f aca="false">(O461*N461)+Q461</f>
        <v>0</v>
      </c>
      <c r="S461" s="91"/>
    </row>
    <row r="462" customFormat="false" ht="14.25" hidden="false" customHeight="false" outlineLevel="0" collapsed="false">
      <c r="A462" s="77"/>
      <c r="B462" s="78"/>
      <c r="C462" s="79"/>
      <c r="D462" s="79"/>
      <c r="E462" s="80" t="str">
        <f aca="false">_xlfn.IFNA(VLOOKUP(C462,'بيانات الآليات '!A:G,4,FALSE()),"")</f>
        <v/>
      </c>
      <c r="F462" s="81" t="str">
        <f aca="false">_xlfn.IFNA(VLOOKUP(C462,'بيانات الآليات '!A:G,2,FALSE()),"")</f>
        <v/>
      </c>
      <c r="G462" s="81"/>
      <c r="H462" s="81" t="str">
        <f aca="false">_xlfn.IFNA(VLOOKUP(C462,'بيانات الآليات '!A:G,5,FALSE()),"")</f>
        <v/>
      </c>
      <c r="I462" s="82"/>
      <c r="J462" s="83" t="str">
        <f aca="false">_xlfn.IFNA(VLOOKUP(I462,Table14543[],2,FALSE()),"")</f>
        <v/>
      </c>
      <c r="K462" s="84" t="str">
        <f aca="false">_xlfn.IFNA(VLOOKUP(I462,Table14543[],3,FALSE()),"")</f>
        <v/>
      </c>
      <c r="L462" s="83" t="str">
        <f aca="false">CONCATENATE("",I462,""," ",J462," ",K462)</f>
        <v>  </v>
      </c>
      <c r="M462" s="85"/>
      <c r="N462" s="86"/>
      <c r="O462" s="86"/>
      <c r="P462" s="86" t="n">
        <f aca="false">N462*O462</f>
        <v>0</v>
      </c>
      <c r="Q462" s="86"/>
      <c r="R462" s="87" t="n">
        <f aca="false">(O462*N462)+Q462</f>
        <v>0</v>
      </c>
      <c r="S462" s="91"/>
    </row>
    <row r="463" customFormat="false" ht="14.25" hidden="false" customHeight="false" outlineLevel="0" collapsed="false">
      <c r="A463" s="77"/>
      <c r="B463" s="78"/>
      <c r="C463" s="79"/>
      <c r="D463" s="79"/>
      <c r="E463" s="80" t="str">
        <f aca="false">_xlfn.IFNA(VLOOKUP(C463,'بيانات الآليات '!A:G,4,FALSE()),"")</f>
        <v/>
      </c>
      <c r="F463" s="81" t="str">
        <f aca="false">_xlfn.IFNA(VLOOKUP(C463,'بيانات الآليات '!A:G,2,FALSE()),"")</f>
        <v/>
      </c>
      <c r="G463" s="81"/>
      <c r="H463" s="81" t="str">
        <f aca="false">_xlfn.IFNA(VLOOKUP(C463,'بيانات الآليات '!A:G,5,FALSE()),"")</f>
        <v/>
      </c>
      <c r="I463" s="82"/>
      <c r="J463" s="83" t="str">
        <f aca="false">_xlfn.IFNA(VLOOKUP(I463,Table14543[],2,FALSE()),"")</f>
        <v/>
      </c>
      <c r="K463" s="84" t="str">
        <f aca="false">_xlfn.IFNA(VLOOKUP(I463,Table14543[],3,FALSE()),"")</f>
        <v/>
      </c>
      <c r="L463" s="83" t="str">
        <f aca="false">CONCATENATE("",I463,""," ",J463," ",K463)</f>
        <v>  </v>
      </c>
      <c r="M463" s="85"/>
      <c r="N463" s="86"/>
      <c r="O463" s="86"/>
      <c r="P463" s="86" t="n">
        <f aca="false">N463*O463</f>
        <v>0</v>
      </c>
      <c r="Q463" s="86"/>
      <c r="R463" s="87" t="n">
        <f aca="false">(O463*N463)+Q463</f>
        <v>0</v>
      </c>
      <c r="S463" s="91"/>
    </row>
    <row r="464" customFormat="false" ht="14.25" hidden="false" customHeight="false" outlineLevel="0" collapsed="false">
      <c r="A464" s="77"/>
      <c r="B464" s="78"/>
      <c r="C464" s="79"/>
      <c r="D464" s="79"/>
      <c r="E464" s="80" t="str">
        <f aca="false">_xlfn.IFNA(VLOOKUP(C464,'بيانات الآليات '!A:G,4,FALSE()),"")</f>
        <v/>
      </c>
      <c r="F464" s="81" t="str">
        <f aca="false">_xlfn.IFNA(VLOOKUP(C464,'بيانات الآليات '!A:G,2,FALSE()),"")</f>
        <v/>
      </c>
      <c r="G464" s="81"/>
      <c r="H464" s="81" t="str">
        <f aca="false">_xlfn.IFNA(VLOOKUP(C464,'بيانات الآليات '!A:G,5,FALSE()),"")</f>
        <v/>
      </c>
      <c r="I464" s="82"/>
      <c r="J464" s="83" t="str">
        <f aca="false">_xlfn.IFNA(VLOOKUP(I464,Table14543[],2,FALSE()),"")</f>
        <v/>
      </c>
      <c r="K464" s="84" t="str">
        <f aca="false">_xlfn.IFNA(VLOOKUP(I464,Table14543[],3,FALSE()),"")</f>
        <v/>
      </c>
      <c r="L464" s="83" t="str">
        <f aca="false">CONCATENATE("",I464,""," ",J464," ",K464)</f>
        <v>  </v>
      </c>
      <c r="M464" s="85"/>
      <c r="N464" s="86"/>
      <c r="O464" s="86"/>
      <c r="P464" s="86" t="n">
        <f aca="false">N464*O464</f>
        <v>0</v>
      </c>
      <c r="Q464" s="86"/>
      <c r="R464" s="87" t="n">
        <f aca="false">(O464*N464)+Q464</f>
        <v>0</v>
      </c>
      <c r="S464" s="91"/>
    </row>
    <row r="465" customFormat="false" ht="14.25" hidden="false" customHeight="false" outlineLevel="0" collapsed="false">
      <c r="A465" s="77"/>
      <c r="B465" s="78"/>
      <c r="C465" s="79"/>
      <c r="D465" s="79"/>
      <c r="E465" s="80" t="str">
        <f aca="false">_xlfn.IFNA(VLOOKUP(C465,'بيانات الآليات '!A:G,4,FALSE()),"")</f>
        <v/>
      </c>
      <c r="F465" s="81" t="str">
        <f aca="false">_xlfn.IFNA(VLOOKUP(C465,'بيانات الآليات '!A:G,2,FALSE()),"")</f>
        <v/>
      </c>
      <c r="G465" s="81"/>
      <c r="H465" s="81" t="str">
        <f aca="false">_xlfn.IFNA(VLOOKUP(C465,'بيانات الآليات '!A:G,5,FALSE()),"")</f>
        <v/>
      </c>
      <c r="I465" s="82"/>
      <c r="J465" s="83" t="str">
        <f aca="false">_xlfn.IFNA(VLOOKUP(I465,Table14543[],2,FALSE()),"")</f>
        <v/>
      </c>
      <c r="K465" s="84" t="str">
        <f aca="false">_xlfn.IFNA(VLOOKUP(I465,Table14543[],3,FALSE()),"")</f>
        <v/>
      </c>
      <c r="L465" s="83" t="str">
        <f aca="false">CONCATENATE("",I465,""," ",J465," ",K465)</f>
        <v>  </v>
      </c>
      <c r="M465" s="85"/>
      <c r="N465" s="86"/>
      <c r="O465" s="86"/>
      <c r="P465" s="86" t="n">
        <f aca="false">N465*O465</f>
        <v>0</v>
      </c>
      <c r="Q465" s="86"/>
      <c r="R465" s="87" t="n">
        <f aca="false">(O465*N465)+Q465</f>
        <v>0</v>
      </c>
      <c r="S465" s="91"/>
    </row>
    <row r="466" customFormat="false" ht="14.25" hidden="false" customHeight="false" outlineLevel="0" collapsed="false">
      <c r="A466" s="77"/>
      <c r="B466" s="78"/>
      <c r="C466" s="79"/>
      <c r="D466" s="79"/>
      <c r="E466" s="80" t="str">
        <f aca="false">_xlfn.IFNA(VLOOKUP(C466,'بيانات الآليات '!A:G,4,FALSE()),"")</f>
        <v/>
      </c>
      <c r="F466" s="81" t="str">
        <f aca="false">_xlfn.IFNA(VLOOKUP(C466,'بيانات الآليات '!A:G,2,FALSE()),"")</f>
        <v/>
      </c>
      <c r="G466" s="81"/>
      <c r="H466" s="81" t="str">
        <f aca="false">_xlfn.IFNA(VLOOKUP(C466,'بيانات الآليات '!A:G,5,FALSE()),"")</f>
        <v/>
      </c>
      <c r="I466" s="82"/>
      <c r="J466" s="83" t="str">
        <f aca="false">_xlfn.IFNA(VLOOKUP(I466,Table14543[],2,FALSE()),"")</f>
        <v/>
      </c>
      <c r="K466" s="84" t="str">
        <f aca="false">_xlfn.IFNA(VLOOKUP(I466,Table14543[],3,FALSE()),"")</f>
        <v/>
      </c>
      <c r="L466" s="83" t="str">
        <f aca="false">CONCATENATE("",I466,""," ",J466," ",K466)</f>
        <v>  </v>
      </c>
      <c r="M466" s="85"/>
      <c r="N466" s="86"/>
      <c r="O466" s="86"/>
      <c r="P466" s="86" t="n">
        <f aca="false">N466*O466</f>
        <v>0</v>
      </c>
      <c r="Q466" s="86"/>
      <c r="R466" s="87" t="n">
        <f aca="false">(O466*N466)+Q466</f>
        <v>0</v>
      </c>
      <c r="S466" s="91"/>
    </row>
    <row r="467" customFormat="false" ht="14.25" hidden="false" customHeight="false" outlineLevel="0" collapsed="false">
      <c r="A467" s="77"/>
      <c r="B467" s="78"/>
      <c r="C467" s="79"/>
      <c r="D467" s="79"/>
      <c r="E467" s="80" t="str">
        <f aca="false">_xlfn.IFNA(VLOOKUP(C467,'بيانات الآليات '!A:G,4,FALSE()),"")</f>
        <v/>
      </c>
      <c r="F467" s="81" t="str">
        <f aca="false">_xlfn.IFNA(VLOOKUP(C467,'بيانات الآليات '!A:G,2,FALSE()),"")</f>
        <v/>
      </c>
      <c r="G467" s="81"/>
      <c r="H467" s="81" t="str">
        <f aca="false">_xlfn.IFNA(VLOOKUP(C467,'بيانات الآليات '!A:G,5,FALSE()),"")</f>
        <v/>
      </c>
      <c r="I467" s="82"/>
      <c r="J467" s="83" t="str">
        <f aca="false">_xlfn.IFNA(VLOOKUP(I467,Table14543[],2,FALSE()),"")</f>
        <v/>
      </c>
      <c r="K467" s="84" t="str">
        <f aca="false">_xlfn.IFNA(VLOOKUP(I467,Table14543[],3,FALSE()),"")</f>
        <v/>
      </c>
      <c r="L467" s="83" t="str">
        <f aca="false">CONCATENATE("",I467,""," ",J467," ",K467)</f>
        <v>  </v>
      </c>
      <c r="M467" s="85"/>
      <c r="N467" s="86"/>
      <c r="O467" s="86"/>
      <c r="P467" s="86" t="n">
        <f aca="false">N467*O467</f>
        <v>0</v>
      </c>
      <c r="Q467" s="86"/>
      <c r="R467" s="87" t="n">
        <f aca="false">(O467*N467)+Q467</f>
        <v>0</v>
      </c>
      <c r="S467" s="91"/>
    </row>
    <row r="468" customFormat="false" ht="14.25" hidden="false" customHeight="false" outlineLevel="0" collapsed="false">
      <c r="A468" s="77"/>
      <c r="B468" s="78"/>
      <c r="C468" s="79"/>
      <c r="D468" s="79"/>
      <c r="E468" s="80" t="str">
        <f aca="false">_xlfn.IFNA(VLOOKUP(C468,'بيانات الآليات '!A:G,4,FALSE()),"")</f>
        <v/>
      </c>
      <c r="F468" s="81" t="str">
        <f aca="false">_xlfn.IFNA(VLOOKUP(C468,'بيانات الآليات '!A:G,2,FALSE()),"")</f>
        <v/>
      </c>
      <c r="G468" s="81"/>
      <c r="H468" s="81" t="str">
        <f aca="false">_xlfn.IFNA(VLOOKUP(C468,'بيانات الآليات '!A:G,5,FALSE()),"")</f>
        <v/>
      </c>
      <c r="I468" s="82"/>
      <c r="J468" s="83" t="str">
        <f aca="false">_xlfn.IFNA(VLOOKUP(I468,Table14543[],2,FALSE()),"")</f>
        <v/>
      </c>
      <c r="K468" s="84" t="str">
        <f aca="false">_xlfn.IFNA(VLOOKUP(I468,Table14543[],3,FALSE()),"")</f>
        <v/>
      </c>
      <c r="L468" s="83" t="str">
        <f aca="false">CONCATENATE("",I468,""," ",J468," ",K468)</f>
        <v>  </v>
      </c>
      <c r="M468" s="85"/>
      <c r="N468" s="86"/>
      <c r="O468" s="86"/>
      <c r="P468" s="86" t="n">
        <f aca="false">N468*O468</f>
        <v>0</v>
      </c>
      <c r="Q468" s="86"/>
      <c r="R468" s="87" t="n">
        <f aca="false">(O468*N468)+Q468</f>
        <v>0</v>
      </c>
      <c r="S468" s="91"/>
    </row>
    <row r="469" customFormat="false" ht="14.25" hidden="false" customHeight="false" outlineLevel="0" collapsed="false">
      <c r="A469" s="77"/>
      <c r="B469" s="78"/>
      <c r="C469" s="79"/>
      <c r="D469" s="79"/>
      <c r="E469" s="80" t="str">
        <f aca="false">_xlfn.IFNA(VLOOKUP(C469,'بيانات الآليات '!A:G,4,FALSE()),"")</f>
        <v/>
      </c>
      <c r="F469" s="81" t="str">
        <f aca="false">_xlfn.IFNA(VLOOKUP(C469,'بيانات الآليات '!A:G,2,FALSE()),"")</f>
        <v/>
      </c>
      <c r="G469" s="81"/>
      <c r="H469" s="81" t="str">
        <f aca="false">_xlfn.IFNA(VLOOKUP(C469,'بيانات الآليات '!A:G,5,FALSE()),"")</f>
        <v/>
      </c>
      <c r="I469" s="82"/>
      <c r="J469" s="83" t="str">
        <f aca="false">_xlfn.IFNA(VLOOKUP(I469,Table14543[],2,FALSE()),"")</f>
        <v/>
      </c>
      <c r="K469" s="84" t="str">
        <f aca="false">_xlfn.IFNA(VLOOKUP(I469,Table14543[],3,FALSE()),"")</f>
        <v/>
      </c>
      <c r="L469" s="83" t="str">
        <f aca="false">CONCATENATE("",I469,""," ",J469," ",K469)</f>
        <v>  </v>
      </c>
      <c r="M469" s="85"/>
      <c r="N469" s="86"/>
      <c r="O469" s="86"/>
      <c r="P469" s="86" t="n">
        <f aca="false">N469*O469</f>
        <v>0</v>
      </c>
      <c r="Q469" s="86"/>
      <c r="R469" s="87" t="n">
        <f aca="false">(O469*N469)+Q469</f>
        <v>0</v>
      </c>
      <c r="S469" s="91"/>
    </row>
    <row r="470" customFormat="false" ht="14.25" hidden="false" customHeight="false" outlineLevel="0" collapsed="false">
      <c r="A470" s="77"/>
      <c r="B470" s="78"/>
      <c r="C470" s="79"/>
      <c r="D470" s="79"/>
      <c r="E470" s="80" t="str">
        <f aca="false">_xlfn.IFNA(VLOOKUP(C470,'بيانات الآليات '!A:G,4,FALSE()),"")</f>
        <v/>
      </c>
      <c r="F470" s="81" t="str">
        <f aca="false">_xlfn.IFNA(VLOOKUP(C470,'بيانات الآليات '!A:G,2,FALSE()),"")</f>
        <v/>
      </c>
      <c r="G470" s="81"/>
      <c r="H470" s="81" t="str">
        <f aca="false">_xlfn.IFNA(VLOOKUP(C470,'بيانات الآليات '!A:G,5,FALSE()),"")</f>
        <v/>
      </c>
      <c r="I470" s="82"/>
      <c r="J470" s="83" t="str">
        <f aca="false">_xlfn.IFNA(VLOOKUP(I470,Table14543[],2,FALSE()),"")</f>
        <v/>
      </c>
      <c r="K470" s="84" t="str">
        <f aca="false">_xlfn.IFNA(VLOOKUP(I470,Table14543[],3,FALSE()),"")</f>
        <v/>
      </c>
      <c r="L470" s="83" t="str">
        <f aca="false">CONCATENATE("",I470,""," ",J470," ",K470)</f>
        <v>  </v>
      </c>
      <c r="M470" s="85"/>
      <c r="N470" s="86"/>
      <c r="O470" s="86"/>
      <c r="P470" s="86" t="n">
        <f aca="false">N470*O470</f>
        <v>0</v>
      </c>
      <c r="Q470" s="86"/>
      <c r="R470" s="87" t="n">
        <f aca="false">(O470*N470)+Q470</f>
        <v>0</v>
      </c>
      <c r="S470" s="91"/>
    </row>
    <row r="471" customFormat="false" ht="14.25" hidden="false" customHeight="false" outlineLevel="0" collapsed="false">
      <c r="A471" s="77"/>
      <c r="B471" s="78"/>
      <c r="C471" s="79"/>
      <c r="D471" s="79"/>
      <c r="E471" s="80" t="str">
        <f aca="false">_xlfn.IFNA(VLOOKUP(C471,'بيانات الآليات '!A:G,4,FALSE()),"")</f>
        <v/>
      </c>
      <c r="F471" s="81" t="str">
        <f aca="false">_xlfn.IFNA(VLOOKUP(C471,'بيانات الآليات '!A:G,2,FALSE()),"")</f>
        <v/>
      </c>
      <c r="G471" s="81"/>
      <c r="H471" s="81" t="str">
        <f aca="false">_xlfn.IFNA(VLOOKUP(C471,'بيانات الآليات '!A:G,5,FALSE()),"")</f>
        <v/>
      </c>
      <c r="I471" s="82"/>
      <c r="J471" s="83" t="str">
        <f aca="false">_xlfn.IFNA(VLOOKUP(I471,Table14543[],2,FALSE()),"")</f>
        <v/>
      </c>
      <c r="K471" s="84" t="str">
        <f aca="false">_xlfn.IFNA(VLOOKUP(I471,Table14543[],3,FALSE()),"")</f>
        <v/>
      </c>
      <c r="L471" s="83" t="str">
        <f aca="false">CONCATENATE("",I471,""," ",J471," ",K471)</f>
        <v>  </v>
      </c>
      <c r="M471" s="85"/>
      <c r="N471" s="86"/>
      <c r="O471" s="86"/>
      <c r="P471" s="86" t="n">
        <f aca="false">N471*O471</f>
        <v>0</v>
      </c>
      <c r="Q471" s="86"/>
      <c r="R471" s="87" t="n">
        <f aca="false">(O471*N471)+Q471</f>
        <v>0</v>
      </c>
      <c r="S471" s="91"/>
    </row>
    <row r="472" customFormat="false" ht="14.25" hidden="false" customHeight="false" outlineLevel="0" collapsed="false">
      <c r="A472" s="77"/>
      <c r="B472" s="78"/>
      <c r="C472" s="79"/>
      <c r="D472" s="79"/>
      <c r="E472" s="80" t="str">
        <f aca="false">_xlfn.IFNA(VLOOKUP(C472,'بيانات الآليات '!A:G,4,FALSE()),"")</f>
        <v/>
      </c>
      <c r="F472" s="81" t="str">
        <f aca="false">_xlfn.IFNA(VLOOKUP(C472,'بيانات الآليات '!A:G,2,FALSE()),"")</f>
        <v/>
      </c>
      <c r="G472" s="81"/>
      <c r="H472" s="81" t="str">
        <f aca="false">_xlfn.IFNA(VLOOKUP(C472,'بيانات الآليات '!A:G,5,FALSE()),"")</f>
        <v/>
      </c>
      <c r="I472" s="82"/>
      <c r="J472" s="83" t="str">
        <f aca="false">_xlfn.IFNA(VLOOKUP(I472,Table14543[],2,FALSE()),"")</f>
        <v/>
      </c>
      <c r="K472" s="84" t="str">
        <f aca="false">_xlfn.IFNA(VLOOKUP(I472,Table14543[],3,FALSE()),"")</f>
        <v/>
      </c>
      <c r="L472" s="83" t="str">
        <f aca="false">CONCATENATE("",I472,""," ",J472," ",K472)</f>
        <v>  </v>
      </c>
      <c r="M472" s="85"/>
      <c r="N472" s="86"/>
      <c r="O472" s="86"/>
      <c r="P472" s="86" t="n">
        <f aca="false">N472*O472</f>
        <v>0</v>
      </c>
      <c r="Q472" s="86"/>
      <c r="R472" s="87" t="n">
        <f aca="false">(O472*N472)+Q472</f>
        <v>0</v>
      </c>
      <c r="S472" s="91"/>
    </row>
    <row r="473" customFormat="false" ht="14.25" hidden="false" customHeight="false" outlineLevel="0" collapsed="false">
      <c r="A473" s="77"/>
      <c r="B473" s="78"/>
      <c r="C473" s="79"/>
      <c r="D473" s="79"/>
      <c r="E473" s="80" t="str">
        <f aca="false">_xlfn.IFNA(VLOOKUP(C473,'بيانات الآليات '!A:G,4,FALSE()),"")</f>
        <v/>
      </c>
      <c r="F473" s="81" t="str">
        <f aca="false">_xlfn.IFNA(VLOOKUP(C473,'بيانات الآليات '!A:G,2,FALSE()),"")</f>
        <v/>
      </c>
      <c r="G473" s="81"/>
      <c r="H473" s="81" t="str">
        <f aca="false">_xlfn.IFNA(VLOOKUP(C473,'بيانات الآليات '!A:G,5,FALSE()),"")</f>
        <v/>
      </c>
      <c r="I473" s="82"/>
      <c r="J473" s="83" t="str">
        <f aca="false">_xlfn.IFNA(VLOOKUP(I473,Table14543[],2,FALSE()),"")</f>
        <v/>
      </c>
      <c r="K473" s="84" t="str">
        <f aca="false">_xlfn.IFNA(VLOOKUP(I473,Table14543[],3,FALSE()),"")</f>
        <v/>
      </c>
      <c r="L473" s="83" t="str">
        <f aca="false">CONCATENATE("",I473,""," ",J473," ",K473)</f>
        <v>  </v>
      </c>
      <c r="M473" s="85"/>
      <c r="N473" s="86"/>
      <c r="O473" s="86"/>
      <c r="P473" s="86" t="n">
        <f aca="false">N473*O473</f>
        <v>0</v>
      </c>
      <c r="Q473" s="86"/>
      <c r="R473" s="87" t="n">
        <f aca="false">(O473*N473)+Q473</f>
        <v>0</v>
      </c>
      <c r="S473" s="91"/>
    </row>
    <row r="474" customFormat="false" ht="14.25" hidden="false" customHeight="false" outlineLevel="0" collapsed="false">
      <c r="A474" s="77"/>
      <c r="B474" s="78"/>
      <c r="C474" s="79"/>
      <c r="D474" s="79"/>
      <c r="E474" s="80" t="str">
        <f aca="false">_xlfn.IFNA(VLOOKUP(C474,'بيانات الآليات '!A:G,4,FALSE()),"")</f>
        <v/>
      </c>
      <c r="F474" s="81" t="str">
        <f aca="false">_xlfn.IFNA(VLOOKUP(C474,'بيانات الآليات '!A:G,2,FALSE()),"")</f>
        <v/>
      </c>
      <c r="G474" s="81"/>
      <c r="H474" s="81" t="str">
        <f aca="false">_xlfn.IFNA(VLOOKUP(C474,'بيانات الآليات '!A:G,5,FALSE()),"")</f>
        <v/>
      </c>
      <c r="I474" s="82"/>
      <c r="J474" s="83" t="str">
        <f aca="false">_xlfn.IFNA(VLOOKUP(I474,Table14543[],2,FALSE()),"")</f>
        <v/>
      </c>
      <c r="K474" s="84" t="str">
        <f aca="false">_xlfn.IFNA(VLOOKUP(I474,Table14543[],3,FALSE()),"")</f>
        <v/>
      </c>
      <c r="L474" s="83" t="str">
        <f aca="false">CONCATENATE("",I474,""," ",J474," ",K474)</f>
        <v>  </v>
      </c>
      <c r="M474" s="85"/>
      <c r="N474" s="86"/>
      <c r="O474" s="86"/>
      <c r="P474" s="86" t="n">
        <f aca="false">N474*O474</f>
        <v>0</v>
      </c>
      <c r="Q474" s="86"/>
      <c r="R474" s="87" t="n">
        <f aca="false">(O474*N474)+Q474</f>
        <v>0</v>
      </c>
      <c r="S474" s="91"/>
    </row>
    <row r="475" customFormat="false" ht="14.25" hidden="false" customHeight="false" outlineLevel="0" collapsed="false">
      <c r="A475" s="77"/>
      <c r="B475" s="78"/>
      <c r="C475" s="79"/>
      <c r="D475" s="79"/>
      <c r="E475" s="80" t="str">
        <f aca="false">_xlfn.IFNA(VLOOKUP(C475,'بيانات الآليات '!A:G,4,FALSE()),"")</f>
        <v/>
      </c>
      <c r="F475" s="81" t="str">
        <f aca="false">_xlfn.IFNA(VLOOKUP(C475,'بيانات الآليات '!A:G,2,FALSE()),"")</f>
        <v/>
      </c>
      <c r="G475" s="81"/>
      <c r="H475" s="81" t="str">
        <f aca="false">_xlfn.IFNA(VLOOKUP(C475,'بيانات الآليات '!A:G,5,FALSE()),"")</f>
        <v/>
      </c>
      <c r="I475" s="82"/>
      <c r="J475" s="83" t="str">
        <f aca="false">_xlfn.IFNA(VLOOKUP(I475,Table14543[],2,FALSE()),"")</f>
        <v/>
      </c>
      <c r="K475" s="84" t="str">
        <f aca="false">_xlfn.IFNA(VLOOKUP(I475,Table14543[],3,FALSE()),"")</f>
        <v/>
      </c>
      <c r="L475" s="83" t="str">
        <f aca="false">CONCATENATE("",I475,""," ",J475," ",K475)</f>
        <v>  </v>
      </c>
      <c r="M475" s="85"/>
      <c r="N475" s="86"/>
      <c r="O475" s="86"/>
      <c r="P475" s="86" t="n">
        <f aca="false">N475*O475</f>
        <v>0</v>
      </c>
      <c r="Q475" s="86"/>
      <c r="R475" s="87" t="n">
        <f aca="false">(O475*N475)+Q475</f>
        <v>0</v>
      </c>
      <c r="S475" s="91"/>
    </row>
    <row r="476" customFormat="false" ht="14.25" hidden="false" customHeight="false" outlineLevel="0" collapsed="false">
      <c r="A476" s="77"/>
      <c r="B476" s="78"/>
      <c r="C476" s="79"/>
      <c r="D476" s="79"/>
      <c r="E476" s="80" t="str">
        <f aca="false">_xlfn.IFNA(VLOOKUP(C476,'بيانات الآليات '!A:G,4,FALSE()),"")</f>
        <v/>
      </c>
      <c r="F476" s="81" t="str">
        <f aca="false">_xlfn.IFNA(VLOOKUP(C476,'بيانات الآليات '!A:G,2,FALSE()),"")</f>
        <v/>
      </c>
      <c r="G476" s="81"/>
      <c r="H476" s="81" t="str">
        <f aca="false">_xlfn.IFNA(VLOOKUP(C476,'بيانات الآليات '!A:G,5,FALSE()),"")</f>
        <v/>
      </c>
      <c r="I476" s="82"/>
      <c r="J476" s="83" t="str">
        <f aca="false">_xlfn.IFNA(VLOOKUP(I476,Table14543[],2,FALSE()),"")</f>
        <v/>
      </c>
      <c r="K476" s="84" t="str">
        <f aca="false">_xlfn.IFNA(VLOOKUP(I476,Table14543[],3,FALSE()),"")</f>
        <v/>
      </c>
      <c r="L476" s="83" t="str">
        <f aca="false">CONCATENATE("",I476,""," ",J476," ",K476)</f>
        <v>  </v>
      </c>
      <c r="M476" s="85"/>
      <c r="N476" s="86"/>
      <c r="O476" s="86"/>
      <c r="P476" s="86" t="n">
        <f aca="false">N476*O476</f>
        <v>0</v>
      </c>
      <c r="Q476" s="86"/>
      <c r="R476" s="87" t="n">
        <f aca="false">(O476*N476)+Q476</f>
        <v>0</v>
      </c>
      <c r="S476" s="91"/>
    </row>
    <row r="477" customFormat="false" ht="14.25" hidden="false" customHeight="false" outlineLevel="0" collapsed="false">
      <c r="A477" s="77"/>
      <c r="B477" s="78"/>
      <c r="C477" s="79"/>
      <c r="D477" s="79"/>
      <c r="E477" s="80" t="str">
        <f aca="false">_xlfn.IFNA(VLOOKUP(C477,'بيانات الآليات '!A:G,4,FALSE()),"")</f>
        <v/>
      </c>
      <c r="F477" s="81" t="str">
        <f aca="false">_xlfn.IFNA(VLOOKUP(C477,'بيانات الآليات '!A:G,2,FALSE()),"")</f>
        <v/>
      </c>
      <c r="G477" s="81"/>
      <c r="H477" s="81" t="str">
        <f aca="false">_xlfn.IFNA(VLOOKUP(C477,'بيانات الآليات '!A:G,5,FALSE()),"")</f>
        <v/>
      </c>
      <c r="I477" s="82"/>
      <c r="J477" s="83" t="str">
        <f aca="false">_xlfn.IFNA(VLOOKUP(I477,Table14543[],2,FALSE()),"")</f>
        <v/>
      </c>
      <c r="K477" s="84" t="str">
        <f aca="false">_xlfn.IFNA(VLOOKUP(I477,Table14543[],3,FALSE()),"")</f>
        <v/>
      </c>
      <c r="L477" s="83" t="str">
        <f aca="false">CONCATENATE("",I477,""," ",J477," ",K477)</f>
        <v>  </v>
      </c>
      <c r="M477" s="85"/>
      <c r="N477" s="86"/>
      <c r="O477" s="86"/>
      <c r="P477" s="86" t="n">
        <f aca="false">N477*O477</f>
        <v>0</v>
      </c>
      <c r="Q477" s="86"/>
      <c r="R477" s="87" t="n">
        <f aca="false">(O477*N477)+Q477</f>
        <v>0</v>
      </c>
      <c r="S477" s="91"/>
    </row>
    <row r="478" customFormat="false" ht="14.25" hidden="false" customHeight="false" outlineLevel="0" collapsed="false">
      <c r="A478" s="77"/>
      <c r="B478" s="78"/>
      <c r="C478" s="79"/>
      <c r="D478" s="79"/>
      <c r="E478" s="80" t="str">
        <f aca="false">_xlfn.IFNA(VLOOKUP(C478,'بيانات الآليات '!A:G,4,FALSE()),"")</f>
        <v/>
      </c>
      <c r="F478" s="81" t="str">
        <f aca="false">_xlfn.IFNA(VLOOKUP(C478,'بيانات الآليات '!A:G,2,FALSE()),"")</f>
        <v/>
      </c>
      <c r="G478" s="81"/>
      <c r="H478" s="81" t="str">
        <f aca="false">_xlfn.IFNA(VLOOKUP(C478,'بيانات الآليات '!A:G,5,FALSE()),"")</f>
        <v/>
      </c>
      <c r="I478" s="82"/>
      <c r="J478" s="83" t="str">
        <f aca="false">_xlfn.IFNA(VLOOKUP(I478,Table14543[],2,FALSE()),"")</f>
        <v/>
      </c>
      <c r="K478" s="84" t="str">
        <f aca="false">_xlfn.IFNA(VLOOKUP(I478,Table14543[],3,FALSE()),"")</f>
        <v/>
      </c>
      <c r="L478" s="83" t="str">
        <f aca="false">CONCATENATE("",I478,""," ",J478," ",K478)</f>
        <v>  </v>
      </c>
      <c r="M478" s="85"/>
      <c r="N478" s="86"/>
      <c r="O478" s="86"/>
      <c r="P478" s="86" t="n">
        <f aca="false">N478*O478</f>
        <v>0</v>
      </c>
      <c r="Q478" s="86"/>
      <c r="R478" s="87" t="n">
        <f aca="false">(O478*N478)+Q478</f>
        <v>0</v>
      </c>
      <c r="S478" s="91"/>
    </row>
    <row r="479" customFormat="false" ht="14.25" hidden="false" customHeight="false" outlineLevel="0" collapsed="false">
      <c r="A479" s="77"/>
      <c r="B479" s="78"/>
      <c r="C479" s="79"/>
      <c r="D479" s="79"/>
      <c r="E479" s="80" t="str">
        <f aca="false">_xlfn.IFNA(VLOOKUP(C479,'بيانات الآليات '!A:G,4,FALSE()),"")</f>
        <v/>
      </c>
      <c r="F479" s="81" t="str">
        <f aca="false">_xlfn.IFNA(VLOOKUP(C479,'بيانات الآليات '!A:G,2,FALSE()),"")</f>
        <v/>
      </c>
      <c r="G479" s="81"/>
      <c r="H479" s="81" t="str">
        <f aca="false">_xlfn.IFNA(VLOOKUP(C479,'بيانات الآليات '!A:G,5,FALSE()),"")</f>
        <v/>
      </c>
      <c r="I479" s="82"/>
      <c r="J479" s="83" t="str">
        <f aca="false">_xlfn.IFNA(VLOOKUP(I479,Table14543[],2,FALSE()),"")</f>
        <v/>
      </c>
      <c r="K479" s="84" t="str">
        <f aca="false">_xlfn.IFNA(VLOOKUP(I479,Table14543[],3,FALSE()),"")</f>
        <v/>
      </c>
      <c r="L479" s="83" t="str">
        <f aca="false">CONCATENATE("",I479,""," ",J479," ",K479)</f>
        <v>  </v>
      </c>
      <c r="M479" s="85"/>
      <c r="N479" s="86"/>
      <c r="O479" s="86"/>
      <c r="P479" s="86" t="n">
        <f aca="false">N479*O479</f>
        <v>0</v>
      </c>
      <c r="Q479" s="86"/>
      <c r="R479" s="87" t="n">
        <f aca="false">(O479*N479)+Q479</f>
        <v>0</v>
      </c>
      <c r="S479" s="91"/>
    </row>
    <row r="480" customFormat="false" ht="14.25" hidden="false" customHeight="false" outlineLevel="0" collapsed="false">
      <c r="A480" s="77"/>
      <c r="B480" s="78"/>
      <c r="C480" s="79"/>
      <c r="D480" s="79"/>
      <c r="E480" s="80" t="str">
        <f aca="false">_xlfn.IFNA(VLOOKUP(C480,'بيانات الآليات '!A:G,4,FALSE()),"")</f>
        <v/>
      </c>
      <c r="F480" s="81" t="str">
        <f aca="false">_xlfn.IFNA(VLOOKUP(C480,'بيانات الآليات '!A:G,2,FALSE()),"")</f>
        <v/>
      </c>
      <c r="G480" s="81"/>
      <c r="H480" s="81" t="str">
        <f aca="false">_xlfn.IFNA(VLOOKUP(C480,'بيانات الآليات '!A:G,5,FALSE()),"")</f>
        <v/>
      </c>
      <c r="I480" s="82"/>
      <c r="J480" s="83" t="str">
        <f aca="false">_xlfn.IFNA(VLOOKUP(I480,Table14543[],2,FALSE()),"")</f>
        <v/>
      </c>
      <c r="K480" s="84" t="str">
        <f aca="false">_xlfn.IFNA(VLOOKUP(I480,Table14543[],3,FALSE()),"")</f>
        <v/>
      </c>
      <c r="L480" s="83" t="str">
        <f aca="false">CONCATENATE("",I480,""," ",J480," ",K480)</f>
        <v>  </v>
      </c>
      <c r="M480" s="85"/>
      <c r="N480" s="86"/>
      <c r="O480" s="86"/>
      <c r="P480" s="86" t="n">
        <f aca="false">N480*O480</f>
        <v>0</v>
      </c>
      <c r="Q480" s="86"/>
      <c r="R480" s="87" t="n">
        <f aca="false">(O480*N480)+Q480</f>
        <v>0</v>
      </c>
      <c r="S480" s="91"/>
    </row>
    <row r="481" customFormat="false" ht="14.25" hidden="false" customHeight="false" outlineLevel="0" collapsed="false">
      <c r="A481" s="77"/>
      <c r="B481" s="78"/>
      <c r="C481" s="79"/>
      <c r="D481" s="79"/>
      <c r="E481" s="80" t="str">
        <f aca="false">_xlfn.IFNA(VLOOKUP(C481,'بيانات الآليات '!A:G,4,FALSE()),"")</f>
        <v/>
      </c>
      <c r="F481" s="81" t="str">
        <f aca="false">_xlfn.IFNA(VLOOKUP(C481,'بيانات الآليات '!A:G,2,FALSE()),"")</f>
        <v/>
      </c>
      <c r="G481" s="81"/>
      <c r="H481" s="81" t="str">
        <f aca="false">_xlfn.IFNA(VLOOKUP(C481,'بيانات الآليات '!A:G,5,FALSE()),"")</f>
        <v/>
      </c>
      <c r="I481" s="82"/>
      <c r="J481" s="83" t="str">
        <f aca="false">_xlfn.IFNA(VLOOKUP(I481,Table14543[],2,FALSE()),"")</f>
        <v/>
      </c>
      <c r="K481" s="84" t="str">
        <f aca="false">_xlfn.IFNA(VLOOKUP(I481,Table14543[],3,FALSE()),"")</f>
        <v/>
      </c>
      <c r="L481" s="83" t="str">
        <f aca="false">CONCATENATE("",I481,""," ",J481," ",K481)</f>
        <v>  </v>
      </c>
      <c r="M481" s="85"/>
      <c r="N481" s="86"/>
      <c r="O481" s="86"/>
      <c r="P481" s="86" t="n">
        <f aca="false">N481*O481</f>
        <v>0</v>
      </c>
      <c r="Q481" s="86"/>
      <c r="R481" s="87" t="n">
        <f aca="false">(O481*N481)+Q481</f>
        <v>0</v>
      </c>
      <c r="S481" s="91"/>
    </row>
    <row r="482" customFormat="false" ht="14.25" hidden="false" customHeight="false" outlineLevel="0" collapsed="false">
      <c r="A482" s="77"/>
      <c r="B482" s="78"/>
      <c r="C482" s="79"/>
      <c r="D482" s="79"/>
      <c r="E482" s="80" t="str">
        <f aca="false">_xlfn.IFNA(VLOOKUP(C482,'بيانات الآليات '!A:G,4,FALSE()),"")</f>
        <v/>
      </c>
      <c r="F482" s="81" t="str">
        <f aca="false">_xlfn.IFNA(VLOOKUP(C482,'بيانات الآليات '!A:G,2,FALSE()),"")</f>
        <v/>
      </c>
      <c r="G482" s="81"/>
      <c r="H482" s="81" t="str">
        <f aca="false">_xlfn.IFNA(VLOOKUP(C482,'بيانات الآليات '!A:G,5,FALSE()),"")</f>
        <v/>
      </c>
      <c r="I482" s="82"/>
      <c r="J482" s="83" t="str">
        <f aca="false">_xlfn.IFNA(VLOOKUP(I482,Table14543[],2,FALSE()),"")</f>
        <v/>
      </c>
      <c r="K482" s="84" t="str">
        <f aca="false">_xlfn.IFNA(VLOOKUP(I482,Table14543[],3,FALSE()),"")</f>
        <v/>
      </c>
      <c r="L482" s="83" t="str">
        <f aca="false">CONCATENATE("",I482,""," ",J482," ",K482)</f>
        <v>  </v>
      </c>
      <c r="M482" s="85"/>
      <c r="N482" s="86"/>
      <c r="O482" s="86"/>
      <c r="P482" s="86" t="n">
        <f aca="false">N482*O482</f>
        <v>0</v>
      </c>
      <c r="Q482" s="86"/>
      <c r="R482" s="87" t="n">
        <f aca="false">(O482*N482)+Q482</f>
        <v>0</v>
      </c>
      <c r="S482" s="91"/>
    </row>
    <row r="483" customFormat="false" ht="14.25" hidden="false" customHeight="false" outlineLevel="0" collapsed="false">
      <c r="A483" s="77"/>
      <c r="B483" s="78"/>
      <c r="C483" s="79"/>
      <c r="D483" s="79"/>
      <c r="E483" s="80" t="str">
        <f aca="false">_xlfn.IFNA(VLOOKUP(C483,'بيانات الآليات '!A:G,4,FALSE()),"")</f>
        <v/>
      </c>
      <c r="F483" s="81" t="str">
        <f aca="false">_xlfn.IFNA(VLOOKUP(C483,'بيانات الآليات '!A:G,2,FALSE()),"")</f>
        <v/>
      </c>
      <c r="G483" s="81"/>
      <c r="H483" s="81" t="str">
        <f aca="false">_xlfn.IFNA(VLOOKUP(C483,'بيانات الآليات '!A:G,5,FALSE()),"")</f>
        <v/>
      </c>
      <c r="I483" s="82"/>
      <c r="J483" s="83" t="str">
        <f aca="false">_xlfn.IFNA(VLOOKUP(I483,Table14543[],2,FALSE()),"")</f>
        <v/>
      </c>
      <c r="K483" s="84" t="str">
        <f aca="false">_xlfn.IFNA(VLOOKUP(I483,Table14543[],3,FALSE()),"")</f>
        <v/>
      </c>
      <c r="L483" s="83" t="str">
        <f aca="false">CONCATENATE("",I483,""," ",J483," ",K483)</f>
        <v>  </v>
      </c>
      <c r="M483" s="85"/>
      <c r="N483" s="86"/>
      <c r="O483" s="86"/>
      <c r="P483" s="86" t="n">
        <f aca="false">N483*O483</f>
        <v>0</v>
      </c>
      <c r="Q483" s="86"/>
      <c r="R483" s="87" t="n">
        <f aca="false">(O483*N483)+Q483</f>
        <v>0</v>
      </c>
      <c r="S483" s="91"/>
    </row>
    <row r="484" customFormat="false" ht="14.25" hidden="false" customHeight="false" outlineLevel="0" collapsed="false">
      <c r="A484" s="77"/>
      <c r="B484" s="78"/>
      <c r="C484" s="79"/>
      <c r="D484" s="79"/>
      <c r="E484" s="80" t="str">
        <f aca="false">_xlfn.IFNA(VLOOKUP(C484,'بيانات الآليات '!A:G,4,FALSE()),"")</f>
        <v/>
      </c>
      <c r="F484" s="81" t="str">
        <f aca="false">_xlfn.IFNA(VLOOKUP(C484,'بيانات الآليات '!A:G,2,FALSE()),"")</f>
        <v/>
      </c>
      <c r="G484" s="81"/>
      <c r="H484" s="81" t="str">
        <f aca="false">_xlfn.IFNA(VLOOKUP(C484,'بيانات الآليات '!A:G,5,FALSE()),"")</f>
        <v/>
      </c>
      <c r="I484" s="82"/>
      <c r="J484" s="83" t="str">
        <f aca="false">_xlfn.IFNA(VLOOKUP(I484,Table14543[],2,FALSE()),"")</f>
        <v/>
      </c>
      <c r="K484" s="84" t="str">
        <f aca="false">_xlfn.IFNA(VLOOKUP(I484,Table14543[],3,FALSE()),"")</f>
        <v/>
      </c>
      <c r="L484" s="83" t="str">
        <f aca="false">CONCATENATE("",I484,""," ",J484," ",K484)</f>
        <v>  </v>
      </c>
      <c r="M484" s="85"/>
      <c r="N484" s="86"/>
      <c r="O484" s="86"/>
      <c r="P484" s="86" t="n">
        <f aca="false">N484*O484</f>
        <v>0</v>
      </c>
      <c r="Q484" s="86"/>
      <c r="R484" s="87" t="n">
        <f aca="false">(O484*N484)+Q484</f>
        <v>0</v>
      </c>
      <c r="S484" s="91"/>
    </row>
    <row r="485" customFormat="false" ht="14.25" hidden="false" customHeight="false" outlineLevel="0" collapsed="false">
      <c r="A485" s="77"/>
      <c r="B485" s="78"/>
      <c r="C485" s="79"/>
      <c r="D485" s="79"/>
      <c r="E485" s="80" t="str">
        <f aca="false">_xlfn.IFNA(VLOOKUP(C485,'بيانات الآليات '!A:G,4,FALSE()),"")</f>
        <v/>
      </c>
      <c r="F485" s="81" t="str">
        <f aca="false">_xlfn.IFNA(VLOOKUP(C485,'بيانات الآليات '!A:G,2,FALSE()),"")</f>
        <v/>
      </c>
      <c r="G485" s="81"/>
      <c r="H485" s="81" t="str">
        <f aca="false">_xlfn.IFNA(VLOOKUP(C485,'بيانات الآليات '!A:G,5,FALSE()),"")</f>
        <v/>
      </c>
      <c r="I485" s="82"/>
      <c r="J485" s="83" t="str">
        <f aca="false">_xlfn.IFNA(VLOOKUP(I485,Table14543[],2,FALSE()),"")</f>
        <v/>
      </c>
      <c r="K485" s="84" t="str">
        <f aca="false">_xlfn.IFNA(VLOOKUP(I485,Table14543[],3,FALSE()),"")</f>
        <v/>
      </c>
      <c r="L485" s="83" t="str">
        <f aca="false">CONCATENATE("",I485,""," ",J485," ",K485)</f>
        <v>  </v>
      </c>
      <c r="M485" s="85"/>
      <c r="N485" s="86"/>
      <c r="O485" s="86"/>
      <c r="P485" s="86" t="n">
        <f aca="false">N485*O485</f>
        <v>0</v>
      </c>
      <c r="Q485" s="86"/>
      <c r="R485" s="87" t="n">
        <f aca="false">(O485*N485)+Q485</f>
        <v>0</v>
      </c>
      <c r="S485" s="91"/>
    </row>
    <row r="486" customFormat="false" ht="14.25" hidden="false" customHeight="false" outlineLevel="0" collapsed="false">
      <c r="A486" s="77"/>
      <c r="B486" s="78"/>
      <c r="C486" s="79"/>
      <c r="D486" s="79"/>
      <c r="E486" s="80" t="str">
        <f aca="false">_xlfn.IFNA(VLOOKUP(C486,'بيانات الآليات '!A:G,4,FALSE()),"")</f>
        <v/>
      </c>
      <c r="F486" s="81" t="str">
        <f aca="false">_xlfn.IFNA(VLOOKUP(C486,'بيانات الآليات '!A:G,2,FALSE()),"")</f>
        <v/>
      </c>
      <c r="G486" s="81"/>
      <c r="H486" s="81" t="str">
        <f aca="false">_xlfn.IFNA(VLOOKUP(C486,'بيانات الآليات '!A:G,5,FALSE()),"")</f>
        <v/>
      </c>
      <c r="I486" s="82"/>
      <c r="J486" s="83" t="str">
        <f aca="false">_xlfn.IFNA(VLOOKUP(I486,Table14543[],2,FALSE()),"")</f>
        <v/>
      </c>
      <c r="K486" s="84" t="str">
        <f aca="false">_xlfn.IFNA(VLOOKUP(I486,Table14543[],3,FALSE()),"")</f>
        <v/>
      </c>
      <c r="L486" s="83" t="str">
        <f aca="false">CONCATENATE("",I486,""," ",J486," ",K486)</f>
        <v>  </v>
      </c>
      <c r="M486" s="85"/>
      <c r="N486" s="86"/>
      <c r="O486" s="86"/>
      <c r="P486" s="86" t="n">
        <f aca="false">N486*O486</f>
        <v>0</v>
      </c>
      <c r="Q486" s="86"/>
      <c r="R486" s="87" t="n">
        <f aca="false">(O486*N486)+Q486</f>
        <v>0</v>
      </c>
      <c r="S486" s="91"/>
    </row>
    <row r="487" customFormat="false" ht="14.25" hidden="false" customHeight="false" outlineLevel="0" collapsed="false">
      <c r="A487" s="77"/>
      <c r="B487" s="78"/>
      <c r="C487" s="79"/>
      <c r="D487" s="79"/>
      <c r="E487" s="80" t="str">
        <f aca="false">_xlfn.IFNA(VLOOKUP(C487,'بيانات الآليات '!A:G,4,FALSE()),"")</f>
        <v/>
      </c>
      <c r="F487" s="81" t="str">
        <f aca="false">_xlfn.IFNA(VLOOKUP(C487,'بيانات الآليات '!A:G,2,FALSE()),"")</f>
        <v/>
      </c>
      <c r="G487" s="81"/>
      <c r="H487" s="81" t="str">
        <f aca="false">_xlfn.IFNA(VLOOKUP(C487,'بيانات الآليات '!A:G,5,FALSE()),"")</f>
        <v/>
      </c>
      <c r="I487" s="82"/>
      <c r="J487" s="83" t="str">
        <f aca="false">_xlfn.IFNA(VLOOKUP(I487,Table14543[],2,FALSE()),"")</f>
        <v/>
      </c>
      <c r="K487" s="84" t="str">
        <f aca="false">_xlfn.IFNA(VLOOKUP(I487,Table14543[],3,FALSE()),"")</f>
        <v/>
      </c>
      <c r="L487" s="83" t="str">
        <f aca="false">CONCATENATE("",I487,""," ",J487," ",K487)</f>
        <v>  </v>
      </c>
      <c r="M487" s="85"/>
      <c r="N487" s="86"/>
      <c r="O487" s="86"/>
      <c r="P487" s="86" t="n">
        <f aca="false">N487*O487</f>
        <v>0</v>
      </c>
      <c r="Q487" s="86"/>
      <c r="R487" s="87" t="n">
        <f aca="false">(O487*N487)+Q487</f>
        <v>0</v>
      </c>
      <c r="S487" s="91"/>
    </row>
    <row r="488" customFormat="false" ht="14.25" hidden="false" customHeight="false" outlineLevel="0" collapsed="false">
      <c r="A488" s="77"/>
      <c r="B488" s="78"/>
      <c r="C488" s="79"/>
      <c r="D488" s="79"/>
      <c r="E488" s="80" t="str">
        <f aca="false">_xlfn.IFNA(VLOOKUP(C488,'بيانات الآليات '!A:G,4,FALSE()),"")</f>
        <v/>
      </c>
      <c r="F488" s="81" t="str">
        <f aca="false">_xlfn.IFNA(VLOOKUP(C488,'بيانات الآليات '!A:G,2,FALSE()),"")</f>
        <v/>
      </c>
      <c r="G488" s="81"/>
      <c r="H488" s="81" t="str">
        <f aca="false">_xlfn.IFNA(VLOOKUP(C488,'بيانات الآليات '!A:G,5,FALSE()),"")</f>
        <v/>
      </c>
      <c r="I488" s="82"/>
      <c r="J488" s="83" t="str">
        <f aca="false">_xlfn.IFNA(VLOOKUP(I488,Table14543[],2,FALSE()),"")</f>
        <v/>
      </c>
      <c r="K488" s="84" t="str">
        <f aca="false">_xlfn.IFNA(VLOOKUP(I488,Table14543[],3,FALSE()),"")</f>
        <v/>
      </c>
      <c r="L488" s="83" t="str">
        <f aca="false">CONCATENATE("",I488,""," ",J488," ",K488)</f>
        <v>  </v>
      </c>
      <c r="M488" s="85"/>
      <c r="N488" s="86"/>
      <c r="O488" s="86"/>
      <c r="P488" s="86" t="n">
        <f aca="false">N488*O488</f>
        <v>0</v>
      </c>
      <c r="Q488" s="86"/>
      <c r="R488" s="87" t="n">
        <f aca="false">(O488*N488)+Q488</f>
        <v>0</v>
      </c>
      <c r="S488" s="91"/>
    </row>
    <row r="489" customFormat="false" ht="14.25" hidden="false" customHeight="false" outlineLevel="0" collapsed="false">
      <c r="A489" s="77"/>
      <c r="B489" s="78"/>
      <c r="C489" s="79"/>
      <c r="D489" s="79"/>
      <c r="E489" s="80" t="str">
        <f aca="false">_xlfn.IFNA(VLOOKUP(C489,'بيانات الآليات '!A:G,4,FALSE()),"")</f>
        <v/>
      </c>
      <c r="F489" s="81" t="str">
        <f aca="false">_xlfn.IFNA(VLOOKUP(C489,'بيانات الآليات '!A:G,2,FALSE()),"")</f>
        <v/>
      </c>
      <c r="G489" s="81"/>
      <c r="H489" s="81" t="str">
        <f aca="false">_xlfn.IFNA(VLOOKUP(C489,'بيانات الآليات '!A:G,5,FALSE()),"")</f>
        <v/>
      </c>
      <c r="I489" s="82"/>
      <c r="J489" s="83" t="str">
        <f aca="false">_xlfn.IFNA(VLOOKUP(I489,Table14543[],2,FALSE()),"")</f>
        <v/>
      </c>
      <c r="K489" s="84" t="str">
        <f aca="false">_xlfn.IFNA(VLOOKUP(I489,Table14543[],3,FALSE()),"")</f>
        <v/>
      </c>
      <c r="L489" s="83" t="str">
        <f aca="false">CONCATENATE("",I489,""," ",J489," ",K489)</f>
        <v>  </v>
      </c>
      <c r="M489" s="85"/>
      <c r="N489" s="86"/>
      <c r="O489" s="86"/>
      <c r="P489" s="86" t="n">
        <f aca="false">N489*O489</f>
        <v>0</v>
      </c>
      <c r="Q489" s="86"/>
      <c r="R489" s="87" t="n">
        <f aca="false">(O489*N489)+Q489</f>
        <v>0</v>
      </c>
      <c r="S489" s="91"/>
    </row>
    <row r="490" customFormat="false" ht="14.25" hidden="false" customHeight="false" outlineLevel="0" collapsed="false">
      <c r="A490" s="77"/>
      <c r="B490" s="78"/>
      <c r="C490" s="79"/>
      <c r="D490" s="79"/>
      <c r="E490" s="80" t="str">
        <f aca="false">_xlfn.IFNA(VLOOKUP(C490,'بيانات الآليات '!A:G,4,FALSE()),"")</f>
        <v/>
      </c>
      <c r="F490" s="81" t="str">
        <f aca="false">_xlfn.IFNA(VLOOKUP(C490,'بيانات الآليات '!A:G,2,FALSE()),"")</f>
        <v/>
      </c>
      <c r="G490" s="81"/>
      <c r="H490" s="81" t="str">
        <f aca="false">_xlfn.IFNA(VLOOKUP(C490,'بيانات الآليات '!A:G,5,FALSE()),"")</f>
        <v/>
      </c>
      <c r="I490" s="82"/>
      <c r="J490" s="83" t="str">
        <f aca="false">_xlfn.IFNA(VLOOKUP(I490,Table14543[],2,FALSE()),"")</f>
        <v/>
      </c>
      <c r="K490" s="84" t="str">
        <f aca="false">_xlfn.IFNA(VLOOKUP(I490,Table14543[],3,FALSE()),"")</f>
        <v/>
      </c>
      <c r="L490" s="83" t="str">
        <f aca="false">CONCATENATE("",I490,""," ",J490," ",K490)</f>
        <v>  </v>
      </c>
      <c r="M490" s="85"/>
      <c r="N490" s="86"/>
      <c r="O490" s="86"/>
      <c r="P490" s="86" t="n">
        <f aca="false">N490*O490</f>
        <v>0</v>
      </c>
      <c r="Q490" s="86"/>
      <c r="R490" s="87" t="n">
        <f aca="false">(O490*N490)+Q490</f>
        <v>0</v>
      </c>
      <c r="S490" s="91"/>
    </row>
    <row r="491" customFormat="false" ht="14.25" hidden="false" customHeight="false" outlineLevel="0" collapsed="false">
      <c r="A491" s="77"/>
      <c r="B491" s="78"/>
      <c r="C491" s="79"/>
      <c r="D491" s="79"/>
      <c r="E491" s="80" t="str">
        <f aca="false">_xlfn.IFNA(VLOOKUP(C491,'بيانات الآليات '!A:G,4,FALSE()),"")</f>
        <v/>
      </c>
      <c r="F491" s="81" t="str">
        <f aca="false">_xlfn.IFNA(VLOOKUP(C491,'بيانات الآليات '!A:G,2,FALSE()),"")</f>
        <v/>
      </c>
      <c r="G491" s="81"/>
      <c r="H491" s="81" t="str">
        <f aca="false">_xlfn.IFNA(VLOOKUP(C491,'بيانات الآليات '!A:G,5,FALSE()),"")</f>
        <v/>
      </c>
      <c r="I491" s="82"/>
      <c r="J491" s="83" t="str">
        <f aca="false">_xlfn.IFNA(VLOOKUP(I491,Table14543[],2,FALSE()),"")</f>
        <v/>
      </c>
      <c r="K491" s="84" t="str">
        <f aca="false">_xlfn.IFNA(VLOOKUP(I491,Table14543[],3,FALSE()),"")</f>
        <v/>
      </c>
      <c r="L491" s="83" t="str">
        <f aca="false">CONCATENATE("",I491,""," ",J491," ",K491)</f>
        <v>  </v>
      </c>
      <c r="M491" s="85"/>
      <c r="N491" s="86"/>
      <c r="O491" s="86"/>
      <c r="P491" s="86" t="n">
        <f aca="false">N491*O491</f>
        <v>0</v>
      </c>
      <c r="Q491" s="86"/>
      <c r="R491" s="87" t="n">
        <f aca="false">(O491*N491)+Q491</f>
        <v>0</v>
      </c>
      <c r="S491" s="91"/>
    </row>
    <row r="492" customFormat="false" ht="14.25" hidden="false" customHeight="false" outlineLevel="0" collapsed="false">
      <c r="A492" s="77"/>
      <c r="B492" s="78"/>
      <c r="C492" s="79"/>
      <c r="D492" s="79"/>
      <c r="E492" s="80" t="str">
        <f aca="false">_xlfn.IFNA(VLOOKUP(C492,'بيانات الآليات '!A:G,4,FALSE()),"")</f>
        <v/>
      </c>
      <c r="F492" s="81" t="str">
        <f aca="false">_xlfn.IFNA(VLOOKUP(C492,'بيانات الآليات '!A:G,2,FALSE()),"")</f>
        <v/>
      </c>
      <c r="G492" s="81"/>
      <c r="H492" s="81" t="str">
        <f aca="false">_xlfn.IFNA(VLOOKUP(C492,'بيانات الآليات '!A:G,5,FALSE()),"")</f>
        <v/>
      </c>
      <c r="I492" s="82"/>
      <c r="J492" s="83" t="str">
        <f aca="false">_xlfn.IFNA(VLOOKUP(I492,Table14543[],2,FALSE()),"")</f>
        <v/>
      </c>
      <c r="K492" s="84" t="str">
        <f aca="false">_xlfn.IFNA(VLOOKUP(I492,Table14543[],3,FALSE()),"")</f>
        <v/>
      </c>
      <c r="L492" s="83" t="str">
        <f aca="false">CONCATENATE("",I492,""," ",J492," ",K492)</f>
        <v>  </v>
      </c>
      <c r="M492" s="85"/>
      <c r="N492" s="86"/>
      <c r="O492" s="86"/>
      <c r="P492" s="86" t="n">
        <f aca="false">N492*O492</f>
        <v>0</v>
      </c>
      <c r="Q492" s="86"/>
      <c r="R492" s="87" t="n">
        <f aca="false">(O492*N492)+Q492</f>
        <v>0</v>
      </c>
      <c r="S492" s="91"/>
    </row>
    <row r="493" customFormat="false" ht="14.25" hidden="false" customHeight="false" outlineLevel="0" collapsed="false">
      <c r="A493" s="77"/>
      <c r="B493" s="78"/>
      <c r="C493" s="79"/>
      <c r="D493" s="79"/>
      <c r="E493" s="80" t="str">
        <f aca="false">_xlfn.IFNA(VLOOKUP(C493,'بيانات الآليات '!A:G,4,FALSE()),"")</f>
        <v/>
      </c>
      <c r="F493" s="81" t="str">
        <f aca="false">_xlfn.IFNA(VLOOKUP(C493,'بيانات الآليات '!A:G,2,FALSE()),"")</f>
        <v/>
      </c>
      <c r="G493" s="81"/>
      <c r="H493" s="81" t="str">
        <f aca="false">_xlfn.IFNA(VLOOKUP(C493,'بيانات الآليات '!A:G,5,FALSE()),"")</f>
        <v/>
      </c>
      <c r="I493" s="82"/>
      <c r="J493" s="83" t="str">
        <f aca="false">_xlfn.IFNA(VLOOKUP(I493,Table14543[],2,FALSE()),"")</f>
        <v/>
      </c>
      <c r="K493" s="84" t="str">
        <f aca="false">_xlfn.IFNA(VLOOKUP(I493,Table14543[],3,FALSE()),"")</f>
        <v/>
      </c>
      <c r="L493" s="83" t="str">
        <f aca="false">CONCATENATE("",I493,""," ",J493," ",K493)</f>
        <v>  </v>
      </c>
      <c r="M493" s="85"/>
      <c r="N493" s="86"/>
      <c r="O493" s="86"/>
      <c r="P493" s="86" t="n">
        <f aca="false">N493*O493</f>
        <v>0</v>
      </c>
      <c r="Q493" s="86"/>
      <c r="R493" s="87" t="n">
        <f aca="false">(O493*N493)+Q493</f>
        <v>0</v>
      </c>
      <c r="S493" s="91"/>
    </row>
    <row r="494" customFormat="false" ht="14.25" hidden="false" customHeight="false" outlineLevel="0" collapsed="false">
      <c r="A494" s="77"/>
      <c r="B494" s="78"/>
      <c r="C494" s="79"/>
      <c r="D494" s="79"/>
      <c r="E494" s="80" t="str">
        <f aca="false">_xlfn.IFNA(VLOOKUP(C494,'بيانات الآليات '!A:G,4,FALSE()),"")</f>
        <v/>
      </c>
      <c r="F494" s="81" t="str">
        <f aca="false">_xlfn.IFNA(VLOOKUP(C494,'بيانات الآليات '!A:G,2,FALSE()),"")</f>
        <v/>
      </c>
      <c r="G494" s="81"/>
      <c r="H494" s="81" t="str">
        <f aca="false">_xlfn.IFNA(VLOOKUP(C494,'بيانات الآليات '!A:G,5,FALSE()),"")</f>
        <v/>
      </c>
      <c r="I494" s="82"/>
      <c r="J494" s="83" t="str">
        <f aca="false">_xlfn.IFNA(VLOOKUP(I494,Table14543[],2,FALSE()),"")</f>
        <v/>
      </c>
      <c r="K494" s="84" t="str">
        <f aca="false">_xlfn.IFNA(VLOOKUP(I494,Table14543[],3,FALSE()),"")</f>
        <v/>
      </c>
      <c r="L494" s="83" t="str">
        <f aca="false">CONCATENATE("",I494,""," ",J494," ",K494)</f>
        <v>  </v>
      </c>
      <c r="M494" s="85"/>
      <c r="N494" s="86"/>
      <c r="O494" s="86"/>
      <c r="P494" s="86" t="n">
        <f aca="false">N494*O494</f>
        <v>0</v>
      </c>
      <c r="Q494" s="86"/>
      <c r="R494" s="87" t="n">
        <f aca="false">(O494*N494)+Q494</f>
        <v>0</v>
      </c>
      <c r="S494" s="91"/>
    </row>
    <row r="495" customFormat="false" ht="14.25" hidden="false" customHeight="false" outlineLevel="0" collapsed="false">
      <c r="A495" s="77"/>
      <c r="B495" s="78"/>
      <c r="C495" s="79"/>
      <c r="D495" s="79"/>
      <c r="E495" s="80" t="str">
        <f aca="false">_xlfn.IFNA(VLOOKUP(C495,'بيانات الآليات '!A:G,4,FALSE()),"")</f>
        <v/>
      </c>
      <c r="F495" s="81" t="str">
        <f aca="false">_xlfn.IFNA(VLOOKUP(C495,'بيانات الآليات '!A:G,2,FALSE()),"")</f>
        <v/>
      </c>
      <c r="G495" s="81"/>
      <c r="H495" s="81" t="str">
        <f aca="false">_xlfn.IFNA(VLOOKUP(C495,'بيانات الآليات '!A:G,5,FALSE()),"")</f>
        <v/>
      </c>
      <c r="I495" s="82"/>
      <c r="J495" s="83" t="str">
        <f aca="false">_xlfn.IFNA(VLOOKUP(I495,Table14543[],2,FALSE()),"")</f>
        <v/>
      </c>
      <c r="K495" s="84" t="str">
        <f aca="false">_xlfn.IFNA(VLOOKUP(I495,Table14543[],3,FALSE()),"")</f>
        <v/>
      </c>
      <c r="L495" s="83" t="str">
        <f aca="false">CONCATENATE("",I495,""," ",J495," ",K495)</f>
        <v>  </v>
      </c>
      <c r="M495" s="85"/>
      <c r="N495" s="86"/>
      <c r="O495" s="86"/>
      <c r="P495" s="86" t="n">
        <f aca="false">N495*O495</f>
        <v>0</v>
      </c>
      <c r="Q495" s="86"/>
      <c r="R495" s="87" t="n">
        <f aca="false">(O495*N495)+Q495</f>
        <v>0</v>
      </c>
      <c r="S495" s="91"/>
    </row>
    <row r="496" customFormat="false" ht="14.25" hidden="false" customHeight="false" outlineLevel="0" collapsed="false">
      <c r="A496" s="77"/>
      <c r="B496" s="78"/>
      <c r="C496" s="79"/>
      <c r="D496" s="79"/>
      <c r="E496" s="80" t="str">
        <f aca="false">_xlfn.IFNA(VLOOKUP(C496,'بيانات الآليات '!A:G,4,FALSE()),"")</f>
        <v/>
      </c>
      <c r="F496" s="81" t="str">
        <f aca="false">_xlfn.IFNA(VLOOKUP(C496,'بيانات الآليات '!A:G,2,FALSE()),"")</f>
        <v/>
      </c>
      <c r="G496" s="81"/>
      <c r="H496" s="81" t="str">
        <f aca="false">_xlfn.IFNA(VLOOKUP(C496,'بيانات الآليات '!A:G,5,FALSE()),"")</f>
        <v/>
      </c>
      <c r="I496" s="82"/>
      <c r="J496" s="83" t="str">
        <f aca="false">_xlfn.IFNA(VLOOKUP(I496,Table14543[],2,FALSE()),"")</f>
        <v/>
      </c>
      <c r="K496" s="84" t="str">
        <f aca="false">_xlfn.IFNA(VLOOKUP(I496,Table14543[],3,FALSE()),"")</f>
        <v/>
      </c>
      <c r="L496" s="83" t="str">
        <f aca="false">CONCATENATE("",I496,""," ",J496," ",K496)</f>
        <v>  </v>
      </c>
      <c r="M496" s="85"/>
      <c r="N496" s="86"/>
      <c r="O496" s="86"/>
      <c r="P496" s="86" t="n">
        <f aca="false">N496*O496</f>
        <v>0</v>
      </c>
      <c r="Q496" s="86"/>
      <c r="R496" s="87" t="n">
        <f aca="false">(O496*N496)+Q496</f>
        <v>0</v>
      </c>
      <c r="S496" s="91"/>
    </row>
    <row r="497" customFormat="false" ht="14.25" hidden="false" customHeight="false" outlineLevel="0" collapsed="false">
      <c r="A497" s="77"/>
      <c r="B497" s="78"/>
      <c r="C497" s="79"/>
      <c r="D497" s="79"/>
      <c r="E497" s="80" t="str">
        <f aca="false">_xlfn.IFNA(VLOOKUP(C497,'بيانات الآليات '!A:G,4,FALSE()),"")</f>
        <v/>
      </c>
      <c r="F497" s="81" t="str">
        <f aca="false">_xlfn.IFNA(VLOOKUP(C497,'بيانات الآليات '!A:G,2,FALSE()),"")</f>
        <v/>
      </c>
      <c r="G497" s="81"/>
      <c r="H497" s="81" t="str">
        <f aca="false">_xlfn.IFNA(VLOOKUP(C497,'بيانات الآليات '!A:G,5,FALSE()),"")</f>
        <v/>
      </c>
      <c r="I497" s="82"/>
      <c r="J497" s="83" t="str">
        <f aca="false">_xlfn.IFNA(VLOOKUP(I497,Table14543[],2,FALSE()),"")</f>
        <v/>
      </c>
      <c r="K497" s="84" t="str">
        <f aca="false">_xlfn.IFNA(VLOOKUP(I497,Table14543[],3,FALSE()),"")</f>
        <v/>
      </c>
      <c r="L497" s="83" t="str">
        <f aca="false">CONCATENATE("",I497,""," ",J497," ",K497)</f>
        <v>  </v>
      </c>
      <c r="M497" s="85"/>
      <c r="N497" s="86"/>
      <c r="O497" s="86"/>
      <c r="P497" s="86" t="n">
        <f aca="false">N497*O497</f>
        <v>0</v>
      </c>
      <c r="Q497" s="86"/>
      <c r="R497" s="87" t="n">
        <f aca="false">(O497*N497)+Q497</f>
        <v>0</v>
      </c>
      <c r="S497" s="91"/>
    </row>
    <row r="498" customFormat="false" ht="14.25" hidden="false" customHeight="false" outlineLevel="0" collapsed="false">
      <c r="A498" s="77"/>
      <c r="B498" s="78"/>
      <c r="C498" s="79"/>
      <c r="D498" s="79"/>
      <c r="E498" s="80" t="str">
        <f aca="false">_xlfn.IFNA(VLOOKUP(C498,'بيانات الآليات '!A:G,4,FALSE()),"")</f>
        <v/>
      </c>
      <c r="F498" s="81" t="str">
        <f aca="false">_xlfn.IFNA(VLOOKUP(C498,'بيانات الآليات '!A:G,2,FALSE()),"")</f>
        <v/>
      </c>
      <c r="G498" s="81"/>
      <c r="H498" s="81" t="str">
        <f aca="false">_xlfn.IFNA(VLOOKUP(C498,'بيانات الآليات '!A:G,5,FALSE()),"")</f>
        <v/>
      </c>
      <c r="I498" s="82"/>
      <c r="J498" s="83" t="str">
        <f aca="false">_xlfn.IFNA(VLOOKUP(I498,Table14543[],2,FALSE()),"")</f>
        <v/>
      </c>
      <c r="K498" s="84" t="str">
        <f aca="false">_xlfn.IFNA(VLOOKUP(I498,Table14543[],3,FALSE()),"")</f>
        <v/>
      </c>
      <c r="L498" s="83" t="str">
        <f aca="false">CONCATENATE("",I498,""," ",J498," ",K498)</f>
        <v>  </v>
      </c>
      <c r="M498" s="85"/>
      <c r="N498" s="86"/>
      <c r="O498" s="86"/>
      <c r="P498" s="86" t="n">
        <f aca="false">N498*O498</f>
        <v>0</v>
      </c>
      <c r="Q498" s="86"/>
      <c r="R498" s="87" t="n">
        <f aca="false">(O498*N498)+Q498</f>
        <v>0</v>
      </c>
      <c r="S498" s="91"/>
    </row>
    <row r="499" customFormat="false" ht="14.25" hidden="false" customHeight="false" outlineLevel="0" collapsed="false">
      <c r="A499" s="77"/>
      <c r="B499" s="78"/>
      <c r="C499" s="79"/>
      <c r="D499" s="79"/>
      <c r="E499" s="80" t="str">
        <f aca="false">_xlfn.IFNA(VLOOKUP(C499,'بيانات الآليات '!A:G,4,FALSE()),"")</f>
        <v/>
      </c>
      <c r="F499" s="81" t="str">
        <f aca="false">_xlfn.IFNA(VLOOKUP(C499,'بيانات الآليات '!A:G,2,FALSE()),"")</f>
        <v/>
      </c>
      <c r="G499" s="81"/>
      <c r="H499" s="81" t="str">
        <f aca="false">_xlfn.IFNA(VLOOKUP(C499,'بيانات الآليات '!A:G,5,FALSE()),"")</f>
        <v/>
      </c>
      <c r="I499" s="82"/>
      <c r="J499" s="83" t="str">
        <f aca="false">_xlfn.IFNA(VLOOKUP(I499,Table14543[],2,FALSE()),"")</f>
        <v/>
      </c>
      <c r="K499" s="84" t="str">
        <f aca="false">_xlfn.IFNA(VLOOKUP(I499,Table14543[],3,FALSE()),"")</f>
        <v/>
      </c>
      <c r="L499" s="83" t="str">
        <f aca="false">CONCATENATE("",I499,""," ",J499," ",K499)</f>
        <v>  </v>
      </c>
      <c r="M499" s="85"/>
      <c r="N499" s="86"/>
      <c r="O499" s="86"/>
      <c r="P499" s="86" t="n">
        <f aca="false">N499*O499</f>
        <v>0</v>
      </c>
      <c r="Q499" s="86"/>
      <c r="R499" s="87" t="n">
        <f aca="false">(O499*N499)+Q499</f>
        <v>0</v>
      </c>
      <c r="S499" s="91"/>
    </row>
    <row r="500" customFormat="false" ht="14.25" hidden="false" customHeight="false" outlineLevel="0" collapsed="false">
      <c r="A500" s="77"/>
      <c r="B500" s="78"/>
      <c r="C500" s="79"/>
      <c r="D500" s="79"/>
      <c r="E500" s="80" t="str">
        <f aca="false">_xlfn.IFNA(VLOOKUP(C500,'بيانات الآليات '!A:G,4,FALSE()),"")</f>
        <v/>
      </c>
      <c r="F500" s="81" t="str">
        <f aca="false">_xlfn.IFNA(VLOOKUP(C500,'بيانات الآليات '!A:G,2,FALSE()),"")</f>
        <v/>
      </c>
      <c r="G500" s="81"/>
      <c r="H500" s="81" t="str">
        <f aca="false">_xlfn.IFNA(VLOOKUP(C500,'بيانات الآليات '!A:G,5,FALSE()),"")</f>
        <v/>
      </c>
      <c r="I500" s="82"/>
      <c r="J500" s="83" t="str">
        <f aca="false">_xlfn.IFNA(VLOOKUP(I500,Table14543[],2,FALSE()),"")</f>
        <v/>
      </c>
      <c r="K500" s="84" t="str">
        <f aca="false">_xlfn.IFNA(VLOOKUP(I500,Table14543[],3,FALSE()),"")</f>
        <v/>
      </c>
      <c r="L500" s="83" t="str">
        <f aca="false">CONCATENATE("",I500,""," ",J500," ",K500)</f>
        <v>  </v>
      </c>
      <c r="M500" s="85"/>
      <c r="N500" s="86"/>
      <c r="O500" s="86"/>
      <c r="P500" s="86" t="n">
        <f aca="false">N500*O500</f>
        <v>0</v>
      </c>
      <c r="Q500" s="86"/>
      <c r="R500" s="87" t="n">
        <f aca="false">(O500*N500)+Q500</f>
        <v>0</v>
      </c>
      <c r="S500" s="91"/>
    </row>
    <row r="501" customFormat="false" ht="14.25" hidden="false" customHeight="false" outlineLevel="0" collapsed="false">
      <c r="A501" s="77"/>
      <c r="B501" s="78"/>
      <c r="C501" s="79"/>
      <c r="D501" s="79"/>
      <c r="E501" s="80" t="str">
        <f aca="false">_xlfn.IFNA(VLOOKUP(C501,'بيانات الآليات '!A:G,4,FALSE()),"")</f>
        <v/>
      </c>
      <c r="F501" s="81" t="str">
        <f aca="false">_xlfn.IFNA(VLOOKUP(C501,'بيانات الآليات '!A:G,2,FALSE()),"")</f>
        <v/>
      </c>
      <c r="G501" s="81"/>
      <c r="H501" s="81" t="str">
        <f aca="false">_xlfn.IFNA(VLOOKUP(C501,'بيانات الآليات '!A:G,5,FALSE()),"")</f>
        <v/>
      </c>
      <c r="I501" s="82"/>
      <c r="J501" s="83" t="str">
        <f aca="false">_xlfn.IFNA(VLOOKUP(I501,Table14543[],2,FALSE()),"")</f>
        <v/>
      </c>
      <c r="K501" s="84" t="str">
        <f aca="false">_xlfn.IFNA(VLOOKUP(I501,Table14543[],3,FALSE()),"")</f>
        <v/>
      </c>
      <c r="L501" s="83" t="str">
        <f aca="false">CONCATENATE("",I501,""," ",J501," ",K501)</f>
        <v>  </v>
      </c>
      <c r="M501" s="85"/>
      <c r="N501" s="86"/>
      <c r="O501" s="86"/>
      <c r="P501" s="86" t="n">
        <f aca="false">N501*O501</f>
        <v>0</v>
      </c>
      <c r="Q501" s="86"/>
      <c r="R501" s="87" t="n">
        <f aca="false">(O501*N501)+Q501</f>
        <v>0</v>
      </c>
      <c r="S501" s="91"/>
    </row>
    <row r="502" customFormat="false" ht="14.25" hidden="false" customHeight="false" outlineLevel="0" collapsed="false">
      <c r="A502" s="77"/>
      <c r="B502" s="78"/>
      <c r="C502" s="79"/>
      <c r="D502" s="79"/>
      <c r="E502" s="80" t="str">
        <f aca="false">_xlfn.IFNA(VLOOKUP(C502,'بيانات الآليات '!A:G,4,FALSE()),"")</f>
        <v/>
      </c>
      <c r="F502" s="81" t="str">
        <f aca="false">_xlfn.IFNA(VLOOKUP(C502,'بيانات الآليات '!A:G,2,FALSE()),"")</f>
        <v/>
      </c>
      <c r="G502" s="81"/>
      <c r="H502" s="81" t="str">
        <f aca="false">_xlfn.IFNA(VLOOKUP(C502,'بيانات الآليات '!A:G,5,FALSE()),"")</f>
        <v/>
      </c>
      <c r="I502" s="82"/>
      <c r="J502" s="83" t="str">
        <f aca="false">_xlfn.IFNA(VLOOKUP(I502,Table14543[],2,FALSE()),"")</f>
        <v/>
      </c>
      <c r="K502" s="84" t="str">
        <f aca="false">_xlfn.IFNA(VLOOKUP(I502,Table14543[],3,FALSE()),"")</f>
        <v/>
      </c>
      <c r="L502" s="83" t="str">
        <f aca="false">CONCATENATE("",I502,""," ",J502," ",K502)</f>
        <v>  </v>
      </c>
      <c r="M502" s="85"/>
      <c r="N502" s="86"/>
      <c r="O502" s="86"/>
      <c r="P502" s="86" t="n">
        <f aca="false">N502*O502</f>
        <v>0</v>
      </c>
      <c r="Q502" s="86"/>
      <c r="R502" s="87" t="n">
        <f aca="false">(O502*N502)+Q502</f>
        <v>0</v>
      </c>
      <c r="S502" s="91"/>
    </row>
    <row r="503" customFormat="false" ht="14.25" hidden="false" customHeight="false" outlineLevel="0" collapsed="false">
      <c r="A503" s="77"/>
      <c r="B503" s="78"/>
      <c r="C503" s="79"/>
      <c r="D503" s="79"/>
      <c r="E503" s="80" t="str">
        <f aca="false">_xlfn.IFNA(VLOOKUP(C503,'بيانات الآليات '!A:G,4,FALSE()),"")</f>
        <v/>
      </c>
      <c r="F503" s="81" t="str">
        <f aca="false">_xlfn.IFNA(VLOOKUP(C503,'بيانات الآليات '!A:G,2,FALSE()),"")</f>
        <v/>
      </c>
      <c r="G503" s="81"/>
      <c r="H503" s="81" t="str">
        <f aca="false">_xlfn.IFNA(VLOOKUP(C503,'بيانات الآليات '!A:G,5,FALSE()),"")</f>
        <v/>
      </c>
      <c r="I503" s="82"/>
      <c r="J503" s="83" t="str">
        <f aca="false">_xlfn.IFNA(VLOOKUP(I503,Table14543[],2,FALSE()),"")</f>
        <v/>
      </c>
      <c r="K503" s="84" t="str">
        <f aca="false">_xlfn.IFNA(VLOOKUP(I503,Table14543[],3,FALSE()),"")</f>
        <v/>
      </c>
      <c r="L503" s="83" t="str">
        <f aca="false">CONCATENATE("",I503,""," ",J503," ",K503)</f>
        <v>  </v>
      </c>
      <c r="M503" s="85"/>
      <c r="N503" s="86"/>
      <c r="O503" s="86"/>
      <c r="P503" s="86" t="n">
        <f aca="false">N503*O503</f>
        <v>0</v>
      </c>
      <c r="Q503" s="86"/>
      <c r="R503" s="87" t="n">
        <f aca="false">(O503*N503)+Q503</f>
        <v>0</v>
      </c>
      <c r="S503" s="91"/>
    </row>
    <row r="504" customFormat="false" ht="14.25" hidden="false" customHeight="false" outlineLevel="0" collapsed="false">
      <c r="A504" s="77"/>
      <c r="B504" s="78"/>
      <c r="C504" s="79"/>
      <c r="D504" s="79"/>
      <c r="E504" s="80" t="str">
        <f aca="false">_xlfn.IFNA(VLOOKUP(C504,'بيانات الآليات '!A:G,4,FALSE()),"")</f>
        <v/>
      </c>
      <c r="F504" s="81" t="str">
        <f aca="false">_xlfn.IFNA(VLOOKUP(C504,'بيانات الآليات '!A:G,2,FALSE()),"")</f>
        <v/>
      </c>
      <c r="G504" s="81"/>
      <c r="H504" s="81" t="str">
        <f aca="false">_xlfn.IFNA(VLOOKUP(C504,'بيانات الآليات '!A:G,5,FALSE()),"")</f>
        <v/>
      </c>
      <c r="I504" s="82"/>
      <c r="J504" s="83" t="str">
        <f aca="false">_xlfn.IFNA(VLOOKUP(I504,Table14543[],2,FALSE()),"")</f>
        <v/>
      </c>
      <c r="K504" s="84" t="str">
        <f aca="false">_xlfn.IFNA(VLOOKUP(I504,Table14543[],3,FALSE()),"")</f>
        <v/>
      </c>
      <c r="L504" s="83" t="str">
        <f aca="false">CONCATENATE("",I504,""," ",J504," ",K504)</f>
        <v>  </v>
      </c>
      <c r="M504" s="85"/>
      <c r="N504" s="86"/>
      <c r="O504" s="86"/>
      <c r="P504" s="86" t="n">
        <f aca="false">N504*O504</f>
        <v>0</v>
      </c>
      <c r="Q504" s="86"/>
      <c r="R504" s="87" t="n">
        <f aca="false">(O504*N504)+Q504</f>
        <v>0</v>
      </c>
      <c r="S504" s="91"/>
    </row>
    <row r="505" customFormat="false" ht="14.25" hidden="false" customHeight="false" outlineLevel="0" collapsed="false">
      <c r="A505" s="77"/>
      <c r="B505" s="78"/>
      <c r="C505" s="79"/>
      <c r="D505" s="79"/>
      <c r="E505" s="80" t="str">
        <f aca="false">_xlfn.IFNA(VLOOKUP(C505,'بيانات الآليات '!A:G,4,FALSE()),"")</f>
        <v/>
      </c>
      <c r="F505" s="81" t="str">
        <f aca="false">_xlfn.IFNA(VLOOKUP(C505,'بيانات الآليات '!A:G,2,FALSE()),"")</f>
        <v/>
      </c>
      <c r="G505" s="81"/>
      <c r="H505" s="81" t="str">
        <f aca="false">_xlfn.IFNA(VLOOKUP(C505,'بيانات الآليات '!A:G,5,FALSE()),"")</f>
        <v/>
      </c>
      <c r="I505" s="82"/>
      <c r="J505" s="83" t="str">
        <f aca="false">_xlfn.IFNA(VLOOKUP(I505,Table14543[],2,FALSE()),"")</f>
        <v/>
      </c>
      <c r="K505" s="84" t="str">
        <f aca="false">_xlfn.IFNA(VLOOKUP(I505,Table14543[],3,FALSE()),"")</f>
        <v/>
      </c>
      <c r="L505" s="83" t="str">
        <f aca="false">CONCATENATE("",I505,""," ",J505," ",K505)</f>
        <v>  </v>
      </c>
      <c r="M505" s="85"/>
      <c r="N505" s="86"/>
      <c r="O505" s="86"/>
      <c r="P505" s="86" t="n">
        <f aca="false">N505*O505</f>
        <v>0</v>
      </c>
      <c r="Q505" s="86"/>
      <c r="R505" s="87" t="n">
        <f aca="false">(O505*N505)+Q505</f>
        <v>0</v>
      </c>
      <c r="S505" s="91"/>
    </row>
    <row r="506" customFormat="false" ht="14.25" hidden="false" customHeight="false" outlineLevel="0" collapsed="false">
      <c r="A506" s="77"/>
      <c r="B506" s="78"/>
      <c r="C506" s="79"/>
      <c r="D506" s="79"/>
      <c r="E506" s="80" t="str">
        <f aca="false">_xlfn.IFNA(VLOOKUP(C506,'بيانات الآليات '!A:G,4,FALSE()),"")</f>
        <v/>
      </c>
      <c r="F506" s="81" t="str">
        <f aca="false">_xlfn.IFNA(VLOOKUP(C506,'بيانات الآليات '!A:G,2,FALSE()),"")</f>
        <v/>
      </c>
      <c r="G506" s="81"/>
      <c r="H506" s="81" t="str">
        <f aca="false">_xlfn.IFNA(VLOOKUP(C506,'بيانات الآليات '!A:G,5,FALSE()),"")</f>
        <v/>
      </c>
      <c r="I506" s="82"/>
      <c r="J506" s="83" t="str">
        <f aca="false">_xlfn.IFNA(VLOOKUP(I506,Table14543[],2,FALSE()),"")</f>
        <v/>
      </c>
      <c r="K506" s="84" t="str">
        <f aca="false">_xlfn.IFNA(VLOOKUP(I506,Table14543[],3,FALSE()),"")</f>
        <v/>
      </c>
      <c r="L506" s="83" t="str">
        <f aca="false">CONCATENATE("",I506,""," ",J506," ",K506)</f>
        <v>  </v>
      </c>
      <c r="M506" s="85"/>
      <c r="N506" s="86"/>
      <c r="O506" s="86"/>
      <c r="P506" s="86" t="n">
        <f aca="false">N506*O506</f>
        <v>0</v>
      </c>
      <c r="Q506" s="86"/>
      <c r="R506" s="87" t="n">
        <f aca="false">(O506*N506)+Q506</f>
        <v>0</v>
      </c>
      <c r="S506" s="91"/>
    </row>
    <row r="507" customFormat="false" ht="14.25" hidden="false" customHeight="false" outlineLevel="0" collapsed="false">
      <c r="A507" s="77"/>
      <c r="B507" s="78"/>
      <c r="C507" s="79"/>
      <c r="D507" s="79"/>
      <c r="E507" s="80" t="str">
        <f aca="false">_xlfn.IFNA(VLOOKUP(C507,'بيانات الآليات '!A:G,4,FALSE()),"")</f>
        <v/>
      </c>
      <c r="F507" s="81" t="str">
        <f aca="false">_xlfn.IFNA(VLOOKUP(C507,'بيانات الآليات '!A:G,2,FALSE()),"")</f>
        <v/>
      </c>
      <c r="G507" s="81"/>
      <c r="H507" s="81" t="str">
        <f aca="false">_xlfn.IFNA(VLOOKUP(C507,'بيانات الآليات '!A:G,5,FALSE()),"")</f>
        <v/>
      </c>
      <c r="I507" s="82"/>
      <c r="J507" s="83" t="str">
        <f aca="false">_xlfn.IFNA(VLOOKUP(I507,Table14543[],2,FALSE()),"")</f>
        <v/>
      </c>
      <c r="K507" s="84" t="str">
        <f aca="false">_xlfn.IFNA(VLOOKUP(I507,Table14543[],3,FALSE()),"")</f>
        <v/>
      </c>
      <c r="L507" s="83" t="str">
        <f aca="false">CONCATENATE("",I507,""," ",J507," ",K507)</f>
        <v>  </v>
      </c>
      <c r="M507" s="85"/>
      <c r="N507" s="86"/>
      <c r="O507" s="86"/>
      <c r="P507" s="86" t="n">
        <f aca="false">N507*O507</f>
        <v>0</v>
      </c>
      <c r="Q507" s="86"/>
      <c r="R507" s="87" t="n">
        <f aca="false">(O507*N507)+Q507</f>
        <v>0</v>
      </c>
      <c r="S507" s="91"/>
    </row>
    <row r="508" customFormat="false" ht="14.25" hidden="false" customHeight="false" outlineLevel="0" collapsed="false">
      <c r="A508" s="77"/>
      <c r="B508" s="78"/>
      <c r="C508" s="79"/>
      <c r="D508" s="79"/>
      <c r="E508" s="80" t="str">
        <f aca="false">_xlfn.IFNA(VLOOKUP(C508,'بيانات الآليات '!A:G,4,FALSE()),"")</f>
        <v/>
      </c>
      <c r="F508" s="81" t="str">
        <f aca="false">_xlfn.IFNA(VLOOKUP(C508,'بيانات الآليات '!A:G,2,FALSE()),"")</f>
        <v/>
      </c>
      <c r="G508" s="81"/>
      <c r="H508" s="81" t="str">
        <f aca="false">_xlfn.IFNA(VLOOKUP(C508,'بيانات الآليات '!A:G,5,FALSE()),"")</f>
        <v/>
      </c>
      <c r="I508" s="82"/>
      <c r="J508" s="83" t="str">
        <f aca="false">_xlfn.IFNA(VLOOKUP(I508,Table14543[],2,FALSE()),"")</f>
        <v/>
      </c>
      <c r="K508" s="84" t="str">
        <f aca="false">_xlfn.IFNA(VLOOKUP(I508,Table14543[],3,FALSE()),"")</f>
        <v/>
      </c>
      <c r="L508" s="83" t="str">
        <f aca="false">CONCATENATE("",I508,""," ",J508," ",K508)</f>
        <v>  </v>
      </c>
      <c r="M508" s="85"/>
      <c r="N508" s="86"/>
      <c r="O508" s="86"/>
      <c r="P508" s="86" t="n">
        <f aca="false">N508*O508</f>
        <v>0</v>
      </c>
      <c r="Q508" s="86"/>
      <c r="R508" s="87" t="n">
        <f aca="false">(O508*N508)+Q508</f>
        <v>0</v>
      </c>
      <c r="S508" s="91"/>
    </row>
    <row r="509" customFormat="false" ht="14.25" hidden="false" customHeight="false" outlineLevel="0" collapsed="false">
      <c r="A509" s="77"/>
      <c r="B509" s="78"/>
      <c r="C509" s="79"/>
      <c r="D509" s="79"/>
      <c r="E509" s="80" t="str">
        <f aca="false">_xlfn.IFNA(VLOOKUP(C509,'بيانات الآليات '!A:G,4,FALSE()),"")</f>
        <v/>
      </c>
      <c r="F509" s="81" t="str">
        <f aca="false">_xlfn.IFNA(VLOOKUP(C509,'بيانات الآليات '!A:G,2,FALSE()),"")</f>
        <v/>
      </c>
      <c r="G509" s="81"/>
      <c r="H509" s="81" t="str">
        <f aca="false">_xlfn.IFNA(VLOOKUP(C509,'بيانات الآليات '!A:G,5,FALSE()),"")</f>
        <v/>
      </c>
      <c r="I509" s="82"/>
      <c r="J509" s="83" t="str">
        <f aca="false">_xlfn.IFNA(VLOOKUP(I509,Table14543[],2,FALSE()),"")</f>
        <v/>
      </c>
      <c r="K509" s="84" t="str">
        <f aca="false">_xlfn.IFNA(VLOOKUP(I509,Table14543[],3,FALSE()),"")</f>
        <v/>
      </c>
      <c r="L509" s="83" t="str">
        <f aca="false">CONCATENATE("",I509,""," ",J509," ",K509)</f>
        <v>  </v>
      </c>
      <c r="M509" s="85"/>
      <c r="N509" s="86"/>
      <c r="O509" s="86"/>
      <c r="P509" s="86" t="n">
        <f aca="false">N509*O509</f>
        <v>0</v>
      </c>
      <c r="Q509" s="86"/>
      <c r="R509" s="87" t="n">
        <f aca="false">(O509*N509)+Q509</f>
        <v>0</v>
      </c>
      <c r="S509" s="91"/>
    </row>
    <row r="510" customFormat="false" ht="14.25" hidden="false" customHeight="false" outlineLevel="0" collapsed="false">
      <c r="A510" s="77"/>
      <c r="B510" s="78"/>
      <c r="C510" s="79"/>
      <c r="D510" s="79"/>
      <c r="E510" s="80" t="str">
        <f aca="false">_xlfn.IFNA(VLOOKUP(C510,'بيانات الآليات '!A:G,4,FALSE()),"")</f>
        <v/>
      </c>
      <c r="F510" s="81" t="str">
        <f aca="false">_xlfn.IFNA(VLOOKUP(C510,'بيانات الآليات '!A:G,2,FALSE()),"")</f>
        <v/>
      </c>
      <c r="G510" s="81"/>
      <c r="H510" s="81" t="str">
        <f aca="false">_xlfn.IFNA(VLOOKUP(C510,'بيانات الآليات '!A:G,5,FALSE()),"")</f>
        <v/>
      </c>
      <c r="I510" s="82"/>
      <c r="J510" s="83" t="str">
        <f aca="false">_xlfn.IFNA(VLOOKUP(I510,Table14543[],2,FALSE()),"")</f>
        <v/>
      </c>
      <c r="K510" s="84" t="str">
        <f aca="false">_xlfn.IFNA(VLOOKUP(I510,Table14543[],3,FALSE()),"")</f>
        <v/>
      </c>
      <c r="L510" s="83" t="str">
        <f aca="false">CONCATENATE("",I510,""," ",J510," ",K510)</f>
        <v>  </v>
      </c>
      <c r="M510" s="85"/>
      <c r="N510" s="86"/>
      <c r="O510" s="86"/>
      <c r="P510" s="86" t="n">
        <f aca="false">N510*O510</f>
        <v>0</v>
      </c>
      <c r="Q510" s="86"/>
      <c r="R510" s="87" t="n">
        <f aca="false">(O510*N510)+Q510</f>
        <v>0</v>
      </c>
      <c r="S510" s="91"/>
    </row>
    <row r="511" customFormat="false" ht="14.25" hidden="false" customHeight="false" outlineLevel="0" collapsed="false">
      <c r="A511" s="77"/>
      <c r="B511" s="78"/>
      <c r="C511" s="79"/>
      <c r="D511" s="79"/>
      <c r="E511" s="80" t="str">
        <f aca="false">_xlfn.IFNA(VLOOKUP(C511,'بيانات الآليات '!A:G,4,FALSE()),"")</f>
        <v/>
      </c>
      <c r="F511" s="81" t="str">
        <f aca="false">_xlfn.IFNA(VLOOKUP(C511,'بيانات الآليات '!A:G,2,FALSE()),"")</f>
        <v/>
      </c>
      <c r="G511" s="81"/>
      <c r="H511" s="81" t="str">
        <f aca="false">_xlfn.IFNA(VLOOKUP(C511,'بيانات الآليات '!A:G,5,FALSE()),"")</f>
        <v/>
      </c>
      <c r="I511" s="82"/>
      <c r="J511" s="83" t="str">
        <f aca="false">_xlfn.IFNA(VLOOKUP(I511,Table14543[],2,FALSE()),"")</f>
        <v/>
      </c>
      <c r="K511" s="84" t="str">
        <f aca="false">_xlfn.IFNA(VLOOKUP(I511,Table14543[],3,FALSE()),"")</f>
        <v/>
      </c>
      <c r="L511" s="83" t="str">
        <f aca="false">CONCATENATE("",I511,""," ",J511," ",K511)</f>
        <v>  </v>
      </c>
      <c r="M511" s="85"/>
      <c r="N511" s="86"/>
      <c r="O511" s="86"/>
      <c r="P511" s="86" t="n">
        <f aca="false">N511*O511</f>
        <v>0</v>
      </c>
      <c r="Q511" s="86"/>
      <c r="R511" s="87" t="n">
        <f aca="false">(O511*N511)+Q511</f>
        <v>0</v>
      </c>
      <c r="S511" s="91"/>
    </row>
    <row r="512" customFormat="false" ht="14.25" hidden="false" customHeight="false" outlineLevel="0" collapsed="false">
      <c r="A512" s="77"/>
      <c r="B512" s="78"/>
      <c r="C512" s="79"/>
      <c r="D512" s="79"/>
      <c r="E512" s="80" t="str">
        <f aca="false">_xlfn.IFNA(VLOOKUP(C512,'بيانات الآليات '!A:G,4,FALSE()),"")</f>
        <v/>
      </c>
      <c r="F512" s="81" t="str">
        <f aca="false">_xlfn.IFNA(VLOOKUP(C512,'بيانات الآليات '!A:G,2,FALSE()),"")</f>
        <v/>
      </c>
      <c r="G512" s="81"/>
      <c r="H512" s="81" t="str">
        <f aca="false">_xlfn.IFNA(VLOOKUP(C512,'بيانات الآليات '!A:G,5,FALSE()),"")</f>
        <v/>
      </c>
      <c r="I512" s="82"/>
      <c r="J512" s="83" t="str">
        <f aca="false">_xlfn.IFNA(VLOOKUP(I512,Table14543[],2,FALSE()),"")</f>
        <v/>
      </c>
      <c r="K512" s="84" t="str">
        <f aca="false">_xlfn.IFNA(VLOOKUP(I512,Table14543[],3,FALSE()),"")</f>
        <v/>
      </c>
      <c r="L512" s="83" t="str">
        <f aca="false">CONCATENATE("",I512,""," ",J512," ",K512)</f>
        <v>  </v>
      </c>
      <c r="M512" s="85"/>
      <c r="N512" s="86"/>
      <c r="O512" s="86"/>
      <c r="P512" s="86" t="n">
        <f aca="false">N512*O512</f>
        <v>0</v>
      </c>
      <c r="Q512" s="86"/>
      <c r="R512" s="87" t="n">
        <f aca="false">(O512*N512)+Q512</f>
        <v>0</v>
      </c>
      <c r="S512" s="91"/>
    </row>
    <row r="513" customFormat="false" ht="14.25" hidden="false" customHeight="false" outlineLevel="0" collapsed="false">
      <c r="A513" s="77"/>
      <c r="B513" s="78"/>
      <c r="C513" s="79"/>
      <c r="D513" s="79"/>
      <c r="E513" s="80" t="str">
        <f aca="false">_xlfn.IFNA(VLOOKUP(C513,'بيانات الآليات '!A:G,4,FALSE()),"")</f>
        <v/>
      </c>
      <c r="F513" s="81" t="str">
        <f aca="false">_xlfn.IFNA(VLOOKUP(C513,'بيانات الآليات '!A:G,2,FALSE()),"")</f>
        <v/>
      </c>
      <c r="G513" s="81"/>
      <c r="H513" s="81" t="str">
        <f aca="false">_xlfn.IFNA(VLOOKUP(C513,'بيانات الآليات '!A:G,5,FALSE()),"")</f>
        <v/>
      </c>
      <c r="I513" s="82"/>
      <c r="J513" s="83" t="str">
        <f aca="false">_xlfn.IFNA(VLOOKUP(I513,Table14543[],2,FALSE()),"")</f>
        <v/>
      </c>
      <c r="K513" s="84" t="str">
        <f aca="false">_xlfn.IFNA(VLOOKUP(I513,Table14543[],3,FALSE()),"")</f>
        <v/>
      </c>
      <c r="L513" s="83" t="str">
        <f aca="false">CONCATENATE("",I513,""," ",J513," ",K513)</f>
        <v>  </v>
      </c>
      <c r="M513" s="85"/>
      <c r="N513" s="86"/>
      <c r="O513" s="86"/>
      <c r="P513" s="86" t="n">
        <f aca="false">N513*O513</f>
        <v>0</v>
      </c>
      <c r="Q513" s="86"/>
      <c r="R513" s="87" t="n">
        <f aca="false">(O513*N513)+Q513</f>
        <v>0</v>
      </c>
      <c r="S513" s="91"/>
    </row>
    <row r="514" customFormat="false" ht="14.25" hidden="false" customHeight="false" outlineLevel="0" collapsed="false">
      <c r="A514" s="77"/>
      <c r="B514" s="78"/>
      <c r="C514" s="79"/>
      <c r="D514" s="79"/>
      <c r="E514" s="80" t="str">
        <f aca="false">_xlfn.IFNA(VLOOKUP(C514,'بيانات الآليات '!A:G,4,FALSE()),"")</f>
        <v/>
      </c>
      <c r="F514" s="81" t="str">
        <f aca="false">_xlfn.IFNA(VLOOKUP(C514,'بيانات الآليات '!A:G,2,FALSE()),"")</f>
        <v/>
      </c>
      <c r="G514" s="81"/>
      <c r="H514" s="81" t="str">
        <f aca="false">_xlfn.IFNA(VLOOKUP(C514,'بيانات الآليات '!A:G,5,FALSE()),"")</f>
        <v/>
      </c>
      <c r="I514" s="82"/>
      <c r="J514" s="83" t="str">
        <f aca="false">_xlfn.IFNA(VLOOKUP(I514,Table14543[],2,FALSE()),"")</f>
        <v/>
      </c>
      <c r="K514" s="84" t="str">
        <f aca="false">_xlfn.IFNA(VLOOKUP(I514,Table14543[],3,FALSE()),"")</f>
        <v/>
      </c>
      <c r="L514" s="83" t="str">
        <f aca="false">CONCATENATE("",I514,""," ",J514," ",K514)</f>
        <v>  </v>
      </c>
      <c r="M514" s="85"/>
      <c r="N514" s="86"/>
      <c r="O514" s="86"/>
      <c r="P514" s="86" t="n">
        <f aca="false">N514*O514</f>
        <v>0</v>
      </c>
      <c r="Q514" s="86"/>
      <c r="R514" s="87" t="n">
        <f aca="false">(O514*N514)+Q514</f>
        <v>0</v>
      </c>
      <c r="S514" s="91"/>
    </row>
    <row r="515" customFormat="false" ht="14.25" hidden="false" customHeight="false" outlineLevel="0" collapsed="false">
      <c r="A515" s="77"/>
      <c r="B515" s="78"/>
      <c r="C515" s="79"/>
      <c r="D515" s="79"/>
      <c r="E515" s="80" t="str">
        <f aca="false">_xlfn.IFNA(VLOOKUP(C515,'بيانات الآليات '!A:G,4,FALSE()),"")</f>
        <v/>
      </c>
      <c r="F515" s="81" t="str">
        <f aca="false">_xlfn.IFNA(VLOOKUP(C515,'بيانات الآليات '!A:G,2,FALSE()),"")</f>
        <v/>
      </c>
      <c r="G515" s="81"/>
      <c r="H515" s="81" t="str">
        <f aca="false">_xlfn.IFNA(VLOOKUP(C515,'بيانات الآليات '!A:G,5,FALSE()),"")</f>
        <v/>
      </c>
      <c r="I515" s="82"/>
      <c r="J515" s="83" t="str">
        <f aca="false">_xlfn.IFNA(VLOOKUP(I515,Table14543[],2,FALSE()),"")</f>
        <v/>
      </c>
      <c r="K515" s="84" t="str">
        <f aca="false">_xlfn.IFNA(VLOOKUP(I515,Table14543[],3,FALSE()),"")</f>
        <v/>
      </c>
      <c r="L515" s="83" t="str">
        <f aca="false">CONCATENATE("",I515,""," ",J515," ",K515)</f>
        <v>  </v>
      </c>
      <c r="M515" s="85"/>
      <c r="N515" s="86"/>
      <c r="O515" s="86"/>
      <c r="P515" s="86" t="n">
        <f aca="false">N515*O515</f>
        <v>0</v>
      </c>
      <c r="Q515" s="86"/>
      <c r="R515" s="87" t="n">
        <f aca="false">(O515*N515)+Q515</f>
        <v>0</v>
      </c>
      <c r="S515" s="91"/>
    </row>
    <row r="516" customFormat="false" ht="14.25" hidden="false" customHeight="false" outlineLevel="0" collapsed="false">
      <c r="A516" s="77"/>
      <c r="B516" s="78"/>
      <c r="C516" s="79"/>
      <c r="D516" s="79"/>
      <c r="E516" s="80" t="str">
        <f aca="false">_xlfn.IFNA(VLOOKUP(C516,'بيانات الآليات '!A:G,4,FALSE()),"")</f>
        <v/>
      </c>
      <c r="F516" s="81" t="str">
        <f aca="false">_xlfn.IFNA(VLOOKUP(C516,'بيانات الآليات '!A:G,2,FALSE()),"")</f>
        <v/>
      </c>
      <c r="G516" s="81"/>
      <c r="H516" s="81" t="str">
        <f aca="false">_xlfn.IFNA(VLOOKUP(C516,'بيانات الآليات '!A:G,5,FALSE()),"")</f>
        <v/>
      </c>
      <c r="I516" s="82"/>
      <c r="J516" s="83" t="str">
        <f aca="false">_xlfn.IFNA(VLOOKUP(I516,Table14543[],2,FALSE()),"")</f>
        <v/>
      </c>
      <c r="K516" s="84" t="str">
        <f aca="false">_xlfn.IFNA(VLOOKUP(I516,Table14543[],3,FALSE()),"")</f>
        <v/>
      </c>
      <c r="L516" s="83" t="str">
        <f aca="false">CONCATENATE("",I516,""," ",J516," ",K516)</f>
        <v>  </v>
      </c>
      <c r="M516" s="85"/>
      <c r="N516" s="86"/>
      <c r="O516" s="86"/>
      <c r="P516" s="86" t="n">
        <f aca="false">N516*O516</f>
        <v>0</v>
      </c>
      <c r="Q516" s="86"/>
      <c r="R516" s="87" t="n">
        <f aca="false">(O516*N516)+Q516</f>
        <v>0</v>
      </c>
      <c r="S516" s="91"/>
    </row>
    <row r="517" customFormat="false" ht="14.25" hidden="false" customHeight="false" outlineLevel="0" collapsed="false">
      <c r="A517" s="77"/>
      <c r="B517" s="78"/>
      <c r="C517" s="79"/>
      <c r="D517" s="79"/>
      <c r="E517" s="80" t="str">
        <f aca="false">_xlfn.IFNA(VLOOKUP(C517,'بيانات الآليات '!A:G,4,FALSE()),"")</f>
        <v/>
      </c>
      <c r="F517" s="81" t="str">
        <f aca="false">_xlfn.IFNA(VLOOKUP(C517,'بيانات الآليات '!A:G,2,FALSE()),"")</f>
        <v/>
      </c>
      <c r="G517" s="81"/>
      <c r="H517" s="81" t="str">
        <f aca="false">_xlfn.IFNA(VLOOKUP(C517,'بيانات الآليات '!A:G,5,FALSE()),"")</f>
        <v/>
      </c>
      <c r="I517" s="82"/>
      <c r="J517" s="83" t="str">
        <f aca="false">_xlfn.IFNA(VLOOKUP(I517,Table14543[],2,FALSE()),"")</f>
        <v/>
      </c>
      <c r="K517" s="84" t="str">
        <f aca="false">_xlfn.IFNA(VLOOKUP(I517,Table14543[],3,FALSE()),"")</f>
        <v/>
      </c>
      <c r="L517" s="83" t="str">
        <f aca="false">CONCATENATE("",I517,""," ",J517," ",K517)</f>
        <v>  </v>
      </c>
      <c r="M517" s="85"/>
      <c r="N517" s="86"/>
      <c r="O517" s="86"/>
      <c r="P517" s="86" t="n">
        <f aca="false">N517*O517</f>
        <v>0</v>
      </c>
      <c r="Q517" s="86"/>
      <c r="R517" s="87" t="n">
        <f aca="false">(O517*N517)+Q517</f>
        <v>0</v>
      </c>
      <c r="S517" s="91"/>
    </row>
    <row r="518" customFormat="false" ht="14.25" hidden="false" customHeight="false" outlineLevel="0" collapsed="false">
      <c r="A518" s="77"/>
      <c r="B518" s="78"/>
      <c r="C518" s="79"/>
      <c r="D518" s="79"/>
      <c r="E518" s="80" t="str">
        <f aca="false">_xlfn.IFNA(VLOOKUP(C518,'بيانات الآليات '!A:G,4,FALSE()),"")</f>
        <v/>
      </c>
      <c r="F518" s="81" t="str">
        <f aca="false">_xlfn.IFNA(VLOOKUP(C518,'بيانات الآليات '!A:G,2,FALSE()),"")</f>
        <v/>
      </c>
      <c r="G518" s="81"/>
      <c r="H518" s="81" t="str">
        <f aca="false">_xlfn.IFNA(VLOOKUP(C518,'بيانات الآليات '!A:G,5,FALSE()),"")</f>
        <v/>
      </c>
      <c r="I518" s="82"/>
      <c r="J518" s="83" t="str">
        <f aca="false">_xlfn.IFNA(VLOOKUP(I518,Table14543[],2,FALSE()),"")</f>
        <v/>
      </c>
      <c r="K518" s="84" t="str">
        <f aca="false">_xlfn.IFNA(VLOOKUP(I518,Table14543[],3,FALSE()),"")</f>
        <v/>
      </c>
      <c r="L518" s="83" t="str">
        <f aca="false">CONCATENATE("",I518,""," ",J518," ",K518)</f>
        <v>  </v>
      </c>
      <c r="M518" s="85"/>
      <c r="N518" s="86"/>
      <c r="O518" s="86"/>
      <c r="P518" s="86" t="n">
        <f aca="false">N518*O518</f>
        <v>0</v>
      </c>
      <c r="Q518" s="86"/>
      <c r="R518" s="87" t="n">
        <f aca="false">(O518*N518)+Q518</f>
        <v>0</v>
      </c>
      <c r="S518" s="91"/>
    </row>
    <row r="519" customFormat="false" ht="14.25" hidden="false" customHeight="false" outlineLevel="0" collapsed="false">
      <c r="A519" s="77"/>
      <c r="B519" s="78"/>
      <c r="C519" s="79"/>
      <c r="D519" s="79"/>
      <c r="E519" s="80" t="str">
        <f aca="false">_xlfn.IFNA(VLOOKUP(C519,'بيانات الآليات '!A:G,4,FALSE()),"")</f>
        <v/>
      </c>
      <c r="F519" s="81" t="str">
        <f aca="false">_xlfn.IFNA(VLOOKUP(C519,'بيانات الآليات '!A:G,2,FALSE()),"")</f>
        <v/>
      </c>
      <c r="G519" s="81"/>
      <c r="H519" s="81" t="str">
        <f aca="false">_xlfn.IFNA(VLOOKUP(C519,'بيانات الآليات '!A:G,5,FALSE()),"")</f>
        <v/>
      </c>
      <c r="I519" s="82"/>
      <c r="J519" s="83" t="str">
        <f aca="false">_xlfn.IFNA(VLOOKUP(I519,Table14543[],2,FALSE()),"")</f>
        <v/>
      </c>
      <c r="K519" s="84" t="str">
        <f aca="false">_xlfn.IFNA(VLOOKUP(I519,Table14543[],3,FALSE()),"")</f>
        <v/>
      </c>
      <c r="L519" s="83" t="str">
        <f aca="false">CONCATENATE("",I519,""," ",J519," ",K519)</f>
        <v>  </v>
      </c>
      <c r="M519" s="85"/>
      <c r="N519" s="86"/>
      <c r="O519" s="86"/>
      <c r="P519" s="86" t="n">
        <f aca="false">N519*O519</f>
        <v>0</v>
      </c>
      <c r="Q519" s="86"/>
      <c r="R519" s="87" t="n">
        <f aca="false">(O519*N519)+Q519</f>
        <v>0</v>
      </c>
      <c r="S519" s="91"/>
    </row>
    <row r="520" customFormat="false" ht="14.25" hidden="false" customHeight="false" outlineLevel="0" collapsed="false">
      <c r="A520" s="77"/>
      <c r="B520" s="78"/>
      <c r="C520" s="79"/>
      <c r="D520" s="79"/>
      <c r="E520" s="80" t="str">
        <f aca="false">_xlfn.IFNA(VLOOKUP(C520,'بيانات الآليات '!A:G,4,FALSE()),"")</f>
        <v/>
      </c>
      <c r="F520" s="81" t="str">
        <f aca="false">_xlfn.IFNA(VLOOKUP(C520,'بيانات الآليات '!A:G,2,FALSE()),"")</f>
        <v/>
      </c>
      <c r="G520" s="81"/>
      <c r="H520" s="81" t="str">
        <f aca="false">_xlfn.IFNA(VLOOKUP(C520,'بيانات الآليات '!A:G,5,FALSE()),"")</f>
        <v/>
      </c>
      <c r="I520" s="82"/>
      <c r="J520" s="83" t="str">
        <f aca="false">_xlfn.IFNA(VLOOKUP(I520,Table14543[],2,FALSE()),"")</f>
        <v/>
      </c>
      <c r="K520" s="84" t="str">
        <f aca="false">_xlfn.IFNA(VLOOKUP(I520,Table14543[],3,FALSE()),"")</f>
        <v/>
      </c>
      <c r="L520" s="83" t="str">
        <f aca="false">CONCATENATE("",I520,""," ",J520," ",K520)</f>
        <v>  </v>
      </c>
      <c r="M520" s="85"/>
      <c r="N520" s="86"/>
      <c r="O520" s="86"/>
      <c r="P520" s="86" t="n">
        <f aca="false">N520*O520</f>
        <v>0</v>
      </c>
      <c r="Q520" s="86"/>
      <c r="R520" s="87" t="n">
        <f aca="false">(O520*N520)+Q520</f>
        <v>0</v>
      </c>
      <c r="S520" s="91"/>
    </row>
    <row r="521" customFormat="false" ht="14.25" hidden="false" customHeight="false" outlineLevel="0" collapsed="false">
      <c r="A521" s="77"/>
      <c r="B521" s="78"/>
      <c r="C521" s="79"/>
      <c r="D521" s="79"/>
      <c r="E521" s="80" t="str">
        <f aca="false">_xlfn.IFNA(VLOOKUP(C521,'بيانات الآليات '!A:G,4,FALSE()),"")</f>
        <v/>
      </c>
      <c r="F521" s="81" t="str">
        <f aca="false">_xlfn.IFNA(VLOOKUP(C521,'بيانات الآليات '!A:G,2,FALSE()),"")</f>
        <v/>
      </c>
      <c r="G521" s="81"/>
      <c r="H521" s="81" t="str">
        <f aca="false">_xlfn.IFNA(VLOOKUP(C521,'بيانات الآليات '!A:G,5,FALSE()),"")</f>
        <v/>
      </c>
      <c r="I521" s="82"/>
      <c r="J521" s="83" t="str">
        <f aca="false">_xlfn.IFNA(VLOOKUP(I521,Table14543[],2,FALSE()),"")</f>
        <v/>
      </c>
      <c r="K521" s="84" t="str">
        <f aca="false">_xlfn.IFNA(VLOOKUP(I521,Table14543[],3,FALSE()),"")</f>
        <v/>
      </c>
      <c r="L521" s="83" t="str">
        <f aca="false">CONCATENATE("",I521,""," ",J521," ",K521)</f>
        <v>  </v>
      </c>
      <c r="M521" s="85"/>
      <c r="N521" s="86"/>
      <c r="O521" s="86"/>
      <c r="P521" s="86" t="n">
        <f aca="false">N521*O521</f>
        <v>0</v>
      </c>
      <c r="Q521" s="86"/>
      <c r="R521" s="87" t="n">
        <f aca="false">(O521*N521)+Q521</f>
        <v>0</v>
      </c>
      <c r="S521" s="91"/>
    </row>
    <row r="522" customFormat="false" ht="14.25" hidden="false" customHeight="false" outlineLevel="0" collapsed="false">
      <c r="A522" s="77"/>
      <c r="B522" s="78"/>
      <c r="C522" s="79"/>
      <c r="D522" s="79"/>
      <c r="E522" s="80" t="str">
        <f aca="false">_xlfn.IFNA(VLOOKUP(C522,'بيانات الآليات '!A:G,4,FALSE()),"")</f>
        <v/>
      </c>
      <c r="F522" s="81" t="str">
        <f aca="false">_xlfn.IFNA(VLOOKUP(C522,'بيانات الآليات '!A:G,2,FALSE()),"")</f>
        <v/>
      </c>
      <c r="G522" s="81"/>
      <c r="H522" s="81" t="str">
        <f aca="false">_xlfn.IFNA(VLOOKUP(C522,'بيانات الآليات '!A:G,5,FALSE()),"")</f>
        <v/>
      </c>
      <c r="I522" s="82"/>
      <c r="J522" s="83" t="str">
        <f aca="false">_xlfn.IFNA(VLOOKUP(I522,Table14543[],2,FALSE()),"")</f>
        <v/>
      </c>
      <c r="K522" s="84" t="str">
        <f aca="false">_xlfn.IFNA(VLOOKUP(I522,Table14543[],3,FALSE()),"")</f>
        <v/>
      </c>
      <c r="L522" s="83" t="str">
        <f aca="false">CONCATENATE("",I522,""," ",J522," ",K522)</f>
        <v>  </v>
      </c>
      <c r="M522" s="85"/>
      <c r="N522" s="86"/>
      <c r="O522" s="86"/>
      <c r="P522" s="86" t="n">
        <f aca="false">N522*O522</f>
        <v>0</v>
      </c>
      <c r="Q522" s="86"/>
      <c r="R522" s="87" t="n">
        <f aca="false">(O522*N522)+Q522</f>
        <v>0</v>
      </c>
      <c r="S522" s="91"/>
    </row>
    <row r="523" customFormat="false" ht="14.25" hidden="false" customHeight="false" outlineLevel="0" collapsed="false">
      <c r="A523" s="77"/>
      <c r="B523" s="78"/>
      <c r="C523" s="79"/>
      <c r="D523" s="79"/>
      <c r="E523" s="80" t="str">
        <f aca="false">_xlfn.IFNA(VLOOKUP(C523,'بيانات الآليات '!A:G,4,FALSE()),"")</f>
        <v/>
      </c>
      <c r="F523" s="81" t="str">
        <f aca="false">_xlfn.IFNA(VLOOKUP(C523,'بيانات الآليات '!A:G,2,FALSE()),"")</f>
        <v/>
      </c>
      <c r="G523" s="81"/>
      <c r="H523" s="81" t="str">
        <f aca="false">_xlfn.IFNA(VLOOKUP(C523,'بيانات الآليات '!A:G,5,FALSE()),"")</f>
        <v/>
      </c>
      <c r="I523" s="82"/>
      <c r="J523" s="83" t="str">
        <f aca="false">_xlfn.IFNA(VLOOKUP(I523,Table14543[],2,FALSE()),"")</f>
        <v/>
      </c>
      <c r="K523" s="84" t="str">
        <f aca="false">_xlfn.IFNA(VLOOKUP(I523,Table14543[],3,FALSE()),"")</f>
        <v/>
      </c>
      <c r="L523" s="83" t="str">
        <f aca="false">CONCATENATE("",I523,""," ",J523," ",K523)</f>
        <v>  </v>
      </c>
      <c r="M523" s="85"/>
      <c r="N523" s="86"/>
      <c r="O523" s="86"/>
      <c r="P523" s="86" t="n">
        <f aca="false">N523*O523</f>
        <v>0</v>
      </c>
      <c r="Q523" s="86"/>
      <c r="R523" s="87" t="n">
        <f aca="false">(O523*N523)+Q523</f>
        <v>0</v>
      </c>
      <c r="S523" s="91"/>
    </row>
    <row r="524" customFormat="false" ht="14.25" hidden="false" customHeight="false" outlineLevel="0" collapsed="false">
      <c r="A524" s="77"/>
      <c r="B524" s="78"/>
      <c r="C524" s="79"/>
      <c r="D524" s="79"/>
      <c r="E524" s="80" t="str">
        <f aca="false">_xlfn.IFNA(VLOOKUP(C524,'بيانات الآليات '!A:G,4,FALSE()),"")</f>
        <v/>
      </c>
      <c r="F524" s="81" t="str">
        <f aca="false">_xlfn.IFNA(VLOOKUP(C524,'بيانات الآليات '!A:G,2,FALSE()),"")</f>
        <v/>
      </c>
      <c r="G524" s="81"/>
      <c r="H524" s="81" t="str">
        <f aca="false">_xlfn.IFNA(VLOOKUP(C524,'بيانات الآليات '!A:G,5,FALSE()),"")</f>
        <v/>
      </c>
      <c r="I524" s="82"/>
      <c r="J524" s="83" t="str">
        <f aca="false">_xlfn.IFNA(VLOOKUP(I524,Table14543[],2,FALSE()),"")</f>
        <v/>
      </c>
      <c r="K524" s="84" t="str">
        <f aca="false">_xlfn.IFNA(VLOOKUP(I524,Table14543[],3,FALSE()),"")</f>
        <v/>
      </c>
      <c r="L524" s="83" t="str">
        <f aca="false">CONCATENATE("",I524,""," ",J524," ",K524)</f>
        <v>  </v>
      </c>
      <c r="M524" s="85"/>
      <c r="N524" s="86"/>
      <c r="O524" s="86"/>
      <c r="P524" s="86" t="n">
        <f aca="false">N524*O524</f>
        <v>0</v>
      </c>
      <c r="Q524" s="86"/>
      <c r="R524" s="87" t="n">
        <f aca="false">(O524*N524)+Q524</f>
        <v>0</v>
      </c>
      <c r="S524" s="91"/>
    </row>
    <row r="525" customFormat="false" ht="14.25" hidden="false" customHeight="false" outlineLevel="0" collapsed="false">
      <c r="A525" s="77"/>
      <c r="B525" s="78"/>
      <c r="C525" s="79"/>
      <c r="D525" s="79"/>
      <c r="E525" s="80" t="str">
        <f aca="false">_xlfn.IFNA(VLOOKUP(C525,'بيانات الآليات '!A:G,4,FALSE()),"")</f>
        <v/>
      </c>
      <c r="F525" s="81" t="str">
        <f aca="false">_xlfn.IFNA(VLOOKUP(C525,'بيانات الآليات '!A:G,2,FALSE()),"")</f>
        <v/>
      </c>
      <c r="G525" s="81"/>
      <c r="H525" s="81" t="str">
        <f aca="false">_xlfn.IFNA(VLOOKUP(C525,'بيانات الآليات '!A:G,5,FALSE()),"")</f>
        <v/>
      </c>
      <c r="I525" s="82"/>
      <c r="J525" s="83" t="str">
        <f aca="false">_xlfn.IFNA(VLOOKUP(I525,Table14543[],2,FALSE()),"")</f>
        <v/>
      </c>
      <c r="K525" s="84" t="str">
        <f aca="false">_xlfn.IFNA(VLOOKUP(I525,Table14543[],3,FALSE()),"")</f>
        <v/>
      </c>
      <c r="L525" s="83" t="str">
        <f aca="false">CONCATENATE("",I525,""," ",J525," ",K525)</f>
        <v>  </v>
      </c>
      <c r="M525" s="85"/>
      <c r="N525" s="86"/>
      <c r="O525" s="86"/>
      <c r="P525" s="86" t="n">
        <f aca="false">N525*O525</f>
        <v>0</v>
      </c>
      <c r="Q525" s="86"/>
      <c r="R525" s="87" t="n">
        <f aca="false">(O525*N525)+Q525</f>
        <v>0</v>
      </c>
      <c r="S525" s="91"/>
    </row>
    <row r="526" customFormat="false" ht="14.25" hidden="false" customHeight="false" outlineLevel="0" collapsed="false">
      <c r="A526" s="77"/>
      <c r="B526" s="78"/>
      <c r="C526" s="79"/>
      <c r="D526" s="79"/>
      <c r="E526" s="80" t="str">
        <f aca="false">_xlfn.IFNA(VLOOKUP(C526,'بيانات الآليات '!A:G,4,FALSE()),"")</f>
        <v/>
      </c>
      <c r="F526" s="81" t="str">
        <f aca="false">_xlfn.IFNA(VLOOKUP(C526,'بيانات الآليات '!A:G,2,FALSE()),"")</f>
        <v/>
      </c>
      <c r="G526" s="81"/>
      <c r="H526" s="81" t="str">
        <f aca="false">_xlfn.IFNA(VLOOKUP(C526,'بيانات الآليات '!A:G,5,FALSE()),"")</f>
        <v/>
      </c>
      <c r="I526" s="82"/>
      <c r="J526" s="83" t="str">
        <f aca="false">_xlfn.IFNA(VLOOKUP(I526,Table14543[],2,FALSE()),"")</f>
        <v/>
      </c>
      <c r="K526" s="84" t="str">
        <f aca="false">_xlfn.IFNA(VLOOKUP(I526,Table14543[],3,FALSE()),"")</f>
        <v/>
      </c>
      <c r="L526" s="83" t="str">
        <f aca="false">CONCATENATE("",I526,""," ",J526," ",K526)</f>
        <v>  </v>
      </c>
      <c r="M526" s="85"/>
      <c r="N526" s="86"/>
      <c r="O526" s="86"/>
      <c r="P526" s="86" t="n">
        <f aca="false">N526*O526</f>
        <v>0</v>
      </c>
      <c r="Q526" s="86"/>
      <c r="R526" s="87" t="n">
        <f aca="false">(O526*N526)+Q526</f>
        <v>0</v>
      </c>
      <c r="S526" s="91"/>
    </row>
    <row r="527" customFormat="false" ht="14.25" hidden="false" customHeight="false" outlineLevel="0" collapsed="false">
      <c r="A527" s="77"/>
      <c r="B527" s="78"/>
      <c r="C527" s="79"/>
      <c r="D527" s="79"/>
      <c r="E527" s="80" t="str">
        <f aca="false">_xlfn.IFNA(VLOOKUP(C527,'بيانات الآليات '!A:G,4,FALSE()),"")</f>
        <v/>
      </c>
      <c r="F527" s="81" t="str">
        <f aca="false">_xlfn.IFNA(VLOOKUP(C527,'بيانات الآليات '!A:G,2,FALSE()),"")</f>
        <v/>
      </c>
      <c r="G527" s="81"/>
      <c r="H527" s="81" t="str">
        <f aca="false">_xlfn.IFNA(VLOOKUP(C527,'بيانات الآليات '!A:G,5,FALSE()),"")</f>
        <v/>
      </c>
      <c r="I527" s="82"/>
      <c r="J527" s="83" t="str">
        <f aca="false">_xlfn.IFNA(VLOOKUP(I527,Table14543[],2,FALSE()),"")</f>
        <v/>
      </c>
      <c r="K527" s="84" t="str">
        <f aca="false">_xlfn.IFNA(VLOOKUP(I527,Table14543[],3,FALSE()),"")</f>
        <v/>
      </c>
      <c r="L527" s="83" t="str">
        <f aca="false">CONCATENATE("",I527,""," ",J527," ",K527)</f>
        <v>  </v>
      </c>
      <c r="M527" s="85"/>
      <c r="N527" s="86"/>
      <c r="O527" s="86"/>
      <c r="P527" s="86" t="n">
        <f aca="false">N527*O527</f>
        <v>0</v>
      </c>
      <c r="Q527" s="86"/>
      <c r="R527" s="87" t="n">
        <f aca="false">(O527*N527)+Q527</f>
        <v>0</v>
      </c>
      <c r="S527" s="91"/>
    </row>
    <row r="528" customFormat="false" ht="14.25" hidden="false" customHeight="false" outlineLevel="0" collapsed="false">
      <c r="A528" s="77"/>
      <c r="B528" s="78"/>
      <c r="C528" s="79"/>
      <c r="D528" s="79"/>
      <c r="E528" s="80" t="str">
        <f aca="false">_xlfn.IFNA(VLOOKUP(C528,'بيانات الآليات '!A:G,4,FALSE()),"")</f>
        <v/>
      </c>
      <c r="F528" s="81" t="str">
        <f aca="false">_xlfn.IFNA(VLOOKUP(C528,'بيانات الآليات '!A:G,2,FALSE()),"")</f>
        <v/>
      </c>
      <c r="G528" s="81"/>
      <c r="H528" s="81" t="str">
        <f aca="false">_xlfn.IFNA(VLOOKUP(C528,'بيانات الآليات '!A:G,5,FALSE()),"")</f>
        <v/>
      </c>
      <c r="I528" s="82"/>
      <c r="J528" s="83" t="str">
        <f aca="false">_xlfn.IFNA(VLOOKUP(I528,Table14543[],2,FALSE()),"")</f>
        <v/>
      </c>
      <c r="K528" s="84" t="str">
        <f aca="false">_xlfn.IFNA(VLOOKUP(I528,Table14543[],3,FALSE()),"")</f>
        <v/>
      </c>
      <c r="L528" s="83" t="str">
        <f aca="false">CONCATENATE("",I528,""," ",J528," ",K528)</f>
        <v>  </v>
      </c>
      <c r="M528" s="85"/>
      <c r="N528" s="86"/>
      <c r="O528" s="86"/>
      <c r="P528" s="86" t="n">
        <f aca="false">N528*O528</f>
        <v>0</v>
      </c>
      <c r="Q528" s="86"/>
      <c r="R528" s="87" t="n">
        <f aca="false">(O528*N528)+Q528</f>
        <v>0</v>
      </c>
      <c r="S528" s="91"/>
    </row>
    <row r="529" customFormat="false" ht="14.25" hidden="false" customHeight="false" outlineLevel="0" collapsed="false">
      <c r="A529" s="77"/>
      <c r="B529" s="78"/>
      <c r="C529" s="79"/>
      <c r="D529" s="79"/>
      <c r="E529" s="80" t="str">
        <f aca="false">_xlfn.IFNA(VLOOKUP(C529,'بيانات الآليات '!A:G,4,FALSE()),"")</f>
        <v/>
      </c>
      <c r="F529" s="81" t="str">
        <f aca="false">_xlfn.IFNA(VLOOKUP(C529,'بيانات الآليات '!A:G,2,FALSE()),"")</f>
        <v/>
      </c>
      <c r="G529" s="81"/>
      <c r="H529" s="81" t="str">
        <f aca="false">_xlfn.IFNA(VLOOKUP(C529,'بيانات الآليات '!A:G,5,FALSE()),"")</f>
        <v/>
      </c>
      <c r="I529" s="82"/>
      <c r="J529" s="83" t="str">
        <f aca="false">_xlfn.IFNA(VLOOKUP(I529,Table14543[],2,FALSE()),"")</f>
        <v/>
      </c>
      <c r="K529" s="84" t="str">
        <f aca="false">_xlfn.IFNA(VLOOKUP(I529,Table14543[],3,FALSE()),"")</f>
        <v/>
      </c>
      <c r="L529" s="83" t="str">
        <f aca="false">CONCATENATE("",I529,""," ",J529," ",K529)</f>
        <v>  </v>
      </c>
      <c r="M529" s="85"/>
      <c r="N529" s="86"/>
      <c r="O529" s="86"/>
      <c r="P529" s="86" t="n">
        <f aca="false">N529*O529</f>
        <v>0</v>
      </c>
      <c r="Q529" s="86"/>
      <c r="R529" s="87" t="n">
        <f aca="false">(O529*N529)+Q529</f>
        <v>0</v>
      </c>
      <c r="S529" s="91"/>
    </row>
    <row r="530" customFormat="false" ht="14.25" hidden="false" customHeight="false" outlineLevel="0" collapsed="false">
      <c r="A530" s="77"/>
      <c r="B530" s="78"/>
      <c r="C530" s="79"/>
      <c r="D530" s="79"/>
      <c r="E530" s="80" t="str">
        <f aca="false">_xlfn.IFNA(VLOOKUP(C530,'بيانات الآليات '!A:G,4,FALSE()),"")</f>
        <v/>
      </c>
      <c r="F530" s="81" t="str">
        <f aca="false">_xlfn.IFNA(VLOOKUP(C530,'بيانات الآليات '!A:G,2,FALSE()),"")</f>
        <v/>
      </c>
      <c r="G530" s="81"/>
      <c r="H530" s="81" t="str">
        <f aca="false">_xlfn.IFNA(VLOOKUP(C530,'بيانات الآليات '!A:G,5,FALSE()),"")</f>
        <v/>
      </c>
      <c r="I530" s="82"/>
      <c r="J530" s="83" t="str">
        <f aca="false">_xlfn.IFNA(VLOOKUP(I530,Table14543[],2,FALSE()),"")</f>
        <v/>
      </c>
      <c r="K530" s="84" t="str">
        <f aca="false">_xlfn.IFNA(VLOOKUP(I530,Table14543[],3,FALSE()),"")</f>
        <v/>
      </c>
      <c r="L530" s="83" t="str">
        <f aca="false">CONCATENATE("",I530,""," ",J530," ",K530)</f>
        <v>  </v>
      </c>
      <c r="M530" s="85"/>
      <c r="N530" s="86"/>
      <c r="O530" s="86"/>
      <c r="P530" s="86" t="n">
        <f aca="false">N530*O530</f>
        <v>0</v>
      </c>
      <c r="Q530" s="86"/>
      <c r="R530" s="87" t="n">
        <f aca="false">(O530*N530)+Q530</f>
        <v>0</v>
      </c>
      <c r="S530" s="91"/>
    </row>
    <row r="531" customFormat="false" ht="14.25" hidden="false" customHeight="false" outlineLevel="0" collapsed="false">
      <c r="A531" s="77"/>
      <c r="B531" s="78"/>
      <c r="C531" s="79"/>
      <c r="D531" s="79"/>
      <c r="E531" s="80" t="str">
        <f aca="false">_xlfn.IFNA(VLOOKUP(C531,'بيانات الآليات '!A:G,4,FALSE()),"")</f>
        <v/>
      </c>
      <c r="F531" s="81" t="str">
        <f aca="false">_xlfn.IFNA(VLOOKUP(C531,'بيانات الآليات '!A:G,2,FALSE()),"")</f>
        <v/>
      </c>
      <c r="G531" s="81"/>
      <c r="H531" s="81" t="str">
        <f aca="false">_xlfn.IFNA(VLOOKUP(C531,'بيانات الآليات '!A:G,5,FALSE()),"")</f>
        <v/>
      </c>
      <c r="I531" s="82"/>
      <c r="J531" s="83" t="str">
        <f aca="false">_xlfn.IFNA(VLOOKUP(I531,Table14543[],2,FALSE()),"")</f>
        <v/>
      </c>
      <c r="K531" s="84" t="str">
        <f aca="false">_xlfn.IFNA(VLOOKUP(I531,Table14543[],3,FALSE()),"")</f>
        <v/>
      </c>
      <c r="L531" s="83" t="str">
        <f aca="false">CONCATENATE("",I531,""," ",J531," ",K531)</f>
        <v>  </v>
      </c>
      <c r="M531" s="85"/>
      <c r="N531" s="86"/>
      <c r="O531" s="86"/>
      <c r="P531" s="86" t="n">
        <f aca="false">N531*O531</f>
        <v>0</v>
      </c>
      <c r="Q531" s="86"/>
      <c r="R531" s="87" t="n">
        <f aca="false">(O531*N531)+Q531</f>
        <v>0</v>
      </c>
      <c r="S531" s="91"/>
    </row>
    <row r="532" customFormat="false" ht="14.25" hidden="false" customHeight="false" outlineLevel="0" collapsed="false">
      <c r="A532" s="77"/>
      <c r="B532" s="78"/>
      <c r="C532" s="79"/>
      <c r="D532" s="79"/>
      <c r="E532" s="80" t="str">
        <f aca="false">_xlfn.IFNA(VLOOKUP(C532,'بيانات الآليات '!A:G,4,FALSE()),"")</f>
        <v/>
      </c>
      <c r="F532" s="81" t="str">
        <f aca="false">_xlfn.IFNA(VLOOKUP(C532,'بيانات الآليات '!A:G,2,FALSE()),"")</f>
        <v/>
      </c>
      <c r="G532" s="81"/>
      <c r="H532" s="81" t="str">
        <f aca="false">_xlfn.IFNA(VLOOKUP(C532,'بيانات الآليات '!A:G,5,FALSE()),"")</f>
        <v/>
      </c>
      <c r="I532" s="82"/>
      <c r="J532" s="83" t="str">
        <f aca="false">_xlfn.IFNA(VLOOKUP(I532,Table14543[],2,FALSE()),"")</f>
        <v/>
      </c>
      <c r="K532" s="84" t="str">
        <f aca="false">_xlfn.IFNA(VLOOKUP(I532,Table14543[],3,FALSE()),"")</f>
        <v/>
      </c>
      <c r="L532" s="83" t="str">
        <f aca="false">CONCATENATE("",I532,""," ",J532," ",K532)</f>
        <v>  </v>
      </c>
      <c r="M532" s="85"/>
      <c r="N532" s="86"/>
      <c r="O532" s="86"/>
      <c r="P532" s="86" t="n">
        <f aca="false">N532*O532</f>
        <v>0</v>
      </c>
      <c r="Q532" s="86"/>
      <c r="R532" s="87" t="n">
        <f aca="false">(O532*N532)+Q532</f>
        <v>0</v>
      </c>
      <c r="S532" s="91"/>
    </row>
    <row r="533" customFormat="false" ht="14.25" hidden="false" customHeight="false" outlineLevel="0" collapsed="false">
      <c r="A533" s="77"/>
      <c r="B533" s="78"/>
      <c r="C533" s="79"/>
      <c r="D533" s="79"/>
      <c r="E533" s="80" t="str">
        <f aca="false">_xlfn.IFNA(VLOOKUP(C533,'بيانات الآليات '!A:G,4,FALSE()),"")</f>
        <v/>
      </c>
      <c r="F533" s="81" t="str">
        <f aca="false">_xlfn.IFNA(VLOOKUP(C533,'بيانات الآليات '!A:G,2,FALSE()),"")</f>
        <v/>
      </c>
      <c r="G533" s="81"/>
      <c r="H533" s="81" t="str">
        <f aca="false">_xlfn.IFNA(VLOOKUP(C533,'بيانات الآليات '!A:G,5,FALSE()),"")</f>
        <v/>
      </c>
      <c r="I533" s="82"/>
      <c r="J533" s="83" t="str">
        <f aca="false">_xlfn.IFNA(VLOOKUP(I533,Table14543[],2,FALSE()),"")</f>
        <v/>
      </c>
      <c r="K533" s="84" t="str">
        <f aca="false">_xlfn.IFNA(VLOOKUP(I533,Table14543[],3,FALSE()),"")</f>
        <v/>
      </c>
      <c r="L533" s="83" t="str">
        <f aca="false">CONCATENATE("",I533,""," ",J533," ",K533)</f>
        <v>  </v>
      </c>
      <c r="M533" s="85"/>
      <c r="N533" s="86"/>
      <c r="O533" s="86"/>
      <c r="P533" s="86" t="n">
        <f aca="false">N533*O533</f>
        <v>0</v>
      </c>
      <c r="Q533" s="86"/>
      <c r="R533" s="87" t="n">
        <f aca="false">(O533*N533)+Q533</f>
        <v>0</v>
      </c>
      <c r="S533" s="91"/>
    </row>
    <row r="534" customFormat="false" ht="14.25" hidden="false" customHeight="false" outlineLevel="0" collapsed="false">
      <c r="A534" s="77"/>
      <c r="B534" s="78"/>
      <c r="C534" s="79"/>
      <c r="D534" s="79"/>
      <c r="E534" s="80" t="str">
        <f aca="false">_xlfn.IFNA(VLOOKUP(C534,'بيانات الآليات '!A:G,4,FALSE()),"")</f>
        <v/>
      </c>
      <c r="F534" s="81" t="str">
        <f aca="false">_xlfn.IFNA(VLOOKUP(C534,'بيانات الآليات '!A:G,2,FALSE()),"")</f>
        <v/>
      </c>
      <c r="G534" s="81"/>
      <c r="H534" s="81" t="str">
        <f aca="false">_xlfn.IFNA(VLOOKUP(C534,'بيانات الآليات '!A:G,5,FALSE()),"")</f>
        <v/>
      </c>
      <c r="I534" s="82"/>
      <c r="J534" s="83" t="str">
        <f aca="false">_xlfn.IFNA(VLOOKUP(I534,Table14543[],2,FALSE()),"")</f>
        <v/>
      </c>
      <c r="K534" s="84" t="str">
        <f aca="false">_xlfn.IFNA(VLOOKUP(I534,Table14543[],3,FALSE()),"")</f>
        <v/>
      </c>
      <c r="L534" s="83" t="str">
        <f aca="false">CONCATENATE("",I534,""," ",J534," ",K534)</f>
        <v>  </v>
      </c>
      <c r="M534" s="85"/>
      <c r="N534" s="86"/>
      <c r="O534" s="86"/>
      <c r="P534" s="86" t="n">
        <f aca="false">N534*O534</f>
        <v>0</v>
      </c>
      <c r="Q534" s="86"/>
      <c r="R534" s="87" t="n">
        <f aca="false">(O534*N534)+Q534</f>
        <v>0</v>
      </c>
      <c r="S534" s="91"/>
    </row>
    <row r="535" customFormat="false" ht="14.25" hidden="false" customHeight="false" outlineLevel="0" collapsed="false">
      <c r="A535" s="77"/>
      <c r="B535" s="78"/>
      <c r="C535" s="79"/>
      <c r="D535" s="79"/>
      <c r="E535" s="80" t="str">
        <f aca="false">_xlfn.IFNA(VLOOKUP(C535,'بيانات الآليات '!A:G,4,FALSE()),"")</f>
        <v/>
      </c>
      <c r="F535" s="81" t="str">
        <f aca="false">_xlfn.IFNA(VLOOKUP(C535,'بيانات الآليات '!A:G,2,FALSE()),"")</f>
        <v/>
      </c>
      <c r="G535" s="81"/>
      <c r="H535" s="81" t="str">
        <f aca="false">_xlfn.IFNA(VLOOKUP(C535,'بيانات الآليات '!A:G,5,FALSE()),"")</f>
        <v/>
      </c>
      <c r="I535" s="82"/>
      <c r="J535" s="83" t="str">
        <f aca="false">_xlfn.IFNA(VLOOKUP(I535,Table14543[],2,FALSE()),"")</f>
        <v/>
      </c>
      <c r="K535" s="84" t="str">
        <f aca="false">_xlfn.IFNA(VLOOKUP(I535,Table14543[],3,FALSE()),"")</f>
        <v/>
      </c>
      <c r="L535" s="83" t="str">
        <f aca="false">CONCATENATE("",I535,""," ",J535," ",K535)</f>
        <v>  </v>
      </c>
      <c r="M535" s="85"/>
      <c r="N535" s="86"/>
      <c r="O535" s="86"/>
      <c r="P535" s="86" t="n">
        <f aca="false">N535*O535</f>
        <v>0</v>
      </c>
      <c r="Q535" s="86"/>
      <c r="R535" s="87" t="n">
        <f aca="false">(O535*N535)+Q535</f>
        <v>0</v>
      </c>
      <c r="S535" s="91"/>
    </row>
    <row r="536" customFormat="false" ht="14.25" hidden="false" customHeight="false" outlineLevel="0" collapsed="false">
      <c r="A536" s="77"/>
      <c r="B536" s="78"/>
      <c r="C536" s="79"/>
      <c r="D536" s="79"/>
      <c r="E536" s="80" t="str">
        <f aca="false">_xlfn.IFNA(VLOOKUP(C536,'بيانات الآليات '!A:G,4,FALSE()),"")</f>
        <v/>
      </c>
      <c r="F536" s="81" t="str">
        <f aca="false">_xlfn.IFNA(VLOOKUP(C536,'بيانات الآليات '!A:G,2,FALSE()),"")</f>
        <v/>
      </c>
      <c r="G536" s="81"/>
      <c r="H536" s="81" t="str">
        <f aca="false">_xlfn.IFNA(VLOOKUP(C536,'بيانات الآليات '!A:G,5,FALSE()),"")</f>
        <v/>
      </c>
      <c r="I536" s="82"/>
      <c r="J536" s="83" t="str">
        <f aca="false">_xlfn.IFNA(VLOOKUP(I536,Table14543[],2,FALSE()),"")</f>
        <v/>
      </c>
      <c r="K536" s="84" t="str">
        <f aca="false">_xlfn.IFNA(VLOOKUP(I536,Table14543[],3,FALSE()),"")</f>
        <v/>
      </c>
      <c r="L536" s="83" t="str">
        <f aca="false">CONCATENATE("",I536,""," ",J536," ",K536)</f>
        <v>  </v>
      </c>
      <c r="M536" s="85"/>
      <c r="N536" s="86"/>
      <c r="O536" s="86"/>
      <c r="P536" s="86" t="n">
        <f aca="false">N536*O536</f>
        <v>0</v>
      </c>
      <c r="Q536" s="86"/>
      <c r="R536" s="87" t="n">
        <f aca="false">(O536*N536)+Q536</f>
        <v>0</v>
      </c>
      <c r="S536" s="91"/>
    </row>
    <row r="537" customFormat="false" ht="14.25" hidden="false" customHeight="false" outlineLevel="0" collapsed="false">
      <c r="A537" s="77"/>
      <c r="B537" s="78"/>
      <c r="C537" s="79"/>
      <c r="D537" s="79"/>
      <c r="E537" s="80" t="str">
        <f aca="false">_xlfn.IFNA(VLOOKUP(C537,'بيانات الآليات '!A:G,4,FALSE()),"")</f>
        <v/>
      </c>
      <c r="F537" s="81" t="str">
        <f aca="false">_xlfn.IFNA(VLOOKUP(C537,'بيانات الآليات '!A:G,2,FALSE()),"")</f>
        <v/>
      </c>
      <c r="G537" s="81"/>
      <c r="H537" s="81" t="str">
        <f aca="false">_xlfn.IFNA(VLOOKUP(C537,'بيانات الآليات '!A:G,5,FALSE()),"")</f>
        <v/>
      </c>
      <c r="I537" s="82"/>
      <c r="J537" s="83" t="str">
        <f aca="false">_xlfn.IFNA(VLOOKUP(I537,Table14543[],2,FALSE()),"")</f>
        <v/>
      </c>
      <c r="K537" s="84" t="str">
        <f aca="false">_xlfn.IFNA(VLOOKUP(I537,Table14543[],3,FALSE()),"")</f>
        <v/>
      </c>
      <c r="L537" s="83" t="str">
        <f aca="false">CONCATENATE("",I537,""," ",J537," ",K537)</f>
        <v>  </v>
      </c>
      <c r="M537" s="85"/>
      <c r="N537" s="86"/>
      <c r="O537" s="86"/>
      <c r="P537" s="86" t="n">
        <f aca="false">N537*O537</f>
        <v>0</v>
      </c>
      <c r="Q537" s="86"/>
      <c r="R537" s="87" t="n">
        <f aca="false">(O537*N537)+Q537</f>
        <v>0</v>
      </c>
      <c r="S537" s="91"/>
    </row>
    <row r="538" customFormat="false" ht="14.25" hidden="false" customHeight="false" outlineLevel="0" collapsed="false">
      <c r="A538" s="77"/>
      <c r="B538" s="78"/>
      <c r="C538" s="79"/>
      <c r="D538" s="79"/>
      <c r="E538" s="80" t="str">
        <f aca="false">_xlfn.IFNA(VLOOKUP(C538,'بيانات الآليات '!A:G,4,FALSE()),"")</f>
        <v/>
      </c>
      <c r="F538" s="81" t="str">
        <f aca="false">_xlfn.IFNA(VLOOKUP(C538,'بيانات الآليات '!A:G,2,FALSE()),"")</f>
        <v/>
      </c>
      <c r="G538" s="81"/>
      <c r="H538" s="81" t="str">
        <f aca="false">_xlfn.IFNA(VLOOKUP(C538,'بيانات الآليات '!A:G,5,FALSE()),"")</f>
        <v/>
      </c>
      <c r="I538" s="82"/>
      <c r="J538" s="83" t="str">
        <f aca="false">_xlfn.IFNA(VLOOKUP(I538,Table14543[],2,FALSE()),"")</f>
        <v/>
      </c>
      <c r="K538" s="84" t="str">
        <f aca="false">_xlfn.IFNA(VLOOKUP(I538,Table14543[],3,FALSE()),"")</f>
        <v/>
      </c>
      <c r="L538" s="83" t="str">
        <f aca="false">CONCATENATE("",I538,""," ",J538," ",K538)</f>
        <v>  </v>
      </c>
      <c r="M538" s="85"/>
      <c r="N538" s="86"/>
      <c r="O538" s="86"/>
      <c r="P538" s="86" t="n">
        <f aca="false">N538*O538</f>
        <v>0</v>
      </c>
      <c r="Q538" s="86"/>
      <c r="R538" s="87" t="n">
        <f aca="false">(O538*N538)+Q538</f>
        <v>0</v>
      </c>
      <c r="S538" s="91"/>
    </row>
    <row r="539" customFormat="false" ht="14.25" hidden="false" customHeight="false" outlineLevel="0" collapsed="false">
      <c r="A539" s="77"/>
      <c r="B539" s="78"/>
      <c r="C539" s="79"/>
      <c r="D539" s="79"/>
      <c r="E539" s="80" t="str">
        <f aca="false">_xlfn.IFNA(VLOOKUP(C539,'بيانات الآليات '!A:G,4,FALSE()),"")</f>
        <v/>
      </c>
      <c r="F539" s="81" t="str">
        <f aca="false">_xlfn.IFNA(VLOOKUP(C539,'بيانات الآليات '!A:G,2,FALSE()),"")</f>
        <v/>
      </c>
      <c r="G539" s="81"/>
      <c r="H539" s="81" t="str">
        <f aca="false">_xlfn.IFNA(VLOOKUP(C539,'بيانات الآليات '!A:G,5,FALSE()),"")</f>
        <v/>
      </c>
      <c r="I539" s="82"/>
      <c r="J539" s="83" t="str">
        <f aca="false">_xlfn.IFNA(VLOOKUP(I539,Table14543[],2,FALSE()),"")</f>
        <v/>
      </c>
      <c r="K539" s="84" t="str">
        <f aca="false">_xlfn.IFNA(VLOOKUP(I539,Table14543[],3,FALSE()),"")</f>
        <v/>
      </c>
      <c r="L539" s="83" t="str">
        <f aca="false">CONCATENATE("",I539,""," ",J539," ",K539)</f>
        <v>  </v>
      </c>
      <c r="M539" s="85"/>
      <c r="N539" s="86"/>
      <c r="O539" s="86"/>
      <c r="P539" s="86" t="n">
        <f aca="false">N539*O539</f>
        <v>0</v>
      </c>
      <c r="Q539" s="86"/>
      <c r="R539" s="87" t="n">
        <f aca="false">(O539*N539)+Q539</f>
        <v>0</v>
      </c>
      <c r="S539" s="91"/>
    </row>
    <row r="540" customFormat="false" ht="14.25" hidden="false" customHeight="false" outlineLevel="0" collapsed="false">
      <c r="A540" s="77"/>
      <c r="B540" s="78"/>
      <c r="C540" s="79"/>
      <c r="D540" s="79"/>
      <c r="E540" s="80" t="str">
        <f aca="false">_xlfn.IFNA(VLOOKUP(C540,'بيانات الآليات '!A:G,4,FALSE()),"")</f>
        <v/>
      </c>
      <c r="F540" s="81" t="str">
        <f aca="false">_xlfn.IFNA(VLOOKUP(C540,'بيانات الآليات '!A:G,2,FALSE()),"")</f>
        <v/>
      </c>
      <c r="G540" s="81"/>
      <c r="H540" s="81" t="str">
        <f aca="false">_xlfn.IFNA(VLOOKUP(C540,'بيانات الآليات '!A:G,5,FALSE()),"")</f>
        <v/>
      </c>
      <c r="I540" s="82"/>
      <c r="J540" s="83" t="str">
        <f aca="false">_xlfn.IFNA(VLOOKUP(I540,Table14543[],2,FALSE()),"")</f>
        <v/>
      </c>
      <c r="K540" s="84" t="str">
        <f aca="false">_xlfn.IFNA(VLOOKUP(I540,Table14543[],3,FALSE()),"")</f>
        <v/>
      </c>
      <c r="L540" s="83" t="str">
        <f aca="false">CONCATENATE("",I540,""," ",J540," ",K540)</f>
        <v>  </v>
      </c>
      <c r="M540" s="85"/>
      <c r="N540" s="86"/>
      <c r="O540" s="86"/>
      <c r="P540" s="86" t="n">
        <f aca="false">N540*O540</f>
        <v>0</v>
      </c>
      <c r="Q540" s="86"/>
      <c r="R540" s="87" t="n">
        <f aca="false">(O540*N540)+Q540</f>
        <v>0</v>
      </c>
      <c r="S540" s="91"/>
    </row>
    <row r="541" customFormat="false" ht="14.25" hidden="false" customHeight="false" outlineLevel="0" collapsed="false">
      <c r="A541" s="77"/>
      <c r="B541" s="78"/>
      <c r="C541" s="79"/>
      <c r="D541" s="79"/>
      <c r="E541" s="80" t="str">
        <f aca="false">_xlfn.IFNA(VLOOKUP(C541,'بيانات الآليات '!A:G,4,FALSE()),"")</f>
        <v/>
      </c>
      <c r="F541" s="81" t="str">
        <f aca="false">_xlfn.IFNA(VLOOKUP(C541,'بيانات الآليات '!A:G,2,FALSE()),"")</f>
        <v/>
      </c>
      <c r="G541" s="81"/>
      <c r="H541" s="81" t="str">
        <f aca="false">_xlfn.IFNA(VLOOKUP(C541,'بيانات الآليات '!A:G,5,FALSE()),"")</f>
        <v/>
      </c>
      <c r="I541" s="82"/>
      <c r="J541" s="83" t="str">
        <f aca="false">_xlfn.IFNA(VLOOKUP(I541,Table14543[],2,FALSE()),"")</f>
        <v/>
      </c>
      <c r="K541" s="84" t="str">
        <f aca="false">_xlfn.IFNA(VLOOKUP(I541,Table14543[],3,FALSE()),"")</f>
        <v/>
      </c>
      <c r="L541" s="83" t="str">
        <f aca="false">CONCATENATE("",I541,""," ",J541," ",K541)</f>
        <v>  </v>
      </c>
      <c r="M541" s="85"/>
      <c r="N541" s="86"/>
      <c r="O541" s="86"/>
      <c r="P541" s="86" t="n">
        <f aca="false">N541*O541</f>
        <v>0</v>
      </c>
      <c r="Q541" s="86"/>
      <c r="R541" s="87" t="n">
        <f aca="false">(O541*N541)+Q541</f>
        <v>0</v>
      </c>
      <c r="S541" s="91"/>
    </row>
    <row r="542" customFormat="false" ht="14.25" hidden="false" customHeight="false" outlineLevel="0" collapsed="false">
      <c r="A542" s="77"/>
      <c r="B542" s="78"/>
      <c r="C542" s="79"/>
      <c r="D542" s="79"/>
      <c r="E542" s="80" t="str">
        <f aca="false">_xlfn.IFNA(VLOOKUP(C542,'بيانات الآليات '!A:G,4,FALSE()),"")</f>
        <v/>
      </c>
      <c r="F542" s="81" t="str">
        <f aca="false">_xlfn.IFNA(VLOOKUP(C542,'بيانات الآليات '!A:G,2,FALSE()),"")</f>
        <v/>
      </c>
      <c r="G542" s="81"/>
      <c r="H542" s="81" t="str">
        <f aca="false">_xlfn.IFNA(VLOOKUP(C542,'بيانات الآليات '!A:G,5,FALSE()),"")</f>
        <v/>
      </c>
      <c r="I542" s="82"/>
      <c r="J542" s="83" t="str">
        <f aca="false">_xlfn.IFNA(VLOOKUP(I542,Table14543[],2,FALSE()),"")</f>
        <v/>
      </c>
      <c r="K542" s="84" t="str">
        <f aca="false">_xlfn.IFNA(VLOOKUP(I542,Table14543[],3,FALSE()),"")</f>
        <v/>
      </c>
      <c r="L542" s="83" t="str">
        <f aca="false">CONCATENATE("",I542,""," ",J542," ",K542)</f>
        <v>  </v>
      </c>
      <c r="M542" s="85"/>
      <c r="N542" s="86"/>
      <c r="O542" s="86"/>
      <c r="P542" s="86" t="n">
        <f aca="false">N542*O542</f>
        <v>0</v>
      </c>
      <c r="Q542" s="86"/>
      <c r="R542" s="87" t="n">
        <f aca="false">(O542*N542)+Q542</f>
        <v>0</v>
      </c>
      <c r="S542" s="91"/>
    </row>
    <row r="543" customFormat="false" ht="14.25" hidden="false" customHeight="false" outlineLevel="0" collapsed="false">
      <c r="A543" s="77"/>
      <c r="B543" s="78"/>
      <c r="C543" s="79"/>
      <c r="D543" s="79"/>
      <c r="E543" s="80" t="str">
        <f aca="false">_xlfn.IFNA(VLOOKUP(C543,'بيانات الآليات '!A:G,4,FALSE()),"")</f>
        <v/>
      </c>
      <c r="F543" s="81" t="str">
        <f aca="false">_xlfn.IFNA(VLOOKUP(C543,'بيانات الآليات '!A:G,2,FALSE()),"")</f>
        <v/>
      </c>
      <c r="G543" s="81"/>
      <c r="H543" s="81" t="str">
        <f aca="false">_xlfn.IFNA(VLOOKUP(C543,'بيانات الآليات '!A:G,5,FALSE()),"")</f>
        <v/>
      </c>
      <c r="I543" s="82"/>
      <c r="J543" s="83" t="str">
        <f aca="false">_xlfn.IFNA(VLOOKUP(I543,Table14543[],2,FALSE()),"")</f>
        <v/>
      </c>
      <c r="K543" s="84" t="str">
        <f aca="false">_xlfn.IFNA(VLOOKUP(I543,Table14543[],3,FALSE()),"")</f>
        <v/>
      </c>
      <c r="L543" s="83" t="str">
        <f aca="false">CONCATENATE("",I543,""," ",J543," ",K543)</f>
        <v>  </v>
      </c>
      <c r="M543" s="85"/>
      <c r="N543" s="86"/>
      <c r="O543" s="86"/>
      <c r="P543" s="86" t="n">
        <f aca="false">N543*O543</f>
        <v>0</v>
      </c>
      <c r="Q543" s="86"/>
      <c r="R543" s="87" t="n">
        <f aca="false">(O543*N543)+Q543</f>
        <v>0</v>
      </c>
      <c r="S543" s="91"/>
    </row>
    <row r="544" customFormat="false" ht="14.25" hidden="false" customHeight="false" outlineLevel="0" collapsed="false">
      <c r="A544" s="77"/>
      <c r="B544" s="78"/>
      <c r="C544" s="79"/>
      <c r="D544" s="79"/>
      <c r="E544" s="80" t="str">
        <f aca="false">_xlfn.IFNA(VLOOKUP(C544,'بيانات الآليات '!A:G,4,FALSE()),"")</f>
        <v/>
      </c>
      <c r="F544" s="81" t="str">
        <f aca="false">_xlfn.IFNA(VLOOKUP(C544,'بيانات الآليات '!A:G,2,FALSE()),"")</f>
        <v/>
      </c>
      <c r="G544" s="81"/>
      <c r="H544" s="81" t="str">
        <f aca="false">_xlfn.IFNA(VLOOKUP(C544,'بيانات الآليات '!A:G,5,FALSE()),"")</f>
        <v/>
      </c>
      <c r="I544" s="82"/>
      <c r="J544" s="83" t="str">
        <f aca="false">_xlfn.IFNA(VLOOKUP(I544,Table14543[],2,FALSE()),"")</f>
        <v/>
      </c>
      <c r="K544" s="84" t="str">
        <f aca="false">_xlfn.IFNA(VLOOKUP(I544,Table14543[],3,FALSE()),"")</f>
        <v/>
      </c>
      <c r="L544" s="83" t="str">
        <f aca="false">CONCATENATE("",I544,""," ",J544," ",K544)</f>
        <v>  </v>
      </c>
      <c r="M544" s="85"/>
      <c r="N544" s="86"/>
      <c r="O544" s="86"/>
      <c r="P544" s="86" t="n">
        <f aca="false">N544*O544</f>
        <v>0</v>
      </c>
      <c r="Q544" s="86"/>
      <c r="R544" s="87" t="n">
        <f aca="false">(O544*N544)+Q544</f>
        <v>0</v>
      </c>
      <c r="S544" s="91"/>
    </row>
    <row r="545" customFormat="false" ht="14.25" hidden="false" customHeight="false" outlineLevel="0" collapsed="false">
      <c r="A545" s="77"/>
      <c r="B545" s="78"/>
      <c r="C545" s="79"/>
      <c r="D545" s="79"/>
      <c r="E545" s="80" t="str">
        <f aca="false">_xlfn.IFNA(VLOOKUP(C545,'بيانات الآليات '!A:G,4,FALSE()),"")</f>
        <v/>
      </c>
      <c r="F545" s="81" t="str">
        <f aca="false">_xlfn.IFNA(VLOOKUP(C545,'بيانات الآليات '!A:G,2,FALSE()),"")</f>
        <v/>
      </c>
      <c r="G545" s="81"/>
      <c r="H545" s="81" t="str">
        <f aca="false">_xlfn.IFNA(VLOOKUP(C545,'بيانات الآليات '!A:G,5,FALSE()),"")</f>
        <v/>
      </c>
      <c r="I545" s="82"/>
      <c r="J545" s="83" t="str">
        <f aca="false">_xlfn.IFNA(VLOOKUP(I545,Table14543[],2,FALSE()),"")</f>
        <v/>
      </c>
      <c r="K545" s="84" t="str">
        <f aca="false">_xlfn.IFNA(VLOOKUP(I545,Table14543[],3,FALSE()),"")</f>
        <v/>
      </c>
      <c r="L545" s="83" t="str">
        <f aca="false">CONCATENATE("",I545,""," ",J545," ",K545)</f>
        <v>  </v>
      </c>
      <c r="M545" s="85"/>
      <c r="N545" s="86"/>
      <c r="O545" s="86"/>
      <c r="P545" s="86" t="n">
        <f aca="false">N545*O545</f>
        <v>0</v>
      </c>
      <c r="Q545" s="86"/>
      <c r="R545" s="87" t="n">
        <f aca="false">(O545*N545)+Q545</f>
        <v>0</v>
      </c>
      <c r="S545" s="91"/>
    </row>
    <row r="546" customFormat="false" ht="14.25" hidden="false" customHeight="false" outlineLevel="0" collapsed="false">
      <c r="A546" s="77"/>
      <c r="B546" s="78"/>
      <c r="C546" s="79"/>
      <c r="D546" s="79"/>
      <c r="E546" s="80" t="str">
        <f aca="false">_xlfn.IFNA(VLOOKUP(C546,'بيانات الآليات '!A:G,4,FALSE()),"")</f>
        <v/>
      </c>
      <c r="F546" s="81" t="str">
        <f aca="false">_xlfn.IFNA(VLOOKUP(C546,'بيانات الآليات '!A:G,2,FALSE()),"")</f>
        <v/>
      </c>
      <c r="G546" s="81"/>
      <c r="H546" s="81" t="str">
        <f aca="false">_xlfn.IFNA(VLOOKUP(C546,'بيانات الآليات '!A:G,5,FALSE()),"")</f>
        <v/>
      </c>
      <c r="I546" s="82"/>
      <c r="J546" s="83" t="str">
        <f aca="false">_xlfn.IFNA(VLOOKUP(I546,Table14543[],2,FALSE()),"")</f>
        <v/>
      </c>
      <c r="K546" s="84" t="str">
        <f aca="false">_xlfn.IFNA(VLOOKUP(I546,Table14543[],3,FALSE()),"")</f>
        <v/>
      </c>
      <c r="L546" s="83" t="str">
        <f aca="false">CONCATENATE("",I546,""," ",J546," ",K546)</f>
        <v>  </v>
      </c>
      <c r="M546" s="85"/>
      <c r="N546" s="86"/>
      <c r="O546" s="86"/>
      <c r="P546" s="86" t="n">
        <f aca="false">N546*O546</f>
        <v>0</v>
      </c>
      <c r="Q546" s="86"/>
      <c r="R546" s="87" t="n">
        <f aca="false">(O546*N546)+Q546</f>
        <v>0</v>
      </c>
      <c r="S546" s="91"/>
    </row>
    <row r="547" customFormat="false" ht="14.25" hidden="false" customHeight="false" outlineLevel="0" collapsed="false">
      <c r="A547" s="77"/>
      <c r="B547" s="78"/>
      <c r="C547" s="79"/>
      <c r="D547" s="79"/>
      <c r="E547" s="80" t="str">
        <f aca="false">_xlfn.IFNA(VLOOKUP(C547,'بيانات الآليات '!A:G,4,FALSE()),"")</f>
        <v/>
      </c>
      <c r="F547" s="81" t="str">
        <f aca="false">_xlfn.IFNA(VLOOKUP(C547,'بيانات الآليات '!A:G,2,FALSE()),"")</f>
        <v/>
      </c>
      <c r="G547" s="81"/>
      <c r="H547" s="81" t="str">
        <f aca="false">_xlfn.IFNA(VLOOKUP(C547,'بيانات الآليات '!A:G,5,FALSE()),"")</f>
        <v/>
      </c>
      <c r="I547" s="82"/>
      <c r="J547" s="83" t="str">
        <f aca="false">_xlfn.IFNA(VLOOKUP(I547,Table14543[],2,FALSE()),"")</f>
        <v/>
      </c>
      <c r="K547" s="84" t="str">
        <f aca="false">_xlfn.IFNA(VLOOKUP(I547,Table14543[],3,FALSE()),"")</f>
        <v/>
      </c>
      <c r="L547" s="83" t="str">
        <f aca="false">CONCATENATE("",I547,""," ",J547," ",K547)</f>
        <v>  </v>
      </c>
      <c r="M547" s="85"/>
      <c r="N547" s="86"/>
      <c r="O547" s="86"/>
      <c r="P547" s="86" t="n">
        <f aca="false">N547*O547</f>
        <v>0</v>
      </c>
      <c r="Q547" s="86"/>
      <c r="R547" s="87" t="n">
        <f aca="false">(O547*N547)+Q547</f>
        <v>0</v>
      </c>
      <c r="S547" s="91"/>
    </row>
    <row r="548" customFormat="false" ht="14.25" hidden="false" customHeight="false" outlineLevel="0" collapsed="false">
      <c r="A548" s="77"/>
      <c r="B548" s="78"/>
      <c r="C548" s="79"/>
      <c r="D548" s="79"/>
      <c r="E548" s="80" t="str">
        <f aca="false">_xlfn.IFNA(VLOOKUP(C548,'بيانات الآليات '!A:G,4,FALSE()),"")</f>
        <v/>
      </c>
      <c r="F548" s="81" t="str">
        <f aca="false">_xlfn.IFNA(VLOOKUP(C548,'بيانات الآليات '!A:G,2,FALSE()),"")</f>
        <v/>
      </c>
      <c r="G548" s="81"/>
      <c r="H548" s="81" t="str">
        <f aca="false">_xlfn.IFNA(VLOOKUP(C548,'بيانات الآليات '!A:G,5,FALSE()),"")</f>
        <v/>
      </c>
      <c r="I548" s="82"/>
      <c r="J548" s="83" t="str">
        <f aca="false">_xlfn.IFNA(VLOOKUP(I548,Table14543[],2,FALSE()),"")</f>
        <v/>
      </c>
      <c r="K548" s="84" t="str">
        <f aca="false">_xlfn.IFNA(VLOOKUP(I548,Table14543[],3,FALSE()),"")</f>
        <v/>
      </c>
      <c r="L548" s="83" t="str">
        <f aca="false">CONCATENATE("",I548,""," ",J548," ",K548)</f>
        <v>  </v>
      </c>
      <c r="M548" s="85"/>
      <c r="N548" s="86"/>
      <c r="O548" s="86"/>
      <c r="P548" s="86" t="n">
        <f aca="false">N548*O548</f>
        <v>0</v>
      </c>
      <c r="Q548" s="86"/>
      <c r="R548" s="87" t="n">
        <f aca="false">(O548*N548)+Q548</f>
        <v>0</v>
      </c>
      <c r="S548" s="91"/>
    </row>
    <row r="549" customFormat="false" ht="14.25" hidden="false" customHeight="false" outlineLevel="0" collapsed="false">
      <c r="A549" s="77"/>
      <c r="B549" s="78"/>
      <c r="C549" s="79"/>
      <c r="D549" s="79"/>
      <c r="E549" s="80" t="str">
        <f aca="false">_xlfn.IFNA(VLOOKUP(C549,'بيانات الآليات '!A:G,4,FALSE()),"")</f>
        <v/>
      </c>
      <c r="F549" s="81" t="str">
        <f aca="false">_xlfn.IFNA(VLOOKUP(C549,'بيانات الآليات '!A:G,2,FALSE()),"")</f>
        <v/>
      </c>
      <c r="G549" s="81"/>
      <c r="H549" s="81" t="str">
        <f aca="false">_xlfn.IFNA(VLOOKUP(C549,'بيانات الآليات '!A:G,5,FALSE()),"")</f>
        <v/>
      </c>
      <c r="I549" s="82"/>
      <c r="J549" s="83" t="str">
        <f aca="false">_xlfn.IFNA(VLOOKUP(I549,Table14543[],2,FALSE()),"")</f>
        <v/>
      </c>
      <c r="K549" s="84" t="str">
        <f aca="false">_xlfn.IFNA(VLOOKUP(I549,Table14543[],3,FALSE()),"")</f>
        <v/>
      </c>
      <c r="L549" s="83" t="str">
        <f aca="false">CONCATENATE("",I549,""," ",J549," ",K549)</f>
        <v>  </v>
      </c>
      <c r="M549" s="85"/>
      <c r="N549" s="86"/>
      <c r="O549" s="86"/>
      <c r="P549" s="86" t="n">
        <f aca="false">N549*O549</f>
        <v>0</v>
      </c>
      <c r="Q549" s="86"/>
      <c r="R549" s="87" t="n">
        <f aca="false">(O549*N549)+Q549</f>
        <v>0</v>
      </c>
      <c r="S549" s="91"/>
    </row>
    <row r="550" customFormat="false" ht="14.25" hidden="false" customHeight="false" outlineLevel="0" collapsed="false">
      <c r="A550" s="77"/>
      <c r="B550" s="78"/>
      <c r="C550" s="79"/>
      <c r="D550" s="79"/>
      <c r="E550" s="80" t="str">
        <f aca="false">_xlfn.IFNA(VLOOKUP(C550,'بيانات الآليات '!A:G,4,FALSE()),"")</f>
        <v/>
      </c>
      <c r="F550" s="81" t="str">
        <f aca="false">_xlfn.IFNA(VLOOKUP(C550,'بيانات الآليات '!A:G,2,FALSE()),"")</f>
        <v/>
      </c>
      <c r="G550" s="81"/>
      <c r="H550" s="81" t="str">
        <f aca="false">_xlfn.IFNA(VLOOKUP(C550,'بيانات الآليات '!A:G,5,FALSE()),"")</f>
        <v/>
      </c>
      <c r="I550" s="82"/>
      <c r="J550" s="83" t="str">
        <f aca="false">_xlfn.IFNA(VLOOKUP(I550,Table14543[],2,FALSE()),"")</f>
        <v/>
      </c>
      <c r="K550" s="84" t="str">
        <f aca="false">_xlfn.IFNA(VLOOKUP(I550,Table14543[],3,FALSE()),"")</f>
        <v/>
      </c>
      <c r="L550" s="83" t="str">
        <f aca="false">CONCATENATE("",I550,""," ",J550," ",K550)</f>
        <v>  </v>
      </c>
      <c r="M550" s="85"/>
      <c r="N550" s="86"/>
      <c r="O550" s="86"/>
      <c r="P550" s="86" t="n">
        <f aca="false">N550*O550</f>
        <v>0</v>
      </c>
      <c r="Q550" s="86"/>
      <c r="R550" s="87" t="n">
        <f aca="false">(O550*N550)+Q550</f>
        <v>0</v>
      </c>
      <c r="S550" s="91"/>
    </row>
    <row r="551" customFormat="false" ht="14.25" hidden="false" customHeight="false" outlineLevel="0" collapsed="false">
      <c r="A551" s="77"/>
      <c r="B551" s="78"/>
      <c r="C551" s="79"/>
      <c r="D551" s="79"/>
      <c r="E551" s="80" t="str">
        <f aca="false">_xlfn.IFNA(VLOOKUP(C551,'بيانات الآليات '!A:G,4,FALSE()),"")</f>
        <v/>
      </c>
      <c r="F551" s="81" t="str">
        <f aca="false">_xlfn.IFNA(VLOOKUP(C551,'بيانات الآليات '!A:G,2,FALSE()),"")</f>
        <v/>
      </c>
      <c r="G551" s="81"/>
      <c r="H551" s="81" t="str">
        <f aca="false">_xlfn.IFNA(VLOOKUP(C551,'بيانات الآليات '!A:G,5,FALSE()),"")</f>
        <v/>
      </c>
      <c r="I551" s="82"/>
      <c r="J551" s="83" t="str">
        <f aca="false">_xlfn.IFNA(VLOOKUP(I551,Table14543[],2,FALSE()),"")</f>
        <v/>
      </c>
      <c r="K551" s="84" t="str">
        <f aca="false">_xlfn.IFNA(VLOOKUP(I551,Table14543[],3,FALSE()),"")</f>
        <v/>
      </c>
      <c r="L551" s="83" t="str">
        <f aca="false">CONCATENATE("",I551,""," ",J551," ",K551)</f>
        <v>  </v>
      </c>
      <c r="M551" s="85"/>
      <c r="N551" s="86"/>
      <c r="O551" s="86"/>
      <c r="P551" s="86" t="n">
        <f aca="false">N551*O551</f>
        <v>0</v>
      </c>
      <c r="Q551" s="86"/>
      <c r="R551" s="87" t="n">
        <f aca="false">(O551*N551)+Q551</f>
        <v>0</v>
      </c>
      <c r="S551" s="91"/>
    </row>
    <row r="552" customFormat="false" ht="14.25" hidden="false" customHeight="false" outlineLevel="0" collapsed="false">
      <c r="A552" s="77"/>
      <c r="B552" s="78"/>
      <c r="C552" s="79"/>
      <c r="D552" s="79"/>
      <c r="E552" s="80" t="str">
        <f aca="false">_xlfn.IFNA(VLOOKUP(C552,'بيانات الآليات '!A:G,4,FALSE()),"")</f>
        <v/>
      </c>
      <c r="F552" s="81" t="str">
        <f aca="false">_xlfn.IFNA(VLOOKUP(C552,'بيانات الآليات '!A:G,2,FALSE()),"")</f>
        <v/>
      </c>
      <c r="G552" s="81"/>
      <c r="H552" s="81" t="str">
        <f aca="false">_xlfn.IFNA(VLOOKUP(C552,'بيانات الآليات '!A:G,5,FALSE()),"")</f>
        <v/>
      </c>
      <c r="I552" s="82"/>
      <c r="J552" s="83" t="str">
        <f aca="false">_xlfn.IFNA(VLOOKUP(I552,Table14543[],2,FALSE()),"")</f>
        <v/>
      </c>
      <c r="K552" s="84" t="str">
        <f aca="false">_xlfn.IFNA(VLOOKUP(I552,Table14543[],3,FALSE()),"")</f>
        <v/>
      </c>
      <c r="L552" s="83" t="str">
        <f aca="false">CONCATENATE("",I552,""," ",J552," ",K552)</f>
        <v>  </v>
      </c>
      <c r="M552" s="85"/>
      <c r="N552" s="86"/>
      <c r="O552" s="86"/>
      <c r="P552" s="86" t="n">
        <f aca="false">N552*O552</f>
        <v>0</v>
      </c>
      <c r="Q552" s="86"/>
      <c r="R552" s="87" t="n">
        <f aca="false">(O552*N552)+Q552</f>
        <v>0</v>
      </c>
      <c r="S552" s="91"/>
    </row>
    <row r="553" customFormat="false" ht="14.25" hidden="false" customHeight="false" outlineLevel="0" collapsed="false">
      <c r="A553" s="77"/>
      <c r="B553" s="78"/>
      <c r="C553" s="79"/>
      <c r="D553" s="79"/>
      <c r="E553" s="80" t="str">
        <f aca="false">_xlfn.IFNA(VLOOKUP(C553,'بيانات الآليات '!A:G,4,FALSE()),"")</f>
        <v/>
      </c>
      <c r="F553" s="81" t="str">
        <f aca="false">_xlfn.IFNA(VLOOKUP(C553,'بيانات الآليات '!A:G,2,FALSE()),"")</f>
        <v/>
      </c>
      <c r="G553" s="81"/>
      <c r="H553" s="81" t="str">
        <f aca="false">_xlfn.IFNA(VLOOKUP(C553,'بيانات الآليات '!A:G,5,FALSE()),"")</f>
        <v/>
      </c>
      <c r="I553" s="82"/>
      <c r="J553" s="83" t="str">
        <f aca="false">_xlfn.IFNA(VLOOKUP(I553,Table14543[],2,FALSE()),"")</f>
        <v/>
      </c>
      <c r="K553" s="84" t="str">
        <f aca="false">_xlfn.IFNA(VLOOKUP(I553,Table14543[],3,FALSE()),"")</f>
        <v/>
      </c>
      <c r="L553" s="83" t="str">
        <f aca="false">CONCATENATE("",I553,""," ",J553," ",K553)</f>
        <v>  </v>
      </c>
      <c r="M553" s="85"/>
      <c r="N553" s="86"/>
      <c r="O553" s="86"/>
      <c r="P553" s="86" t="n">
        <f aca="false">N553*O553</f>
        <v>0</v>
      </c>
      <c r="Q553" s="86"/>
      <c r="R553" s="87" t="n">
        <f aca="false">(O553*N553)+Q553</f>
        <v>0</v>
      </c>
      <c r="S553" s="91"/>
    </row>
    <row r="554" customFormat="false" ht="14.25" hidden="false" customHeight="false" outlineLevel="0" collapsed="false">
      <c r="A554" s="77"/>
      <c r="B554" s="78"/>
      <c r="C554" s="79"/>
      <c r="D554" s="79"/>
      <c r="E554" s="80" t="str">
        <f aca="false">_xlfn.IFNA(VLOOKUP(C554,'بيانات الآليات '!A:G,4,FALSE()),"")</f>
        <v/>
      </c>
      <c r="F554" s="81" t="str">
        <f aca="false">_xlfn.IFNA(VLOOKUP(C554,'بيانات الآليات '!A:G,2,FALSE()),"")</f>
        <v/>
      </c>
      <c r="G554" s="81"/>
      <c r="H554" s="81" t="str">
        <f aca="false">_xlfn.IFNA(VLOOKUP(C554,'بيانات الآليات '!A:G,5,FALSE()),"")</f>
        <v/>
      </c>
      <c r="I554" s="82"/>
      <c r="J554" s="83" t="str">
        <f aca="false">_xlfn.IFNA(VLOOKUP(I554,Table14543[],2,FALSE()),"")</f>
        <v/>
      </c>
      <c r="K554" s="84" t="str">
        <f aca="false">_xlfn.IFNA(VLOOKUP(I554,Table14543[],3,FALSE()),"")</f>
        <v/>
      </c>
      <c r="L554" s="83" t="str">
        <f aca="false">CONCATENATE("",I554,""," ",J554," ",K554)</f>
        <v>  </v>
      </c>
      <c r="M554" s="85"/>
      <c r="N554" s="86"/>
      <c r="O554" s="86"/>
      <c r="P554" s="86" t="n">
        <f aca="false">N554*O554</f>
        <v>0</v>
      </c>
      <c r="Q554" s="86"/>
      <c r="R554" s="87" t="n">
        <f aca="false">(O554*N554)+Q554</f>
        <v>0</v>
      </c>
      <c r="S554" s="91"/>
    </row>
    <row r="555" customFormat="false" ht="14.25" hidden="false" customHeight="false" outlineLevel="0" collapsed="false">
      <c r="A555" s="77"/>
      <c r="B555" s="78"/>
      <c r="C555" s="79"/>
      <c r="D555" s="79"/>
      <c r="E555" s="80" t="str">
        <f aca="false">_xlfn.IFNA(VLOOKUP(C555,'بيانات الآليات '!A:G,4,FALSE()),"")</f>
        <v/>
      </c>
      <c r="F555" s="81" t="str">
        <f aca="false">_xlfn.IFNA(VLOOKUP(C555,'بيانات الآليات '!A:G,2,FALSE()),"")</f>
        <v/>
      </c>
      <c r="G555" s="81"/>
      <c r="H555" s="81" t="str">
        <f aca="false">_xlfn.IFNA(VLOOKUP(C555,'بيانات الآليات '!A:G,5,FALSE()),"")</f>
        <v/>
      </c>
      <c r="I555" s="82"/>
      <c r="J555" s="83" t="str">
        <f aca="false">_xlfn.IFNA(VLOOKUP(I555,Table14543[],2,FALSE()),"")</f>
        <v/>
      </c>
      <c r="K555" s="84" t="str">
        <f aca="false">_xlfn.IFNA(VLOOKUP(I555,Table14543[],3,FALSE()),"")</f>
        <v/>
      </c>
      <c r="L555" s="83" t="str">
        <f aca="false">CONCATENATE("",I555,""," ",J555," ",K555)</f>
        <v>  </v>
      </c>
      <c r="M555" s="85"/>
      <c r="N555" s="86"/>
      <c r="O555" s="86"/>
      <c r="P555" s="86" t="n">
        <f aca="false">N555*O555</f>
        <v>0</v>
      </c>
      <c r="Q555" s="86"/>
      <c r="R555" s="87" t="n">
        <f aca="false">(O555*N555)+Q555</f>
        <v>0</v>
      </c>
      <c r="S555" s="91"/>
    </row>
    <row r="556" customFormat="false" ht="14.25" hidden="false" customHeight="false" outlineLevel="0" collapsed="false">
      <c r="A556" s="77"/>
      <c r="B556" s="78"/>
      <c r="C556" s="79"/>
      <c r="D556" s="79"/>
      <c r="E556" s="80" t="str">
        <f aca="false">_xlfn.IFNA(VLOOKUP(C556,'بيانات الآليات '!A:G,4,FALSE()),"")</f>
        <v/>
      </c>
      <c r="F556" s="81" t="str">
        <f aca="false">_xlfn.IFNA(VLOOKUP(C556,'بيانات الآليات '!A:G,2,FALSE()),"")</f>
        <v/>
      </c>
      <c r="G556" s="81"/>
      <c r="H556" s="81" t="str">
        <f aca="false">_xlfn.IFNA(VLOOKUP(C556,'بيانات الآليات '!A:G,5,FALSE()),"")</f>
        <v/>
      </c>
      <c r="I556" s="82"/>
      <c r="J556" s="83" t="str">
        <f aca="false">_xlfn.IFNA(VLOOKUP(I556,Table14543[],2,FALSE()),"")</f>
        <v/>
      </c>
      <c r="K556" s="84" t="str">
        <f aca="false">_xlfn.IFNA(VLOOKUP(I556,Table14543[],3,FALSE()),"")</f>
        <v/>
      </c>
      <c r="L556" s="83" t="str">
        <f aca="false">CONCATENATE("",I556,""," ",J556," ",K556)</f>
        <v>  </v>
      </c>
      <c r="M556" s="85"/>
      <c r="N556" s="86"/>
      <c r="O556" s="86"/>
      <c r="P556" s="86" t="n">
        <f aca="false">N556*O556</f>
        <v>0</v>
      </c>
      <c r="Q556" s="86"/>
      <c r="R556" s="87" t="n">
        <f aca="false">(O556*N556)+Q556</f>
        <v>0</v>
      </c>
      <c r="S556" s="91"/>
    </row>
    <row r="557" customFormat="false" ht="14.25" hidden="false" customHeight="false" outlineLevel="0" collapsed="false">
      <c r="A557" s="77"/>
      <c r="B557" s="78"/>
      <c r="C557" s="79"/>
      <c r="D557" s="79"/>
      <c r="E557" s="80" t="str">
        <f aca="false">_xlfn.IFNA(VLOOKUP(C557,'بيانات الآليات '!A:G,4,FALSE()),"")</f>
        <v/>
      </c>
      <c r="F557" s="81" t="str">
        <f aca="false">_xlfn.IFNA(VLOOKUP(C557,'بيانات الآليات '!A:G,2,FALSE()),"")</f>
        <v/>
      </c>
      <c r="G557" s="81"/>
      <c r="H557" s="81" t="str">
        <f aca="false">_xlfn.IFNA(VLOOKUP(C557,'بيانات الآليات '!A:G,5,FALSE()),"")</f>
        <v/>
      </c>
      <c r="I557" s="82"/>
      <c r="J557" s="83" t="str">
        <f aca="false">_xlfn.IFNA(VLOOKUP(I557,Table14543[],2,FALSE()),"")</f>
        <v/>
      </c>
      <c r="K557" s="84" t="str">
        <f aca="false">_xlfn.IFNA(VLOOKUP(I557,Table14543[],3,FALSE()),"")</f>
        <v/>
      </c>
      <c r="L557" s="83" t="str">
        <f aca="false">CONCATENATE("",I557,""," ",J557," ",K557)</f>
        <v>  </v>
      </c>
      <c r="M557" s="85"/>
      <c r="N557" s="86"/>
      <c r="O557" s="86"/>
      <c r="P557" s="86" t="n">
        <f aca="false">N557*O557</f>
        <v>0</v>
      </c>
      <c r="Q557" s="86"/>
      <c r="R557" s="87" t="n">
        <f aca="false">(O557*N557)+Q557</f>
        <v>0</v>
      </c>
      <c r="S557" s="91"/>
    </row>
    <row r="558" customFormat="false" ht="14.25" hidden="false" customHeight="false" outlineLevel="0" collapsed="false">
      <c r="A558" s="77"/>
      <c r="B558" s="78"/>
      <c r="C558" s="79"/>
      <c r="D558" s="79"/>
      <c r="E558" s="80" t="str">
        <f aca="false">_xlfn.IFNA(VLOOKUP(C558,'بيانات الآليات '!A:G,4,FALSE()),"")</f>
        <v/>
      </c>
      <c r="F558" s="81" t="str">
        <f aca="false">_xlfn.IFNA(VLOOKUP(C558,'بيانات الآليات '!A:G,2,FALSE()),"")</f>
        <v/>
      </c>
      <c r="G558" s="81"/>
      <c r="H558" s="81" t="str">
        <f aca="false">_xlfn.IFNA(VLOOKUP(C558,'بيانات الآليات '!A:G,5,FALSE()),"")</f>
        <v/>
      </c>
      <c r="I558" s="82"/>
      <c r="J558" s="83" t="str">
        <f aca="false">_xlfn.IFNA(VLOOKUP(I558,Table14543[],2,FALSE()),"")</f>
        <v/>
      </c>
      <c r="K558" s="84" t="str">
        <f aca="false">_xlfn.IFNA(VLOOKUP(I558,Table14543[],3,FALSE()),"")</f>
        <v/>
      </c>
      <c r="L558" s="83" t="str">
        <f aca="false">CONCATENATE("",I558,""," ",J558," ",K558)</f>
        <v>  </v>
      </c>
      <c r="M558" s="85"/>
      <c r="N558" s="86"/>
      <c r="O558" s="86"/>
      <c r="P558" s="86" t="n">
        <f aca="false">N558*O558</f>
        <v>0</v>
      </c>
      <c r="Q558" s="86"/>
      <c r="R558" s="87" t="n">
        <f aca="false">(O558*N558)+Q558</f>
        <v>0</v>
      </c>
      <c r="S558" s="91"/>
    </row>
    <row r="559" customFormat="false" ht="14.25" hidden="false" customHeight="false" outlineLevel="0" collapsed="false">
      <c r="A559" s="77"/>
      <c r="B559" s="78"/>
      <c r="C559" s="79"/>
      <c r="D559" s="79"/>
      <c r="E559" s="80" t="str">
        <f aca="false">_xlfn.IFNA(VLOOKUP(C559,'بيانات الآليات '!A:G,4,FALSE()),"")</f>
        <v/>
      </c>
      <c r="F559" s="81" t="str">
        <f aca="false">_xlfn.IFNA(VLOOKUP(C559,'بيانات الآليات '!A:G,2,FALSE()),"")</f>
        <v/>
      </c>
      <c r="G559" s="81"/>
      <c r="H559" s="81" t="str">
        <f aca="false">_xlfn.IFNA(VLOOKUP(C559,'بيانات الآليات '!A:G,5,FALSE()),"")</f>
        <v/>
      </c>
      <c r="I559" s="82"/>
      <c r="J559" s="83" t="str">
        <f aca="false">_xlfn.IFNA(VLOOKUP(I559,Table14543[],2,FALSE()),"")</f>
        <v/>
      </c>
      <c r="K559" s="84" t="str">
        <f aca="false">_xlfn.IFNA(VLOOKUP(I559,Table14543[],3,FALSE()),"")</f>
        <v/>
      </c>
      <c r="L559" s="83" t="str">
        <f aca="false">CONCATENATE("",I559,""," ",J559," ",K559)</f>
        <v>  </v>
      </c>
      <c r="M559" s="85"/>
      <c r="N559" s="86"/>
      <c r="O559" s="86"/>
      <c r="P559" s="86" t="n">
        <f aca="false">N559*O559</f>
        <v>0</v>
      </c>
      <c r="Q559" s="86"/>
      <c r="R559" s="87" t="n">
        <f aca="false">(O559*N559)+Q559</f>
        <v>0</v>
      </c>
      <c r="S559" s="91"/>
    </row>
    <row r="560" customFormat="false" ht="14.25" hidden="false" customHeight="false" outlineLevel="0" collapsed="false">
      <c r="A560" s="77"/>
      <c r="B560" s="78"/>
      <c r="C560" s="79"/>
      <c r="D560" s="79"/>
      <c r="E560" s="80" t="str">
        <f aca="false">_xlfn.IFNA(VLOOKUP(C560,'بيانات الآليات '!A:G,4,FALSE()),"")</f>
        <v/>
      </c>
      <c r="F560" s="81" t="str">
        <f aca="false">_xlfn.IFNA(VLOOKUP(C560,'بيانات الآليات '!A:G,2,FALSE()),"")</f>
        <v/>
      </c>
      <c r="G560" s="81"/>
      <c r="H560" s="81" t="str">
        <f aca="false">_xlfn.IFNA(VLOOKUP(C560,'بيانات الآليات '!A:G,5,FALSE()),"")</f>
        <v/>
      </c>
      <c r="I560" s="82"/>
      <c r="J560" s="83" t="str">
        <f aca="false">_xlfn.IFNA(VLOOKUP(I560,Table14543[],2,FALSE()),"")</f>
        <v/>
      </c>
      <c r="K560" s="84" t="str">
        <f aca="false">_xlfn.IFNA(VLOOKUP(I560,Table14543[],3,FALSE()),"")</f>
        <v/>
      </c>
      <c r="L560" s="83" t="str">
        <f aca="false">CONCATENATE("",I560,""," ",J560," ",K560)</f>
        <v>  </v>
      </c>
      <c r="M560" s="85"/>
      <c r="N560" s="86"/>
      <c r="O560" s="86"/>
      <c r="P560" s="86" t="n">
        <f aca="false">N560*O560</f>
        <v>0</v>
      </c>
      <c r="Q560" s="86"/>
      <c r="R560" s="87" t="n">
        <f aca="false">(O560*N560)+Q560</f>
        <v>0</v>
      </c>
      <c r="S560" s="91"/>
    </row>
    <row r="561" customFormat="false" ht="14.25" hidden="false" customHeight="false" outlineLevel="0" collapsed="false">
      <c r="A561" s="77"/>
      <c r="B561" s="78"/>
      <c r="C561" s="79"/>
      <c r="D561" s="79"/>
      <c r="E561" s="80" t="str">
        <f aca="false">_xlfn.IFNA(VLOOKUP(C561,'بيانات الآليات '!A:G,4,FALSE()),"")</f>
        <v/>
      </c>
      <c r="F561" s="81" t="str">
        <f aca="false">_xlfn.IFNA(VLOOKUP(C561,'بيانات الآليات '!A:G,2,FALSE()),"")</f>
        <v/>
      </c>
      <c r="G561" s="81"/>
      <c r="H561" s="81" t="str">
        <f aca="false">_xlfn.IFNA(VLOOKUP(C561,'بيانات الآليات '!A:G,5,FALSE()),"")</f>
        <v/>
      </c>
      <c r="I561" s="82"/>
      <c r="J561" s="83" t="str">
        <f aca="false">_xlfn.IFNA(VLOOKUP(I561,Table14543[],2,FALSE()),"")</f>
        <v/>
      </c>
      <c r="K561" s="84" t="str">
        <f aca="false">_xlfn.IFNA(VLOOKUP(I561,Table14543[],3,FALSE()),"")</f>
        <v/>
      </c>
      <c r="L561" s="83" t="str">
        <f aca="false">CONCATENATE("",I561,""," ",J561," ",K561)</f>
        <v>  </v>
      </c>
      <c r="M561" s="85"/>
      <c r="N561" s="86"/>
      <c r="O561" s="86"/>
      <c r="P561" s="86" t="n">
        <f aca="false">N561*O561</f>
        <v>0</v>
      </c>
      <c r="Q561" s="86"/>
      <c r="R561" s="87" t="n">
        <f aca="false">(O561*N561)+Q561</f>
        <v>0</v>
      </c>
      <c r="S561" s="91"/>
    </row>
    <row r="562" customFormat="false" ht="14.25" hidden="false" customHeight="false" outlineLevel="0" collapsed="false">
      <c r="A562" s="77"/>
      <c r="B562" s="78"/>
      <c r="C562" s="79"/>
      <c r="D562" s="79"/>
      <c r="E562" s="80" t="str">
        <f aca="false">_xlfn.IFNA(VLOOKUP(C562,'بيانات الآليات '!A:G,4,FALSE()),"")</f>
        <v/>
      </c>
      <c r="F562" s="81" t="str">
        <f aca="false">_xlfn.IFNA(VLOOKUP(C562,'بيانات الآليات '!A:G,2,FALSE()),"")</f>
        <v/>
      </c>
      <c r="G562" s="81"/>
      <c r="H562" s="81" t="str">
        <f aca="false">_xlfn.IFNA(VLOOKUP(C562,'بيانات الآليات '!A:G,5,FALSE()),"")</f>
        <v/>
      </c>
      <c r="I562" s="82"/>
      <c r="J562" s="83" t="str">
        <f aca="false">_xlfn.IFNA(VLOOKUP(I562,Table14543[],2,FALSE()),"")</f>
        <v/>
      </c>
      <c r="K562" s="84" t="str">
        <f aca="false">_xlfn.IFNA(VLOOKUP(I562,Table14543[],3,FALSE()),"")</f>
        <v/>
      </c>
      <c r="L562" s="83" t="str">
        <f aca="false">CONCATENATE("",I562,""," ",J562," ",K562)</f>
        <v>  </v>
      </c>
      <c r="M562" s="85"/>
      <c r="N562" s="86"/>
      <c r="O562" s="86"/>
      <c r="P562" s="86" t="n">
        <f aca="false">N562*O562</f>
        <v>0</v>
      </c>
      <c r="Q562" s="86"/>
      <c r="R562" s="87" t="n">
        <f aca="false">(O562*N562)+Q562</f>
        <v>0</v>
      </c>
      <c r="S562" s="91"/>
    </row>
    <row r="563" customFormat="false" ht="14.25" hidden="false" customHeight="false" outlineLevel="0" collapsed="false">
      <c r="A563" s="77"/>
      <c r="B563" s="78"/>
      <c r="C563" s="79"/>
      <c r="D563" s="79"/>
      <c r="E563" s="80" t="str">
        <f aca="false">_xlfn.IFNA(VLOOKUP(C563,'بيانات الآليات '!A:G,4,FALSE()),"")</f>
        <v/>
      </c>
      <c r="F563" s="81" t="str">
        <f aca="false">_xlfn.IFNA(VLOOKUP(C563,'بيانات الآليات '!A:G,2,FALSE()),"")</f>
        <v/>
      </c>
      <c r="G563" s="81"/>
      <c r="H563" s="81" t="str">
        <f aca="false">_xlfn.IFNA(VLOOKUP(C563,'بيانات الآليات '!A:G,5,FALSE()),"")</f>
        <v/>
      </c>
      <c r="I563" s="82"/>
      <c r="J563" s="83" t="str">
        <f aca="false">_xlfn.IFNA(VLOOKUP(I563,Table14543[],2,FALSE()),"")</f>
        <v/>
      </c>
      <c r="K563" s="84" t="str">
        <f aca="false">_xlfn.IFNA(VLOOKUP(I563,Table14543[],3,FALSE()),"")</f>
        <v/>
      </c>
      <c r="L563" s="83" t="str">
        <f aca="false">CONCATENATE("",I563,""," ",J563," ",K563)</f>
        <v>  </v>
      </c>
      <c r="M563" s="85"/>
      <c r="N563" s="86"/>
      <c r="O563" s="86"/>
      <c r="P563" s="86" t="n">
        <f aca="false">N563*O563</f>
        <v>0</v>
      </c>
      <c r="Q563" s="86"/>
      <c r="R563" s="87" t="n">
        <f aca="false">(O563*N563)+Q563</f>
        <v>0</v>
      </c>
      <c r="S563" s="91"/>
    </row>
    <row r="564" customFormat="false" ht="14.25" hidden="false" customHeight="false" outlineLevel="0" collapsed="false">
      <c r="A564" s="77"/>
      <c r="B564" s="78"/>
      <c r="C564" s="79"/>
      <c r="D564" s="79"/>
      <c r="E564" s="80" t="str">
        <f aca="false">_xlfn.IFNA(VLOOKUP(C564,'بيانات الآليات '!A:G,4,FALSE()),"")</f>
        <v/>
      </c>
      <c r="F564" s="81" t="str">
        <f aca="false">_xlfn.IFNA(VLOOKUP(C564,'بيانات الآليات '!A:G,2,FALSE()),"")</f>
        <v/>
      </c>
      <c r="G564" s="81"/>
      <c r="H564" s="81" t="str">
        <f aca="false">_xlfn.IFNA(VLOOKUP(C564,'بيانات الآليات '!A:G,5,FALSE()),"")</f>
        <v/>
      </c>
      <c r="I564" s="82"/>
      <c r="J564" s="83" t="str">
        <f aca="false">_xlfn.IFNA(VLOOKUP(I564,Table14543[],2,FALSE()),"")</f>
        <v/>
      </c>
      <c r="K564" s="84" t="str">
        <f aca="false">_xlfn.IFNA(VLOOKUP(I564,Table14543[],3,FALSE()),"")</f>
        <v/>
      </c>
      <c r="L564" s="83" t="str">
        <f aca="false">CONCATENATE("",I564,""," ",J564," ",K564)</f>
        <v>  </v>
      </c>
      <c r="M564" s="85"/>
      <c r="N564" s="86"/>
      <c r="O564" s="86"/>
      <c r="P564" s="86" t="n">
        <f aca="false">N564*O564</f>
        <v>0</v>
      </c>
      <c r="Q564" s="86"/>
      <c r="R564" s="87" t="n">
        <f aca="false">(O564*N564)+Q564</f>
        <v>0</v>
      </c>
      <c r="S564" s="91"/>
    </row>
    <row r="565" customFormat="false" ht="14.25" hidden="false" customHeight="false" outlineLevel="0" collapsed="false">
      <c r="A565" s="77"/>
      <c r="B565" s="78"/>
      <c r="C565" s="79"/>
      <c r="D565" s="79"/>
      <c r="E565" s="80" t="str">
        <f aca="false">_xlfn.IFNA(VLOOKUP(C565,'بيانات الآليات '!A:G,4,FALSE()),"")</f>
        <v/>
      </c>
      <c r="F565" s="81" t="str">
        <f aca="false">_xlfn.IFNA(VLOOKUP(C565,'بيانات الآليات '!A:G,2,FALSE()),"")</f>
        <v/>
      </c>
      <c r="G565" s="81"/>
      <c r="H565" s="81" t="str">
        <f aca="false">_xlfn.IFNA(VLOOKUP(C565,'بيانات الآليات '!A:G,5,FALSE()),"")</f>
        <v/>
      </c>
      <c r="I565" s="82"/>
      <c r="J565" s="83" t="str">
        <f aca="false">_xlfn.IFNA(VLOOKUP(I565,Table14543[],2,FALSE()),"")</f>
        <v/>
      </c>
      <c r="K565" s="84" t="str">
        <f aca="false">_xlfn.IFNA(VLOOKUP(I565,Table14543[],3,FALSE()),"")</f>
        <v/>
      </c>
      <c r="L565" s="83" t="str">
        <f aca="false">CONCATENATE("",I565,""," ",J565," ",K565)</f>
        <v>  </v>
      </c>
      <c r="M565" s="85"/>
      <c r="N565" s="86"/>
      <c r="O565" s="86"/>
      <c r="P565" s="86" t="n">
        <f aca="false">N565*O565</f>
        <v>0</v>
      </c>
      <c r="Q565" s="86"/>
      <c r="R565" s="87" t="n">
        <f aca="false">(O565*N565)+Q565</f>
        <v>0</v>
      </c>
      <c r="S565" s="91"/>
    </row>
    <row r="566" customFormat="false" ht="14.25" hidden="false" customHeight="false" outlineLevel="0" collapsed="false">
      <c r="A566" s="77"/>
      <c r="B566" s="78"/>
      <c r="C566" s="79"/>
      <c r="D566" s="79"/>
      <c r="E566" s="80" t="str">
        <f aca="false">_xlfn.IFNA(VLOOKUP(C566,'بيانات الآليات '!A:G,4,FALSE()),"")</f>
        <v/>
      </c>
      <c r="F566" s="81" t="str">
        <f aca="false">_xlfn.IFNA(VLOOKUP(C566,'بيانات الآليات '!A:G,2,FALSE()),"")</f>
        <v/>
      </c>
      <c r="G566" s="81"/>
      <c r="H566" s="81" t="str">
        <f aca="false">_xlfn.IFNA(VLOOKUP(C566,'بيانات الآليات '!A:G,5,FALSE()),"")</f>
        <v/>
      </c>
      <c r="I566" s="82"/>
      <c r="J566" s="83" t="str">
        <f aca="false">_xlfn.IFNA(VLOOKUP(I566,Table14543[],2,FALSE()),"")</f>
        <v/>
      </c>
      <c r="K566" s="84" t="str">
        <f aca="false">_xlfn.IFNA(VLOOKUP(I566,Table14543[],3,FALSE()),"")</f>
        <v/>
      </c>
      <c r="L566" s="83" t="str">
        <f aca="false">CONCATENATE("",I566,""," ",J566," ",K566)</f>
        <v>  </v>
      </c>
      <c r="M566" s="85"/>
      <c r="N566" s="86"/>
      <c r="O566" s="86"/>
      <c r="P566" s="86" t="n">
        <f aca="false">N566*O566</f>
        <v>0</v>
      </c>
      <c r="Q566" s="86"/>
      <c r="R566" s="87" t="n">
        <f aca="false">(O566*N566)+Q566</f>
        <v>0</v>
      </c>
      <c r="S566" s="91"/>
    </row>
    <row r="567" customFormat="false" ht="14.25" hidden="false" customHeight="false" outlineLevel="0" collapsed="false">
      <c r="A567" s="77"/>
      <c r="B567" s="78"/>
      <c r="C567" s="79"/>
      <c r="D567" s="79"/>
      <c r="E567" s="80" t="str">
        <f aca="false">_xlfn.IFNA(VLOOKUP(C567,'بيانات الآليات '!A:G,4,FALSE()),"")</f>
        <v/>
      </c>
      <c r="F567" s="81" t="str">
        <f aca="false">_xlfn.IFNA(VLOOKUP(C567,'بيانات الآليات '!A:G,2,FALSE()),"")</f>
        <v/>
      </c>
      <c r="G567" s="81"/>
      <c r="H567" s="81" t="str">
        <f aca="false">_xlfn.IFNA(VLOOKUP(C567,'بيانات الآليات '!A:G,5,FALSE()),"")</f>
        <v/>
      </c>
      <c r="I567" s="82"/>
      <c r="J567" s="83" t="str">
        <f aca="false">_xlfn.IFNA(VLOOKUP(I567,Table14543[],2,FALSE()),"")</f>
        <v/>
      </c>
      <c r="K567" s="84" t="str">
        <f aca="false">_xlfn.IFNA(VLOOKUP(I567,Table14543[],3,FALSE()),"")</f>
        <v/>
      </c>
      <c r="L567" s="83" t="str">
        <f aca="false">CONCATENATE("",I567,""," ",J567," ",K567)</f>
        <v>  </v>
      </c>
      <c r="M567" s="85"/>
      <c r="N567" s="86"/>
      <c r="O567" s="86"/>
      <c r="P567" s="86" t="n">
        <f aca="false">N567*O567</f>
        <v>0</v>
      </c>
      <c r="Q567" s="86"/>
      <c r="R567" s="87" t="n">
        <f aca="false">(O567*N567)+Q567</f>
        <v>0</v>
      </c>
      <c r="S567" s="91"/>
    </row>
    <row r="568" customFormat="false" ht="14.25" hidden="false" customHeight="false" outlineLevel="0" collapsed="false">
      <c r="A568" s="77"/>
      <c r="B568" s="78"/>
      <c r="C568" s="79"/>
      <c r="D568" s="79"/>
      <c r="E568" s="80" t="str">
        <f aca="false">_xlfn.IFNA(VLOOKUP(C568,'بيانات الآليات '!A:G,4,FALSE()),"")</f>
        <v/>
      </c>
      <c r="F568" s="81" t="str">
        <f aca="false">_xlfn.IFNA(VLOOKUP(C568,'بيانات الآليات '!A:G,2,FALSE()),"")</f>
        <v/>
      </c>
      <c r="G568" s="81"/>
      <c r="H568" s="81" t="str">
        <f aca="false">_xlfn.IFNA(VLOOKUP(C568,'بيانات الآليات '!A:G,5,FALSE()),"")</f>
        <v/>
      </c>
      <c r="I568" s="82"/>
      <c r="J568" s="83" t="str">
        <f aca="false">_xlfn.IFNA(VLOOKUP(I568,Table14543[],2,FALSE()),"")</f>
        <v/>
      </c>
      <c r="K568" s="84" t="str">
        <f aca="false">_xlfn.IFNA(VLOOKUP(I568,Table14543[],3,FALSE()),"")</f>
        <v/>
      </c>
      <c r="L568" s="83" t="str">
        <f aca="false">CONCATENATE("",I568,""," ",J568," ",K568)</f>
        <v>  </v>
      </c>
      <c r="M568" s="85"/>
      <c r="N568" s="86"/>
      <c r="O568" s="86"/>
      <c r="P568" s="86" t="n">
        <f aca="false">N568*O568</f>
        <v>0</v>
      </c>
      <c r="Q568" s="86"/>
      <c r="R568" s="87" t="n">
        <f aca="false">(O568*N568)+Q568</f>
        <v>0</v>
      </c>
      <c r="S568" s="91"/>
    </row>
    <row r="569" customFormat="false" ht="14.25" hidden="false" customHeight="false" outlineLevel="0" collapsed="false">
      <c r="A569" s="77"/>
      <c r="B569" s="78"/>
      <c r="C569" s="79"/>
      <c r="D569" s="79"/>
      <c r="E569" s="80" t="str">
        <f aca="false">_xlfn.IFNA(VLOOKUP(C569,'بيانات الآليات '!A:G,4,FALSE()),"")</f>
        <v/>
      </c>
      <c r="F569" s="81" t="str">
        <f aca="false">_xlfn.IFNA(VLOOKUP(C569,'بيانات الآليات '!A:G,2,FALSE()),"")</f>
        <v/>
      </c>
      <c r="G569" s="81"/>
      <c r="H569" s="81" t="str">
        <f aca="false">_xlfn.IFNA(VLOOKUP(C569,'بيانات الآليات '!A:G,5,FALSE()),"")</f>
        <v/>
      </c>
      <c r="I569" s="82"/>
      <c r="J569" s="83" t="str">
        <f aca="false">_xlfn.IFNA(VLOOKUP(I569,Table14543[],2,FALSE()),"")</f>
        <v/>
      </c>
      <c r="K569" s="84" t="str">
        <f aca="false">_xlfn.IFNA(VLOOKUP(I569,Table14543[],3,FALSE()),"")</f>
        <v/>
      </c>
      <c r="L569" s="83" t="str">
        <f aca="false">CONCATENATE("",I569,""," ",J569," ",K569)</f>
        <v>  </v>
      </c>
      <c r="M569" s="85"/>
      <c r="N569" s="86"/>
      <c r="O569" s="86"/>
      <c r="P569" s="86" t="n">
        <f aca="false">N569*O569</f>
        <v>0</v>
      </c>
      <c r="Q569" s="86"/>
      <c r="R569" s="87" t="n">
        <f aca="false">(O569*N569)+Q569</f>
        <v>0</v>
      </c>
      <c r="S569" s="91"/>
    </row>
    <row r="570" customFormat="false" ht="14.25" hidden="false" customHeight="false" outlineLevel="0" collapsed="false">
      <c r="A570" s="77"/>
      <c r="B570" s="78"/>
      <c r="C570" s="79"/>
      <c r="D570" s="79"/>
      <c r="E570" s="80" t="str">
        <f aca="false">_xlfn.IFNA(VLOOKUP(C570,'بيانات الآليات '!A:G,4,FALSE()),"")</f>
        <v/>
      </c>
      <c r="F570" s="81" t="str">
        <f aca="false">_xlfn.IFNA(VLOOKUP(C570,'بيانات الآليات '!A:G,2,FALSE()),"")</f>
        <v/>
      </c>
      <c r="G570" s="81"/>
      <c r="H570" s="81" t="str">
        <f aca="false">_xlfn.IFNA(VLOOKUP(C570,'بيانات الآليات '!A:G,5,FALSE()),"")</f>
        <v/>
      </c>
      <c r="I570" s="82"/>
      <c r="J570" s="83" t="str">
        <f aca="false">_xlfn.IFNA(VLOOKUP(I570,Table14543[],2,FALSE()),"")</f>
        <v/>
      </c>
      <c r="K570" s="84" t="str">
        <f aca="false">_xlfn.IFNA(VLOOKUP(I570,Table14543[],3,FALSE()),"")</f>
        <v/>
      </c>
      <c r="L570" s="83" t="str">
        <f aca="false">CONCATENATE("",I570,""," ",J570," ",K570)</f>
        <v>  </v>
      </c>
      <c r="M570" s="85"/>
      <c r="N570" s="86"/>
      <c r="O570" s="86"/>
      <c r="P570" s="86" t="n">
        <f aca="false">N570*O570</f>
        <v>0</v>
      </c>
      <c r="Q570" s="86"/>
      <c r="R570" s="87" t="n">
        <f aca="false">(O570*N570)+Q570</f>
        <v>0</v>
      </c>
      <c r="S570" s="91"/>
    </row>
    <row r="571" customFormat="false" ht="14.25" hidden="false" customHeight="false" outlineLevel="0" collapsed="false">
      <c r="A571" s="77"/>
      <c r="B571" s="78"/>
      <c r="C571" s="79"/>
      <c r="D571" s="79"/>
      <c r="E571" s="80" t="str">
        <f aca="false">_xlfn.IFNA(VLOOKUP(C571,'بيانات الآليات '!A:G,4,FALSE()),"")</f>
        <v/>
      </c>
      <c r="F571" s="81" t="str">
        <f aca="false">_xlfn.IFNA(VLOOKUP(C571,'بيانات الآليات '!A:G,2,FALSE()),"")</f>
        <v/>
      </c>
      <c r="G571" s="81"/>
      <c r="H571" s="81" t="str">
        <f aca="false">_xlfn.IFNA(VLOOKUP(C571,'بيانات الآليات '!A:G,5,FALSE()),"")</f>
        <v/>
      </c>
      <c r="I571" s="82"/>
      <c r="J571" s="83" t="str">
        <f aca="false">_xlfn.IFNA(VLOOKUP(I571,Table14543[],2,FALSE()),"")</f>
        <v/>
      </c>
      <c r="K571" s="84" t="str">
        <f aca="false">_xlfn.IFNA(VLOOKUP(I571,Table14543[],3,FALSE()),"")</f>
        <v/>
      </c>
      <c r="L571" s="83" t="str">
        <f aca="false">CONCATENATE("",I571,""," ",J571," ",K571)</f>
        <v>  </v>
      </c>
      <c r="M571" s="85"/>
      <c r="N571" s="86"/>
      <c r="O571" s="86"/>
      <c r="P571" s="86" t="n">
        <f aca="false">N571*O571</f>
        <v>0</v>
      </c>
      <c r="Q571" s="86"/>
      <c r="R571" s="87" t="n">
        <f aca="false">(O571*N571)+Q571</f>
        <v>0</v>
      </c>
      <c r="S571" s="91"/>
    </row>
    <row r="572" customFormat="false" ht="14.25" hidden="false" customHeight="false" outlineLevel="0" collapsed="false">
      <c r="A572" s="77"/>
      <c r="B572" s="78"/>
      <c r="C572" s="79"/>
      <c r="D572" s="79"/>
      <c r="E572" s="80" t="str">
        <f aca="false">_xlfn.IFNA(VLOOKUP(C572,'بيانات الآليات '!A:G,4,FALSE()),"")</f>
        <v/>
      </c>
      <c r="F572" s="81" t="str">
        <f aca="false">_xlfn.IFNA(VLOOKUP(C572,'بيانات الآليات '!A:G,2,FALSE()),"")</f>
        <v/>
      </c>
      <c r="G572" s="81"/>
      <c r="H572" s="81" t="str">
        <f aca="false">_xlfn.IFNA(VLOOKUP(C572,'بيانات الآليات '!A:G,5,FALSE()),"")</f>
        <v/>
      </c>
      <c r="I572" s="82"/>
      <c r="J572" s="83" t="str">
        <f aca="false">_xlfn.IFNA(VLOOKUP(I572,Table14543[],2,FALSE()),"")</f>
        <v/>
      </c>
      <c r="K572" s="84" t="str">
        <f aca="false">_xlfn.IFNA(VLOOKUP(I572,Table14543[],3,FALSE()),"")</f>
        <v/>
      </c>
      <c r="L572" s="83" t="str">
        <f aca="false">CONCATENATE("",I572,""," ",J572," ",K572)</f>
        <v>  </v>
      </c>
      <c r="M572" s="85"/>
      <c r="N572" s="86"/>
      <c r="O572" s="86"/>
      <c r="P572" s="86" t="n">
        <f aca="false">N572*O572</f>
        <v>0</v>
      </c>
      <c r="Q572" s="86"/>
      <c r="R572" s="87" t="n">
        <f aca="false">(O572*N572)+Q572</f>
        <v>0</v>
      </c>
      <c r="S572" s="91"/>
    </row>
    <row r="573" customFormat="false" ht="14.25" hidden="false" customHeight="false" outlineLevel="0" collapsed="false">
      <c r="A573" s="77"/>
      <c r="B573" s="78"/>
      <c r="C573" s="79"/>
      <c r="D573" s="79"/>
      <c r="E573" s="80" t="str">
        <f aca="false">_xlfn.IFNA(VLOOKUP(C573,'بيانات الآليات '!A:G,4,FALSE()),"")</f>
        <v/>
      </c>
      <c r="F573" s="81" t="str">
        <f aca="false">_xlfn.IFNA(VLOOKUP(C573,'بيانات الآليات '!A:G,2,FALSE()),"")</f>
        <v/>
      </c>
      <c r="G573" s="81"/>
      <c r="H573" s="81" t="str">
        <f aca="false">_xlfn.IFNA(VLOOKUP(C573,'بيانات الآليات '!A:G,5,FALSE()),"")</f>
        <v/>
      </c>
      <c r="I573" s="82"/>
      <c r="J573" s="83" t="str">
        <f aca="false">_xlfn.IFNA(VLOOKUP(I573,Table14543[],2,FALSE()),"")</f>
        <v/>
      </c>
      <c r="K573" s="84" t="str">
        <f aca="false">_xlfn.IFNA(VLOOKUP(I573,Table14543[],3,FALSE()),"")</f>
        <v/>
      </c>
      <c r="L573" s="83" t="str">
        <f aca="false">CONCATENATE("",I573,""," ",J573," ",K573)</f>
        <v>  </v>
      </c>
      <c r="M573" s="85"/>
      <c r="N573" s="86"/>
      <c r="O573" s="86"/>
      <c r="P573" s="86" t="n">
        <f aca="false">N573*O573</f>
        <v>0</v>
      </c>
      <c r="Q573" s="86"/>
      <c r="R573" s="87" t="n">
        <f aca="false">(O573*N573)+Q573</f>
        <v>0</v>
      </c>
      <c r="S573" s="91"/>
    </row>
    <row r="574" customFormat="false" ht="14.25" hidden="false" customHeight="false" outlineLevel="0" collapsed="false">
      <c r="A574" s="77"/>
      <c r="B574" s="78"/>
      <c r="C574" s="79"/>
      <c r="D574" s="79"/>
      <c r="E574" s="80" t="str">
        <f aca="false">_xlfn.IFNA(VLOOKUP(C574,'بيانات الآليات '!A:G,4,FALSE()),"")</f>
        <v/>
      </c>
      <c r="F574" s="81" t="str">
        <f aca="false">_xlfn.IFNA(VLOOKUP(C574,'بيانات الآليات '!A:G,2,FALSE()),"")</f>
        <v/>
      </c>
      <c r="G574" s="81"/>
      <c r="H574" s="81" t="str">
        <f aca="false">_xlfn.IFNA(VLOOKUP(C574,'بيانات الآليات '!A:G,5,FALSE()),"")</f>
        <v/>
      </c>
      <c r="I574" s="82"/>
      <c r="J574" s="83" t="str">
        <f aca="false">_xlfn.IFNA(VLOOKUP(I574,Table14543[],2,FALSE()),"")</f>
        <v/>
      </c>
      <c r="K574" s="84" t="str">
        <f aca="false">_xlfn.IFNA(VLOOKUP(I574,Table14543[],3,FALSE()),"")</f>
        <v/>
      </c>
      <c r="L574" s="83" t="str">
        <f aca="false">CONCATENATE("",I574,""," ",J574," ",K574)</f>
        <v>  </v>
      </c>
      <c r="M574" s="85"/>
      <c r="N574" s="86"/>
      <c r="O574" s="86"/>
      <c r="P574" s="86" t="n">
        <f aca="false">N574*O574</f>
        <v>0</v>
      </c>
      <c r="Q574" s="86"/>
      <c r="R574" s="87" t="n">
        <f aca="false">(O574*N574)+Q574</f>
        <v>0</v>
      </c>
      <c r="S574" s="91"/>
    </row>
    <row r="575" customFormat="false" ht="14.25" hidden="false" customHeight="false" outlineLevel="0" collapsed="false">
      <c r="A575" s="77"/>
      <c r="B575" s="78"/>
      <c r="C575" s="79"/>
      <c r="D575" s="79"/>
      <c r="E575" s="80" t="str">
        <f aca="false">_xlfn.IFNA(VLOOKUP(C575,'بيانات الآليات '!A:G,4,FALSE()),"")</f>
        <v/>
      </c>
      <c r="F575" s="81" t="str">
        <f aca="false">_xlfn.IFNA(VLOOKUP(C575,'بيانات الآليات '!A:G,2,FALSE()),"")</f>
        <v/>
      </c>
      <c r="G575" s="81"/>
      <c r="H575" s="81" t="str">
        <f aca="false">_xlfn.IFNA(VLOOKUP(C575,'بيانات الآليات '!A:G,5,FALSE()),"")</f>
        <v/>
      </c>
      <c r="I575" s="82"/>
      <c r="J575" s="83" t="str">
        <f aca="false">_xlfn.IFNA(VLOOKUP(I575,Table14543[],2,FALSE()),"")</f>
        <v/>
      </c>
      <c r="K575" s="84" t="str">
        <f aca="false">_xlfn.IFNA(VLOOKUP(I575,Table14543[],3,FALSE()),"")</f>
        <v/>
      </c>
      <c r="L575" s="83" t="str">
        <f aca="false">CONCATENATE("",I575,""," ",J575," ",K575)</f>
        <v>  </v>
      </c>
      <c r="M575" s="85"/>
      <c r="N575" s="86"/>
      <c r="O575" s="86"/>
      <c r="P575" s="86" t="n">
        <f aca="false">N575*O575</f>
        <v>0</v>
      </c>
      <c r="Q575" s="86"/>
      <c r="R575" s="87" t="n">
        <f aca="false">(O575*N575)+Q575</f>
        <v>0</v>
      </c>
      <c r="S575" s="91"/>
    </row>
    <row r="576" customFormat="false" ht="14.25" hidden="false" customHeight="false" outlineLevel="0" collapsed="false">
      <c r="A576" s="77"/>
      <c r="B576" s="78"/>
      <c r="C576" s="79"/>
      <c r="D576" s="79"/>
      <c r="E576" s="80" t="str">
        <f aca="false">_xlfn.IFNA(VLOOKUP(C576,'بيانات الآليات '!A:G,4,FALSE()),"")</f>
        <v/>
      </c>
      <c r="F576" s="81" t="str">
        <f aca="false">_xlfn.IFNA(VLOOKUP(C576,'بيانات الآليات '!A:G,2,FALSE()),"")</f>
        <v/>
      </c>
      <c r="G576" s="81"/>
      <c r="H576" s="81" t="str">
        <f aca="false">_xlfn.IFNA(VLOOKUP(C576,'بيانات الآليات '!A:G,5,FALSE()),"")</f>
        <v/>
      </c>
      <c r="I576" s="82"/>
      <c r="J576" s="83" t="str">
        <f aca="false">_xlfn.IFNA(VLOOKUP(I576,Table14543[],2,FALSE()),"")</f>
        <v/>
      </c>
      <c r="K576" s="84" t="str">
        <f aca="false">_xlfn.IFNA(VLOOKUP(I576,Table14543[],3,FALSE()),"")</f>
        <v/>
      </c>
      <c r="L576" s="83" t="str">
        <f aca="false">CONCATENATE("",I576,""," ",J576," ",K576)</f>
        <v>  </v>
      </c>
      <c r="M576" s="85"/>
      <c r="N576" s="86"/>
      <c r="O576" s="86"/>
      <c r="P576" s="86" t="n">
        <f aca="false">N576*O576</f>
        <v>0</v>
      </c>
      <c r="Q576" s="86"/>
      <c r="R576" s="87" t="n">
        <f aca="false">(O576*N576)+Q576</f>
        <v>0</v>
      </c>
      <c r="S576" s="91"/>
    </row>
    <row r="577" customFormat="false" ht="14.25" hidden="false" customHeight="false" outlineLevel="0" collapsed="false">
      <c r="A577" s="77"/>
      <c r="B577" s="78"/>
      <c r="C577" s="79"/>
      <c r="D577" s="79"/>
      <c r="E577" s="80" t="str">
        <f aca="false">_xlfn.IFNA(VLOOKUP(C577,'بيانات الآليات '!A:G,4,FALSE()),"")</f>
        <v/>
      </c>
      <c r="F577" s="81" t="str">
        <f aca="false">_xlfn.IFNA(VLOOKUP(C577,'بيانات الآليات '!A:G,2,FALSE()),"")</f>
        <v/>
      </c>
      <c r="G577" s="81"/>
      <c r="H577" s="81" t="str">
        <f aca="false">_xlfn.IFNA(VLOOKUP(C577,'بيانات الآليات '!A:G,5,FALSE()),"")</f>
        <v/>
      </c>
      <c r="I577" s="82"/>
      <c r="J577" s="83" t="str">
        <f aca="false">_xlfn.IFNA(VLOOKUP(I577,Table14543[],2,FALSE()),"")</f>
        <v/>
      </c>
      <c r="K577" s="84" t="str">
        <f aca="false">_xlfn.IFNA(VLOOKUP(I577,Table14543[],3,FALSE()),"")</f>
        <v/>
      </c>
      <c r="L577" s="83" t="str">
        <f aca="false">CONCATENATE("",I577,""," ",J577," ",K577)</f>
        <v>  </v>
      </c>
      <c r="M577" s="85"/>
      <c r="N577" s="86"/>
      <c r="O577" s="86"/>
      <c r="P577" s="86" t="n">
        <f aca="false">N577*O577</f>
        <v>0</v>
      </c>
      <c r="Q577" s="86"/>
      <c r="R577" s="87" t="n">
        <f aca="false">(O577*N577)+Q577</f>
        <v>0</v>
      </c>
      <c r="S577" s="91"/>
    </row>
    <row r="578" customFormat="false" ht="14.25" hidden="false" customHeight="false" outlineLevel="0" collapsed="false">
      <c r="A578" s="77"/>
      <c r="B578" s="78"/>
      <c r="C578" s="79"/>
      <c r="D578" s="79"/>
      <c r="E578" s="80" t="str">
        <f aca="false">_xlfn.IFNA(VLOOKUP(C578,'بيانات الآليات '!A:G,4,FALSE()),"")</f>
        <v/>
      </c>
      <c r="F578" s="81" t="str">
        <f aca="false">_xlfn.IFNA(VLOOKUP(C578,'بيانات الآليات '!A:G,2,FALSE()),"")</f>
        <v/>
      </c>
      <c r="G578" s="81"/>
      <c r="H578" s="81" t="str">
        <f aca="false">_xlfn.IFNA(VLOOKUP(C578,'بيانات الآليات '!A:G,5,FALSE()),"")</f>
        <v/>
      </c>
      <c r="I578" s="82"/>
      <c r="J578" s="83" t="str">
        <f aca="false">_xlfn.IFNA(VLOOKUP(I578,Table14543[],2,FALSE()),"")</f>
        <v/>
      </c>
      <c r="K578" s="84" t="str">
        <f aca="false">_xlfn.IFNA(VLOOKUP(I578,Table14543[],3,FALSE()),"")</f>
        <v/>
      </c>
      <c r="L578" s="83" t="str">
        <f aca="false">CONCATENATE("",I578,""," ",J578," ",K578)</f>
        <v>  </v>
      </c>
      <c r="M578" s="85"/>
      <c r="N578" s="86"/>
      <c r="O578" s="86"/>
      <c r="P578" s="86" t="n">
        <f aca="false">N578*O578</f>
        <v>0</v>
      </c>
      <c r="Q578" s="86"/>
      <c r="R578" s="87" t="n">
        <f aca="false">(O578*N578)+Q578</f>
        <v>0</v>
      </c>
      <c r="S578" s="91"/>
    </row>
    <row r="579" customFormat="false" ht="14.25" hidden="false" customHeight="false" outlineLevel="0" collapsed="false">
      <c r="A579" s="77"/>
      <c r="B579" s="78"/>
      <c r="C579" s="79"/>
      <c r="D579" s="79"/>
      <c r="E579" s="80" t="str">
        <f aca="false">_xlfn.IFNA(VLOOKUP(C579,'بيانات الآليات '!A:G,4,FALSE()),"")</f>
        <v/>
      </c>
      <c r="F579" s="81" t="str">
        <f aca="false">_xlfn.IFNA(VLOOKUP(C579,'بيانات الآليات '!A:G,2,FALSE()),"")</f>
        <v/>
      </c>
      <c r="G579" s="81"/>
      <c r="H579" s="81" t="str">
        <f aca="false">_xlfn.IFNA(VLOOKUP(C579,'بيانات الآليات '!A:G,5,FALSE()),"")</f>
        <v/>
      </c>
      <c r="I579" s="82"/>
      <c r="J579" s="83" t="str">
        <f aca="false">_xlfn.IFNA(VLOOKUP(I579,Table14543[],2,FALSE()),"")</f>
        <v/>
      </c>
      <c r="K579" s="84" t="str">
        <f aca="false">_xlfn.IFNA(VLOOKUP(I579,Table14543[],3,FALSE()),"")</f>
        <v/>
      </c>
      <c r="L579" s="83" t="str">
        <f aca="false">CONCATENATE("",I579,""," ",J579," ",K579)</f>
        <v>  </v>
      </c>
      <c r="M579" s="85"/>
      <c r="N579" s="86"/>
      <c r="O579" s="86"/>
      <c r="P579" s="86" t="n">
        <f aca="false">N579*O579</f>
        <v>0</v>
      </c>
      <c r="Q579" s="86"/>
      <c r="R579" s="87" t="n">
        <f aca="false">(O579*N579)+Q579</f>
        <v>0</v>
      </c>
      <c r="S579" s="91"/>
    </row>
    <row r="580" customFormat="false" ht="14.25" hidden="false" customHeight="false" outlineLevel="0" collapsed="false">
      <c r="A580" s="77"/>
      <c r="B580" s="78"/>
      <c r="C580" s="79"/>
      <c r="D580" s="79"/>
      <c r="E580" s="80" t="str">
        <f aca="false">_xlfn.IFNA(VLOOKUP(C580,'بيانات الآليات '!A:G,4,FALSE()),"")</f>
        <v/>
      </c>
      <c r="F580" s="81" t="str">
        <f aca="false">_xlfn.IFNA(VLOOKUP(C580,'بيانات الآليات '!A:G,2,FALSE()),"")</f>
        <v/>
      </c>
      <c r="G580" s="81"/>
      <c r="H580" s="81" t="str">
        <f aca="false">_xlfn.IFNA(VLOOKUP(C580,'بيانات الآليات '!A:G,5,FALSE()),"")</f>
        <v/>
      </c>
      <c r="I580" s="82"/>
      <c r="J580" s="83" t="str">
        <f aca="false">_xlfn.IFNA(VLOOKUP(I580,Table14543[],2,FALSE()),"")</f>
        <v/>
      </c>
      <c r="K580" s="84" t="str">
        <f aca="false">_xlfn.IFNA(VLOOKUP(I580,Table14543[],3,FALSE()),"")</f>
        <v/>
      </c>
      <c r="L580" s="83" t="str">
        <f aca="false">CONCATENATE("",I580,""," ",J580," ",K580)</f>
        <v>  </v>
      </c>
      <c r="M580" s="85"/>
      <c r="N580" s="86"/>
      <c r="O580" s="86"/>
      <c r="P580" s="86" t="n">
        <f aca="false">N580*O580</f>
        <v>0</v>
      </c>
      <c r="Q580" s="86"/>
      <c r="R580" s="87" t="n">
        <f aca="false">(O580*N580)+Q580</f>
        <v>0</v>
      </c>
      <c r="S580" s="91"/>
    </row>
    <row r="581" customFormat="false" ht="14.25" hidden="false" customHeight="false" outlineLevel="0" collapsed="false">
      <c r="A581" s="77"/>
      <c r="B581" s="78"/>
      <c r="C581" s="79"/>
      <c r="D581" s="79"/>
      <c r="E581" s="80" t="str">
        <f aca="false">_xlfn.IFNA(VLOOKUP(C581,'بيانات الآليات '!A:G,4,FALSE()),"")</f>
        <v/>
      </c>
      <c r="F581" s="81" t="str">
        <f aca="false">_xlfn.IFNA(VLOOKUP(C581,'بيانات الآليات '!A:G,2,FALSE()),"")</f>
        <v/>
      </c>
      <c r="G581" s="81"/>
      <c r="H581" s="81" t="str">
        <f aca="false">_xlfn.IFNA(VLOOKUP(C581,'بيانات الآليات '!A:G,5,FALSE()),"")</f>
        <v/>
      </c>
      <c r="I581" s="82"/>
      <c r="J581" s="83" t="str">
        <f aca="false">_xlfn.IFNA(VLOOKUP(I581,Table14543[],2,FALSE()),"")</f>
        <v/>
      </c>
      <c r="K581" s="84" t="str">
        <f aca="false">_xlfn.IFNA(VLOOKUP(I581,Table14543[],3,FALSE()),"")</f>
        <v/>
      </c>
      <c r="L581" s="83" t="str">
        <f aca="false">CONCATENATE("",I581,""," ",J581," ",K581)</f>
        <v>  </v>
      </c>
      <c r="M581" s="85"/>
      <c r="N581" s="86"/>
      <c r="O581" s="86"/>
      <c r="P581" s="86" t="n">
        <f aca="false">N581*O581</f>
        <v>0</v>
      </c>
      <c r="Q581" s="86"/>
      <c r="R581" s="87" t="n">
        <f aca="false">(O581*N581)+Q581</f>
        <v>0</v>
      </c>
      <c r="S581" s="91"/>
    </row>
    <row r="582" customFormat="false" ht="14.25" hidden="false" customHeight="false" outlineLevel="0" collapsed="false">
      <c r="A582" s="77"/>
      <c r="B582" s="78"/>
      <c r="C582" s="79"/>
      <c r="D582" s="79"/>
      <c r="E582" s="80" t="str">
        <f aca="false">_xlfn.IFNA(VLOOKUP(C582,'بيانات الآليات '!A:G,4,FALSE()),"")</f>
        <v/>
      </c>
      <c r="F582" s="81" t="str">
        <f aca="false">_xlfn.IFNA(VLOOKUP(C582,'بيانات الآليات '!A:G,2,FALSE()),"")</f>
        <v/>
      </c>
      <c r="G582" s="81"/>
      <c r="H582" s="81" t="str">
        <f aca="false">_xlfn.IFNA(VLOOKUP(C582,'بيانات الآليات '!A:G,5,FALSE()),"")</f>
        <v/>
      </c>
      <c r="I582" s="82"/>
      <c r="J582" s="83" t="str">
        <f aca="false">_xlfn.IFNA(VLOOKUP(I582,Table14543[],2,FALSE()),"")</f>
        <v/>
      </c>
      <c r="K582" s="84" t="str">
        <f aca="false">_xlfn.IFNA(VLOOKUP(I582,Table14543[],3,FALSE()),"")</f>
        <v/>
      </c>
      <c r="L582" s="83" t="str">
        <f aca="false">CONCATENATE("",I582,""," ",J582," ",K582)</f>
        <v>  </v>
      </c>
      <c r="M582" s="85"/>
      <c r="N582" s="86"/>
      <c r="O582" s="86"/>
      <c r="P582" s="86" t="n">
        <f aca="false">N582*O582</f>
        <v>0</v>
      </c>
      <c r="Q582" s="86"/>
      <c r="R582" s="87" t="n">
        <f aca="false">(O582*N582)+Q582</f>
        <v>0</v>
      </c>
      <c r="S582" s="91"/>
    </row>
    <row r="583" customFormat="false" ht="14.25" hidden="false" customHeight="false" outlineLevel="0" collapsed="false">
      <c r="A583" s="77"/>
      <c r="B583" s="78"/>
      <c r="C583" s="79"/>
      <c r="D583" s="79"/>
      <c r="E583" s="80" t="str">
        <f aca="false">_xlfn.IFNA(VLOOKUP(C583,'بيانات الآليات '!A:G,4,FALSE()),"")</f>
        <v/>
      </c>
      <c r="F583" s="81" t="str">
        <f aca="false">_xlfn.IFNA(VLOOKUP(C583,'بيانات الآليات '!A:G,2,FALSE()),"")</f>
        <v/>
      </c>
      <c r="G583" s="81"/>
      <c r="H583" s="81" t="str">
        <f aca="false">_xlfn.IFNA(VLOOKUP(C583,'بيانات الآليات '!A:G,5,FALSE()),"")</f>
        <v/>
      </c>
      <c r="I583" s="82"/>
      <c r="J583" s="83" t="str">
        <f aca="false">_xlfn.IFNA(VLOOKUP(I583,Table14543[],2,FALSE()),"")</f>
        <v/>
      </c>
      <c r="K583" s="84" t="str">
        <f aca="false">_xlfn.IFNA(VLOOKUP(I583,Table14543[],3,FALSE()),"")</f>
        <v/>
      </c>
      <c r="L583" s="83" t="str">
        <f aca="false">CONCATENATE("",I583,""," ",J583," ",K583)</f>
        <v>  </v>
      </c>
      <c r="M583" s="85"/>
      <c r="N583" s="86"/>
      <c r="O583" s="86"/>
      <c r="P583" s="86" t="n">
        <f aca="false">N583*O583</f>
        <v>0</v>
      </c>
      <c r="Q583" s="86"/>
      <c r="R583" s="87" t="n">
        <f aca="false">(O583*N583)+Q583</f>
        <v>0</v>
      </c>
      <c r="S583" s="91"/>
    </row>
    <row r="584" customFormat="false" ht="14.25" hidden="false" customHeight="false" outlineLevel="0" collapsed="false">
      <c r="A584" s="77"/>
      <c r="B584" s="78"/>
      <c r="C584" s="79"/>
      <c r="D584" s="79"/>
      <c r="E584" s="80" t="str">
        <f aca="false">_xlfn.IFNA(VLOOKUP(C584,'بيانات الآليات '!A:G,4,FALSE()),"")</f>
        <v/>
      </c>
      <c r="F584" s="81" t="str">
        <f aca="false">_xlfn.IFNA(VLOOKUP(C584,'بيانات الآليات '!A:G,2,FALSE()),"")</f>
        <v/>
      </c>
      <c r="G584" s="81"/>
      <c r="H584" s="81" t="str">
        <f aca="false">_xlfn.IFNA(VLOOKUP(C584,'بيانات الآليات '!A:G,5,FALSE()),"")</f>
        <v/>
      </c>
      <c r="I584" s="82"/>
      <c r="J584" s="83" t="str">
        <f aca="false">_xlfn.IFNA(VLOOKUP(I584,Table14543[],2,FALSE()),"")</f>
        <v/>
      </c>
      <c r="K584" s="84" t="str">
        <f aca="false">_xlfn.IFNA(VLOOKUP(I584,Table14543[],3,FALSE()),"")</f>
        <v/>
      </c>
      <c r="L584" s="83" t="str">
        <f aca="false">CONCATENATE("",I584,""," ",J584," ",K584)</f>
        <v>  </v>
      </c>
      <c r="M584" s="85"/>
      <c r="N584" s="86"/>
      <c r="O584" s="86"/>
      <c r="P584" s="86" t="n">
        <f aca="false">N584*O584</f>
        <v>0</v>
      </c>
      <c r="Q584" s="86"/>
      <c r="R584" s="87" t="n">
        <f aca="false">(O584*N584)+Q584</f>
        <v>0</v>
      </c>
      <c r="S584" s="91"/>
    </row>
    <row r="585" customFormat="false" ht="14.25" hidden="false" customHeight="false" outlineLevel="0" collapsed="false">
      <c r="A585" s="77"/>
      <c r="B585" s="78"/>
      <c r="C585" s="79"/>
      <c r="D585" s="79"/>
      <c r="E585" s="80" t="str">
        <f aca="false">_xlfn.IFNA(VLOOKUP(C585,'بيانات الآليات '!A:G,4,FALSE()),"")</f>
        <v/>
      </c>
      <c r="F585" s="81" t="str">
        <f aca="false">_xlfn.IFNA(VLOOKUP(C585,'بيانات الآليات '!A:G,2,FALSE()),"")</f>
        <v/>
      </c>
      <c r="G585" s="81"/>
      <c r="H585" s="81" t="str">
        <f aca="false">_xlfn.IFNA(VLOOKUP(C585,'بيانات الآليات '!A:G,5,FALSE()),"")</f>
        <v/>
      </c>
      <c r="I585" s="82"/>
      <c r="J585" s="83" t="str">
        <f aca="false">_xlfn.IFNA(VLOOKUP(I585,Table14543[],2,FALSE()),"")</f>
        <v/>
      </c>
      <c r="K585" s="84" t="str">
        <f aca="false">_xlfn.IFNA(VLOOKUP(I585,Table14543[],3,FALSE()),"")</f>
        <v/>
      </c>
      <c r="L585" s="83" t="str">
        <f aca="false">CONCATENATE("",I585,""," ",J585," ",K585)</f>
        <v>  </v>
      </c>
      <c r="M585" s="85"/>
      <c r="N585" s="86"/>
      <c r="O585" s="86"/>
      <c r="P585" s="86" t="n">
        <f aca="false">N585*O585</f>
        <v>0</v>
      </c>
      <c r="Q585" s="86"/>
      <c r="R585" s="87" t="n">
        <f aca="false">(O585*N585)+Q585</f>
        <v>0</v>
      </c>
      <c r="S585" s="91"/>
    </row>
    <row r="586" customFormat="false" ht="14.25" hidden="false" customHeight="false" outlineLevel="0" collapsed="false">
      <c r="A586" s="77"/>
      <c r="B586" s="78"/>
      <c r="C586" s="79"/>
      <c r="D586" s="79"/>
      <c r="E586" s="80" t="str">
        <f aca="false">_xlfn.IFNA(VLOOKUP(C586,'بيانات الآليات '!A:G,4,FALSE()),"")</f>
        <v/>
      </c>
      <c r="F586" s="81" t="str">
        <f aca="false">_xlfn.IFNA(VLOOKUP(C586,'بيانات الآليات '!A:G,2,FALSE()),"")</f>
        <v/>
      </c>
      <c r="G586" s="81"/>
      <c r="H586" s="81" t="str">
        <f aca="false">_xlfn.IFNA(VLOOKUP(C586,'بيانات الآليات '!A:G,5,FALSE()),"")</f>
        <v/>
      </c>
      <c r="I586" s="82"/>
      <c r="J586" s="83" t="str">
        <f aca="false">_xlfn.IFNA(VLOOKUP(I586,Table14543[],2,FALSE()),"")</f>
        <v/>
      </c>
      <c r="K586" s="84" t="str">
        <f aca="false">_xlfn.IFNA(VLOOKUP(I586,Table14543[],3,FALSE()),"")</f>
        <v/>
      </c>
      <c r="L586" s="83" t="str">
        <f aca="false">CONCATENATE("",I586,""," ",J586," ",K586)</f>
        <v>  </v>
      </c>
      <c r="M586" s="85"/>
      <c r="N586" s="86"/>
      <c r="O586" s="86"/>
      <c r="P586" s="86" t="n">
        <f aca="false">N586*O586</f>
        <v>0</v>
      </c>
      <c r="Q586" s="86"/>
      <c r="R586" s="87" t="n">
        <f aca="false">(O586*N586)+Q586</f>
        <v>0</v>
      </c>
      <c r="S586" s="91"/>
    </row>
    <row r="587" customFormat="false" ht="14.25" hidden="false" customHeight="false" outlineLevel="0" collapsed="false">
      <c r="A587" s="77"/>
      <c r="B587" s="78"/>
      <c r="C587" s="79"/>
      <c r="D587" s="79"/>
      <c r="E587" s="80" t="str">
        <f aca="false">_xlfn.IFNA(VLOOKUP(C587,'بيانات الآليات '!A:G,4,FALSE()),"")</f>
        <v/>
      </c>
      <c r="F587" s="81" t="str">
        <f aca="false">_xlfn.IFNA(VLOOKUP(C587,'بيانات الآليات '!A:G,2,FALSE()),"")</f>
        <v/>
      </c>
      <c r="G587" s="81"/>
      <c r="H587" s="81" t="str">
        <f aca="false">_xlfn.IFNA(VLOOKUP(C587,'بيانات الآليات '!A:G,5,FALSE()),"")</f>
        <v/>
      </c>
      <c r="I587" s="82"/>
      <c r="J587" s="83" t="str">
        <f aca="false">_xlfn.IFNA(VLOOKUP(I587,Table14543[],2,FALSE()),"")</f>
        <v/>
      </c>
      <c r="K587" s="84" t="str">
        <f aca="false">_xlfn.IFNA(VLOOKUP(I587,Table14543[],3,FALSE()),"")</f>
        <v/>
      </c>
      <c r="L587" s="83" t="str">
        <f aca="false">CONCATENATE("",I587,""," ",J587," ",K587)</f>
        <v>  </v>
      </c>
      <c r="M587" s="85"/>
      <c r="N587" s="86"/>
      <c r="O587" s="86"/>
      <c r="P587" s="86" t="n">
        <f aca="false">N587*O587</f>
        <v>0</v>
      </c>
      <c r="Q587" s="86"/>
      <c r="R587" s="87" t="n">
        <f aca="false">(O587*N587)+Q587</f>
        <v>0</v>
      </c>
      <c r="S587" s="91"/>
    </row>
    <row r="588" customFormat="false" ht="14.25" hidden="false" customHeight="false" outlineLevel="0" collapsed="false">
      <c r="A588" s="77"/>
      <c r="B588" s="78"/>
      <c r="C588" s="79"/>
      <c r="D588" s="79"/>
      <c r="E588" s="80" t="str">
        <f aca="false">_xlfn.IFNA(VLOOKUP(C588,'بيانات الآليات '!A:G,4,FALSE()),"")</f>
        <v/>
      </c>
      <c r="F588" s="81" t="str">
        <f aca="false">_xlfn.IFNA(VLOOKUP(C588,'بيانات الآليات '!A:G,2,FALSE()),"")</f>
        <v/>
      </c>
      <c r="G588" s="81"/>
      <c r="H588" s="81" t="str">
        <f aca="false">_xlfn.IFNA(VLOOKUP(C588,'بيانات الآليات '!A:G,5,FALSE()),"")</f>
        <v/>
      </c>
      <c r="I588" s="82"/>
      <c r="J588" s="83" t="str">
        <f aca="false">_xlfn.IFNA(VLOOKUP(I588,Table14543[],2,FALSE()),"")</f>
        <v/>
      </c>
      <c r="K588" s="84" t="str">
        <f aca="false">_xlfn.IFNA(VLOOKUP(I588,Table14543[],3,FALSE()),"")</f>
        <v/>
      </c>
      <c r="L588" s="83" t="str">
        <f aca="false">CONCATENATE("",I588,""," ",J588," ",K588)</f>
        <v>  </v>
      </c>
      <c r="M588" s="85"/>
      <c r="N588" s="86"/>
      <c r="O588" s="86"/>
      <c r="P588" s="86" t="n">
        <f aca="false">N588*O588</f>
        <v>0</v>
      </c>
      <c r="Q588" s="86"/>
      <c r="R588" s="87" t="n">
        <f aca="false">(O588*N588)+Q588</f>
        <v>0</v>
      </c>
      <c r="S588" s="91"/>
    </row>
    <row r="589" customFormat="false" ht="14.25" hidden="false" customHeight="false" outlineLevel="0" collapsed="false">
      <c r="A589" s="77"/>
      <c r="B589" s="78"/>
      <c r="C589" s="79"/>
      <c r="D589" s="79"/>
      <c r="E589" s="80" t="str">
        <f aca="false">_xlfn.IFNA(VLOOKUP(C589,'بيانات الآليات '!A:G,4,FALSE()),"")</f>
        <v/>
      </c>
      <c r="F589" s="81" t="str">
        <f aca="false">_xlfn.IFNA(VLOOKUP(C589,'بيانات الآليات '!A:G,2,FALSE()),"")</f>
        <v/>
      </c>
      <c r="G589" s="81"/>
      <c r="H589" s="81" t="str">
        <f aca="false">_xlfn.IFNA(VLOOKUP(C589,'بيانات الآليات '!A:G,5,FALSE()),"")</f>
        <v/>
      </c>
      <c r="I589" s="82"/>
      <c r="J589" s="83" t="str">
        <f aca="false">_xlfn.IFNA(VLOOKUP(I589,Table14543[],2,FALSE()),"")</f>
        <v/>
      </c>
      <c r="K589" s="84" t="str">
        <f aca="false">_xlfn.IFNA(VLOOKUP(I589,Table14543[],3,FALSE()),"")</f>
        <v/>
      </c>
      <c r="L589" s="83" t="str">
        <f aca="false">CONCATENATE("",I589,""," ",J589," ",K589)</f>
        <v>  </v>
      </c>
      <c r="M589" s="85"/>
      <c r="N589" s="86"/>
      <c r="O589" s="86"/>
      <c r="P589" s="86" t="n">
        <f aca="false">N589*O589</f>
        <v>0</v>
      </c>
      <c r="Q589" s="86"/>
      <c r="R589" s="87" t="n">
        <f aca="false">(O589*N589)+Q589</f>
        <v>0</v>
      </c>
      <c r="S589" s="91"/>
    </row>
    <row r="590" customFormat="false" ht="14.25" hidden="false" customHeight="false" outlineLevel="0" collapsed="false">
      <c r="A590" s="77"/>
      <c r="B590" s="78"/>
      <c r="C590" s="79"/>
      <c r="D590" s="79"/>
      <c r="E590" s="80" t="str">
        <f aca="false">_xlfn.IFNA(VLOOKUP(C590,'بيانات الآليات '!A:G,4,FALSE()),"")</f>
        <v/>
      </c>
      <c r="F590" s="81" t="str">
        <f aca="false">_xlfn.IFNA(VLOOKUP(C590,'بيانات الآليات '!A:G,2,FALSE()),"")</f>
        <v/>
      </c>
      <c r="G590" s="81"/>
      <c r="H590" s="81" t="str">
        <f aca="false">_xlfn.IFNA(VLOOKUP(C590,'بيانات الآليات '!A:G,5,FALSE()),"")</f>
        <v/>
      </c>
      <c r="I590" s="82"/>
      <c r="J590" s="83" t="str">
        <f aca="false">_xlfn.IFNA(VLOOKUP(I590,Table14543[],2,FALSE()),"")</f>
        <v/>
      </c>
      <c r="K590" s="84" t="str">
        <f aca="false">_xlfn.IFNA(VLOOKUP(I590,Table14543[],3,FALSE()),"")</f>
        <v/>
      </c>
      <c r="L590" s="83" t="str">
        <f aca="false">CONCATENATE("",I590,""," ",J590," ",K590)</f>
        <v>  </v>
      </c>
      <c r="M590" s="85"/>
      <c r="N590" s="86"/>
      <c r="O590" s="86"/>
      <c r="P590" s="86" t="n">
        <f aca="false">N590*O590</f>
        <v>0</v>
      </c>
      <c r="Q590" s="86"/>
      <c r="R590" s="87" t="n">
        <f aca="false">(O590*N590)+Q590</f>
        <v>0</v>
      </c>
      <c r="S590" s="91"/>
    </row>
    <row r="591" customFormat="false" ht="14.25" hidden="false" customHeight="false" outlineLevel="0" collapsed="false">
      <c r="A591" s="77"/>
      <c r="B591" s="78"/>
      <c r="C591" s="79"/>
      <c r="D591" s="79"/>
      <c r="E591" s="80" t="str">
        <f aca="false">_xlfn.IFNA(VLOOKUP(C591,'بيانات الآليات '!A:G,4,FALSE()),"")</f>
        <v/>
      </c>
      <c r="F591" s="81" t="str">
        <f aca="false">_xlfn.IFNA(VLOOKUP(C591,'بيانات الآليات '!A:G,2,FALSE()),"")</f>
        <v/>
      </c>
      <c r="G591" s="81"/>
      <c r="H591" s="81" t="str">
        <f aca="false">_xlfn.IFNA(VLOOKUP(C591,'بيانات الآليات '!A:G,5,FALSE()),"")</f>
        <v/>
      </c>
      <c r="I591" s="82"/>
      <c r="J591" s="83" t="str">
        <f aca="false">_xlfn.IFNA(VLOOKUP(I591,Table14543[],2,FALSE()),"")</f>
        <v/>
      </c>
      <c r="K591" s="84" t="str">
        <f aca="false">_xlfn.IFNA(VLOOKUP(I591,Table14543[],3,FALSE()),"")</f>
        <v/>
      </c>
      <c r="L591" s="83" t="str">
        <f aca="false">CONCATENATE("",I591,""," ",J591," ",K591)</f>
        <v>  </v>
      </c>
      <c r="M591" s="85"/>
      <c r="N591" s="86"/>
      <c r="O591" s="86"/>
      <c r="P591" s="86" t="n">
        <f aca="false">N591*O591</f>
        <v>0</v>
      </c>
      <c r="Q591" s="86"/>
      <c r="R591" s="87" t="n">
        <f aca="false">(O591*N591)+Q591</f>
        <v>0</v>
      </c>
      <c r="S591" s="91"/>
    </row>
    <row r="592" customFormat="false" ht="14.25" hidden="false" customHeight="false" outlineLevel="0" collapsed="false">
      <c r="A592" s="77"/>
      <c r="B592" s="78"/>
      <c r="C592" s="79"/>
      <c r="D592" s="79"/>
      <c r="E592" s="80" t="str">
        <f aca="false">_xlfn.IFNA(VLOOKUP(C592,'بيانات الآليات '!A:G,4,FALSE()),"")</f>
        <v/>
      </c>
      <c r="F592" s="81" t="str">
        <f aca="false">_xlfn.IFNA(VLOOKUP(C592,'بيانات الآليات '!A:G,2,FALSE()),"")</f>
        <v/>
      </c>
      <c r="G592" s="81"/>
      <c r="H592" s="81" t="str">
        <f aca="false">_xlfn.IFNA(VLOOKUP(C592,'بيانات الآليات '!A:G,5,FALSE()),"")</f>
        <v/>
      </c>
      <c r="I592" s="82"/>
      <c r="J592" s="83" t="str">
        <f aca="false">_xlfn.IFNA(VLOOKUP(I592,Table14543[],2,FALSE()),"")</f>
        <v/>
      </c>
      <c r="K592" s="84" t="str">
        <f aca="false">_xlfn.IFNA(VLOOKUP(I592,Table14543[],3,FALSE()),"")</f>
        <v/>
      </c>
      <c r="L592" s="83" t="str">
        <f aca="false">CONCATENATE("",I592,""," ",J592," ",K592)</f>
        <v>  </v>
      </c>
      <c r="M592" s="85"/>
      <c r="N592" s="86"/>
      <c r="O592" s="86"/>
      <c r="P592" s="86" t="n">
        <f aca="false">N592*O592</f>
        <v>0</v>
      </c>
      <c r="Q592" s="86"/>
      <c r="R592" s="87" t="n">
        <f aca="false">(O592*N592)+Q592</f>
        <v>0</v>
      </c>
      <c r="S592" s="91"/>
    </row>
    <row r="593" customFormat="false" ht="14.25" hidden="false" customHeight="false" outlineLevel="0" collapsed="false">
      <c r="A593" s="77"/>
      <c r="B593" s="78"/>
      <c r="C593" s="79"/>
      <c r="D593" s="79"/>
      <c r="E593" s="80" t="str">
        <f aca="false">_xlfn.IFNA(VLOOKUP(C593,'بيانات الآليات '!A:G,4,FALSE()),"")</f>
        <v/>
      </c>
      <c r="F593" s="81" t="str">
        <f aca="false">_xlfn.IFNA(VLOOKUP(C593,'بيانات الآليات '!A:G,2,FALSE()),"")</f>
        <v/>
      </c>
      <c r="G593" s="81"/>
      <c r="H593" s="81" t="str">
        <f aca="false">_xlfn.IFNA(VLOOKUP(C593,'بيانات الآليات '!A:G,5,FALSE()),"")</f>
        <v/>
      </c>
      <c r="I593" s="82"/>
      <c r="J593" s="83" t="str">
        <f aca="false">_xlfn.IFNA(VLOOKUP(I593,Table14543[],2,FALSE()),"")</f>
        <v/>
      </c>
      <c r="K593" s="84" t="str">
        <f aca="false">_xlfn.IFNA(VLOOKUP(I593,Table14543[],3,FALSE()),"")</f>
        <v/>
      </c>
      <c r="L593" s="83" t="str">
        <f aca="false">CONCATENATE("",I593,""," ",J593," ",K593)</f>
        <v>  </v>
      </c>
      <c r="M593" s="85"/>
      <c r="N593" s="86"/>
      <c r="O593" s="86"/>
      <c r="P593" s="86" t="n">
        <f aca="false">N593*O593</f>
        <v>0</v>
      </c>
      <c r="Q593" s="86"/>
      <c r="R593" s="87" t="n">
        <f aca="false">(O593*N593)+Q593</f>
        <v>0</v>
      </c>
      <c r="S593" s="91"/>
    </row>
    <row r="594" customFormat="false" ht="14.25" hidden="false" customHeight="false" outlineLevel="0" collapsed="false">
      <c r="A594" s="77"/>
      <c r="B594" s="78"/>
      <c r="C594" s="79"/>
      <c r="D594" s="79"/>
      <c r="E594" s="80" t="str">
        <f aca="false">_xlfn.IFNA(VLOOKUP(C594,'بيانات الآليات '!A:G,4,FALSE()),"")</f>
        <v/>
      </c>
      <c r="F594" s="81" t="str">
        <f aca="false">_xlfn.IFNA(VLOOKUP(C594,'بيانات الآليات '!A:G,2,FALSE()),"")</f>
        <v/>
      </c>
      <c r="G594" s="81"/>
      <c r="H594" s="81" t="str">
        <f aca="false">_xlfn.IFNA(VLOOKUP(C594,'بيانات الآليات '!A:G,5,FALSE()),"")</f>
        <v/>
      </c>
      <c r="I594" s="82"/>
      <c r="J594" s="83" t="str">
        <f aca="false">_xlfn.IFNA(VLOOKUP(I594,Table14543[],2,FALSE()),"")</f>
        <v/>
      </c>
      <c r="K594" s="84" t="str">
        <f aca="false">_xlfn.IFNA(VLOOKUP(I594,Table14543[],3,FALSE()),"")</f>
        <v/>
      </c>
      <c r="L594" s="83" t="str">
        <f aca="false">CONCATENATE("",I594,""," ",J594," ",K594)</f>
        <v>  </v>
      </c>
      <c r="M594" s="85"/>
      <c r="N594" s="86"/>
      <c r="O594" s="86"/>
      <c r="P594" s="86" t="n">
        <f aca="false">N594*O594</f>
        <v>0</v>
      </c>
      <c r="Q594" s="86"/>
      <c r="R594" s="87" t="n">
        <f aca="false">(O594*N594)+Q594</f>
        <v>0</v>
      </c>
      <c r="S594" s="91"/>
    </row>
    <row r="595" customFormat="false" ht="14.25" hidden="false" customHeight="false" outlineLevel="0" collapsed="false">
      <c r="A595" s="77"/>
      <c r="B595" s="78"/>
      <c r="C595" s="79"/>
      <c r="D595" s="79"/>
      <c r="E595" s="80" t="str">
        <f aca="false">_xlfn.IFNA(VLOOKUP(C595,'بيانات الآليات '!A:G,4,FALSE()),"")</f>
        <v/>
      </c>
      <c r="F595" s="81" t="str">
        <f aca="false">_xlfn.IFNA(VLOOKUP(C595,'بيانات الآليات '!A:G,2,FALSE()),"")</f>
        <v/>
      </c>
      <c r="G595" s="81"/>
      <c r="H595" s="81" t="str">
        <f aca="false">_xlfn.IFNA(VLOOKUP(C595,'بيانات الآليات '!A:G,5,FALSE()),"")</f>
        <v/>
      </c>
      <c r="I595" s="82"/>
      <c r="J595" s="83" t="str">
        <f aca="false">_xlfn.IFNA(VLOOKUP(I595,Table14543[],2,FALSE()),"")</f>
        <v/>
      </c>
      <c r="K595" s="84" t="str">
        <f aca="false">_xlfn.IFNA(VLOOKUP(I595,Table14543[],3,FALSE()),"")</f>
        <v/>
      </c>
      <c r="L595" s="83" t="str">
        <f aca="false">CONCATENATE("",I595,""," ",J595," ",K595)</f>
        <v>  </v>
      </c>
      <c r="M595" s="85"/>
      <c r="N595" s="86"/>
      <c r="O595" s="86"/>
      <c r="P595" s="86" t="n">
        <f aca="false">N595*O595</f>
        <v>0</v>
      </c>
      <c r="Q595" s="86"/>
      <c r="R595" s="87" t="n">
        <f aca="false">(O595*N595)+Q595</f>
        <v>0</v>
      </c>
      <c r="S595" s="91"/>
    </row>
    <row r="596" customFormat="false" ht="14.25" hidden="false" customHeight="false" outlineLevel="0" collapsed="false">
      <c r="A596" s="77"/>
      <c r="B596" s="78"/>
      <c r="C596" s="79"/>
      <c r="D596" s="79"/>
      <c r="E596" s="80" t="str">
        <f aca="false">_xlfn.IFNA(VLOOKUP(C596,'بيانات الآليات '!A:G,4,FALSE()),"")</f>
        <v/>
      </c>
      <c r="F596" s="81" t="str">
        <f aca="false">_xlfn.IFNA(VLOOKUP(C596,'بيانات الآليات '!A:G,2,FALSE()),"")</f>
        <v/>
      </c>
      <c r="G596" s="81"/>
      <c r="H596" s="81" t="str">
        <f aca="false">_xlfn.IFNA(VLOOKUP(C596,'بيانات الآليات '!A:G,5,FALSE()),"")</f>
        <v/>
      </c>
      <c r="I596" s="82"/>
      <c r="J596" s="83" t="str">
        <f aca="false">_xlfn.IFNA(VLOOKUP(I596,Table14543[],2,FALSE()),"")</f>
        <v/>
      </c>
      <c r="K596" s="84" t="str">
        <f aca="false">_xlfn.IFNA(VLOOKUP(I596,Table14543[],3,FALSE()),"")</f>
        <v/>
      </c>
      <c r="L596" s="83" t="str">
        <f aca="false">CONCATENATE("",I596,""," ",J596," ",K596)</f>
        <v>  </v>
      </c>
      <c r="M596" s="85"/>
      <c r="N596" s="86"/>
      <c r="O596" s="86"/>
      <c r="P596" s="86" t="n">
        <f aca="false">N596*O596</f>
        <v>0</v>
      </c>
      <c r="Q596" s="86"/>
      <c r="R596" s="87" t="n">
        <f aca="false">(O596*N596)+Q596</f>
        <v>0</v>
      </c>
      <c r="S596" s="91"/>
    </row>
    <row r="597" customFormat="false" ht="14.25" hidden="false" customHeight="false" outlineLevel="0" collapsed="false">
      <c r="A597" s="77"/>
      <c r="B597" s="78"/>
      <c r="C597" s="79"/>
      <c r="D597" s="79"/>
      <c r="E597" s="80" t="str">
        <f aca="false">_xlfn.IFNA(VLOOKUP(C597,'بيانات الآليات '!A:G,4,FALSE()),"")</f>
        <v/>
      </c>
      <c r="F597" s="81" t="str">
        <f aca="false">_xlfn.IFNA(VLOOKUP(C597,'بيانات الآليات '!A:G,2,FALSE()),"")</f>
        <v/>
      </c>
      <c r="G597" s="81"/>
      <c r="H597" s="81" t="str">
        <f aca="false">_xlfn.IFNA(VLOOKUP(C597,'بيانات الآليات '!A:G,5,FALSE()),"")</f>
        <v/>
      </c>
      <c r="I597" s="82"/>
      <c r="J597" s="83" t="str">
        <f aca="false">_xlfn.IFNA(VLOOKUP(I597,Table14543[],2,FALSE()),"")</f>
        <v/>
      </c>
      <c r="K597" s="84" t="str">
        <f aca="false">_xlfn.IFNA(VLOOKUP(I597,Table14543[],3,FALSE()),"")</f>
        <v/>
      </c>
      <c r="L597" s="83" t="str">
        <f aca="false">CONCATENATE("",I597,""," ",J597," ",K597)</f>
        <v>  </v>
      </c>
      <c r="M597" s="85"/>
      <c r="N597" s="86"/>
      <c r="O597" s="86"/>
      <c r="P597" s="86" t="n">
        <f aca="false">N597*O597</f>
        <v>0</v>
      </c>
      <c r="Q597" s="86"/>
      <c r="R597" s="87" t="n">
        <f aca="false">(O597*N597)+Q597</f>
        <v>0</v>
      </c>
      <c r="S597" s="91"/>
    </row>
    <row r="598" customFormat="false" ht="14.25" hidden="false" customHeight="false" outlineLevel="0" collapsed="false">
      <c r="A598" s="77"/>
      <c r="B598" s="78"/>
      <c r="C598" s="79"/>
      <c r="D598" s="79"/>
      <c r="E598" s="80" t="str">
        <f aca="false">_xlfn.IFNA(VLOOKUP(C598,'بيانات الآليات '!A:G,4,FALSE()),"")</f>
        <v/>
      </c>
      <c r="F598" s="81" t="str">
        <f aca="false">_xlfn.IFNA(VLOOKUP(C598,'بيانات الآليات '!A:G,2,FALSE()),"")</f>
        <v/>
      </c>
      <c r="G598" s="81"/>
      <c r="H598" s="81" t="str">
        <f aca="false">_xlfn.IFNA(VLOOKUP(C598,'بيانات الآليات '!A:G,5,FALSE()),"")</f>
        <v/>
      </c>
      <c r="I598" s="82"/>
      <c r="J598" s="83" t="str">
        <f aca="false">_xlfn.IFNA(VLOOKUP(I598,Table14543[],2,FALSE()),"")</f>
        <v/>
      </c>
      <c r="K598" s="84" t="str">
        <f aca="false">_xlfn.IFNA(VLOOKUP(I598,Table14543[],3,FALSE()),"")</f>
        <v/>
      </c>
      <c r="L598" s="83" t="str">
        <f aca="false">CONCATENATE("",I598,""," ",J598," ",K598)</f>
        <v>  </v>
      </c>
      <c r="M598" s="85"/>
      <c r="N598" s="86"/>
      <c r="O598" s="86"/>
      <c r="P598" s="86" t="n">
        <f aca="false">N598*O598</f>
        <v>0</v>
      </c>
      <c r="Q598" s="86"/>
      <c r="R598" s="87" t="n">
        <f aca="false">(O598*N598)+Q598</f>
        <v>0</v>
      </c>
      <c r="S598" s="91"/>
    </row>
    <row r="599" customFormat="false" ht="14.25" hidden="false" customHeight="false" outlineLevel="0" collapsed="false">
      <c r="A599" s="77"/>
      <c r="B599" s="78"/>
      <c r="C599" s="79"/>
      <c r="D599" s="79"/>
      <c r="E599" s="80" t="str">
        <f aca="false">_xlfn.IFNA(VLOOKUP(C599,'بيانات الآليات '!A:G,4,FALSE()),"")</f>
        <v/>
      </c>
      <c r="F599" s="81" t="str">
        <f aca="false">_xlfn.IFNA(VLOOKUP(C599,'بيانات الآليات '!A:G,2,FALSE()),"")</f>
        <v/>
      </c>
      <c r="G599" s="81"/>
      <c r="H599" s="81" t="str">
        <f aca="false">_xlfn.IFNA(VLOOKUP(C599,'بيانات الآليات '!A:G,5,FALSE()),"")</f>
        <v/>
      </c>
      <c r="I599" s="82"/>
      <c r="J599" s="83" t="str">
        <f aca="false">_xlfn.IFNA(VLOOKUP(I599,Table14543[],2,FALSE()),"")</f>
        <v/>
      </c>
      <c r="K599" s="84" t="str">
        <f aca="false">_xlfn.IFNA(VLOOKUP(I599,Table14543[],3,FALSE()),"")</f>
        <v/>
      </c>
      <c r="L599" s="83" t="str">
        <f aca="false">CONCATENATE("",I599,""," ",J599," ",K599)</f>
        <v>  </v>
      </c>
      <c r="M599" s="85"/>
      <c r="N599" s="86"/>
      <c r="O599" s="86"/>
      <c r="P599" s="86" t="n">
        <f aca="false">N599*O599</f>
        <v>0</v>
      </c>
      <c r="Q599" s="86"/>
      <c r="R599" s="87" t="n">
        <f aca="false">(O599*N599)+Q599</f>
        <v>0</v>
      </c>
      <c r="S599" s="91"/>
    </row>
    <row r="600" customFormat="false" ht="14.25" hidden="false" customHeight="false" outlineLevel="0" collapsed="false">
      <c r="A600" s="77"/>
      <c r="B600" s="78"/>
      <c r="C600" s="79"/>
      <c r="D600" s="79"/>
      <c r="E600" s="80" t="str">
        <f aca="false">_xlfn.IFNA(VLOOKUP(C600,'بيانات الآليات '!A:G,4,FALSE()),"")</f>
        <v/>
      </c>
      <c r="F600" s="81" t="str">
        <f aca="false">_xlfn.IFNA(VLOOKUP(C600,'بيانات الآليات '!A:G,2,FALSE()),"")</f>
        <v/>
      </c>
      <c r="G600" s="81"/>
      <c r="H600" s="81" t="str">
        <f aca="false">_xlfn.IFNA(VLOOKUP(C600,'بيانات الآليات '!A:G,5,FALSE()),"")</f>
        <v/>
      </c>
      <c r="I600" s="82"/>
      <c r="J600" s="83" t="str">
        <f aca="false">_xlfn.IFNA(VLOOKUP(I600,Table14543[],2,FALSE()),"")</f>
        <v/>
      </c>
      <c r="K600" s="84" t="str">
        <f aca="false">_xlfn.IFNA(VLOOKUP(I600,Table14543[],3,FALSE()),"")</f>
        <v/>
      </c>
      <c r="L600" s="83" t="str">
        <f aca="false">CONCATENATE("",I600,""," ",J600," ",K600)</f>
        <v>  </v>
      </c>
      <c r="M600" s="85"/>
      <c r="N600" s="86"/>
      <c r="O600" s="86"/>
      <c r="P600" s="86" t="n">
        <f aca="false">N600*O600</f>
        <v>0</v>
      </c>
      <c r="Q600" s="86"/>
      <c r="R600" s="87" t="n">
        <f aca="false">(O600*N600)+Q600</f>
        <v>0</v>
      </c>
      <c r="S600" s="91"/>
    </row>
    <row r="601" customFormat="false" ht="14.25" hidden="false" customHeight="false" outlineLevel="0" collapsed="false">
      <c r="A601" s="77"/>
      <c r="B601" s="78"/>
      <c r="C601" s="79"/>
      <c r="D601" s="79"/>
      <c r="E601" s="80" t="str">
        <f aca="false">_xlfn.IFNA(VLOOKUP(C601,'بيانات الآليات '!A:G,4,FALSE()),"")</f>
        <v/>
      </c>
      <c r="F601" s="81" t="str">
        <f aca="false">_xlfn.IFNA(VLOOKUP(C601,'بيانات الآليات '!A:G,2,FALSE()),"")</f>
        <v/>
      </c>
      <c r="G601" s="81"/>
      <c r="H601" s="81" t="str">
        <f aca="false">_xlfn.IFNA(VLOOKUP(C601,'بيانات الآليات '!A:G,5,FALSE()),"")</f>
        <v/>
      </c>
      <c r="I601" s="82"/>
      <c r="J601" s="83" t="str">
        <f aca="false">_xlfn.IFNA(VLOOKUP(I601,Table14543[],2,FALSE()),"")</f>
        <v/>
      </c>
      <c r="K601" s="84" t="str">
        <f aca="false">_xlfn.IFNA(VLOOKUP(I601,Table14543[],3,FALSE()),"")</f>
        <v/>
      </c>
      <c r="L601" s="83" t="str">
        <f aca="false">CONCATENATE("",I601,""," ",J601," ",K601)</f>
        <v>  </v>
      </c>
      <c r="M601" s="85"/>
      <c r="N601" s="86"/>
      <c r="O601" s="86"/>
      <c r="P601" s="86" t="n">
        <f aca="false">N601*O601</f>
        <v>0</v>
      </c>
      <c r="Q601" s="86"/>
      <c r="R601" s="87" t="n">
        <f aca="false">(O601*N601)+Q601</f>
        <v>0</v>
      </c>
      <c r="S601" s="91"/>
    </row>
    <row r="602" customFormat="false" ht="14.25" hidden="false" customHeight="false" outlineLevel="0" collapsed="false">
      <c r="A602" s="77"/>
      <c r="B602" s="78"/>
      <c r="C602" s="79"/>
      <c r="D602" s="79"/>
      <c r="E602" s="80" t="str">
        <f aca="false">_xlfn.IFNA(VLOOKUP(C602,'بيانات الآليات '!A:G,4,FALSE()),"")</f>
        <v/>
      </c>
      <c r="F602" s="81" t="str">
        <f aca="false">_xlfn.IFNA(VLOOKUP(C602,'بيانات الآليات '!A:G,2,FALSE()),"")</f>
        <v/>
      </c>
      <c r="G602" s="81"/>
      <c r="H602" s="81" t="str">
        <f aca="false">_xlfn.IFNA(VLOOKUP(C602,'بيانات الآليات '!A:G,5,FALSE()),"")</f>
        <v/>
      </c>
      <c r="I602" s="82"/>
      <c r="J602" s="83" t="str">
        <f aca="false">_xlfn.IFNA(VLOOKUP(I602,Table14543[],2,FALSE()),"")</f>
        <v/>
      </c>
      <c r="K602" s="84" t="str">
        <f aca="false">_xlfn.IFNA(VLOOKUP(I602,Table14543[],3,FALSE()),"")</f>
        <v/>
      </c>
      <c r="L602" s="83" t="str">
        <f aca="false">CONCATENATE("",I602,""," ",J602," ",K602)</f>
        <v>  </v>
      </c>
      <c r="M602" s="85"/>
      <c r="N602" s="86"/>
      <c r="O602" s="86"/>
      <c r="P602" s="86" t="n">
        <f aca="false">N602*O602</f>
        <v>0</v>
      </c>
      <c r="Q602" s="86"/>
      <c r="R602" s="87" t="n">
        <f aca="false">(O602*N602)+Q602</f>
        <v>0</v>
      </c>
      <c r="S602" s="91"/>
    </row>
    <row r="603" customFormat="false" ht="14.25" hidden="false" customHeight="false" outlineLevel="0" collapsed="false">
      <c r="A603" s="77"/>
      <c r="B603" s="78"/>
      <c r="C603" s="79"/>
      <c r="D603" s="79"/>
      <c r="E603" s="80" t="str">
        <f aca="false">_xlfn.IFNA(VLOOKUP(C603,'بيانات الآليات '!A:G,4,FALSE()),"")</f>
        <v/>
      </c>
      <c r="F603" s="81" t="str">
        <f aca="false">_xlfn.IFNA(VLOOKUP(C603,'بيانات الآليات '!A:G,2,FALSE()),"")</f>
        <v/>
      </c>
      <c r="G603" s="81"/>
      <c r="H603" s="81" t="str">
        <f aca="false">_xlfn.IFNA(VLOOKUP(C603,'بيانات الآليات '!A:G,5,FALSE()),"")</f>
        <v/>
      </c>
      <c r="I603" s="82"/>
      <c r="J603" s="83" t="str">
        <f aca="false">_xlfn.IFNA(VLOOKUP(I603,Table14543[],2,FALSE()),"")</f>
        <v/>
      </c>
      <c r="K603" s="84" t="str">
        <f aca="false">_xlfn.IFNA(VLOOKUP(I603,Table14543[],3,FALSE()),"")</f>
        <v/>
      </c>
      <c r="L603" s="83" t="str">
        <f aca="false">CONCATENATE("",I603,""," ",J603," ",K603)</f>
        <v>  </v>
      </c>
      <c r="M603" s="85"/>
      <c r="N603" s="86"/>
      <c r="O603" s="86"/>
      <c r="P603" s="86" t="n">
        <f aca="false">N603*O603</f>
        <v>0</v>
      </c>
      <c r="Q603" s="86"/>
      <c r="R603" s="87" t="n">
        <f aca="false">(O603*N603)+Q603</f>
        <v>0</v>
      </c>
      <c r="S603" s="91"/>
    </row>
    <row r="604" customFormat="false" ht="14.25" hidden="false" customHeight="false" outlineLevel="0" collapsed="false">
      <c r="A604" s="77"/>
      <c r="B604" s="78"/>
      <c r="C604" s="79"/>
      <c r="D604" s="79"/>
      <c r="E604" s="80" t="str">
        <f aca="false">_xlfn.IFNA(VLOOKUP(C604,'بيانات الآليات '!A:G,4,FALSE()),"")</f>
        <v/>
      </c>
      <c r="F604" s="81" t="str">
        <f aca="false">_xlfn.IFNA(VLOOKUP(C604,'بيانات الآليات '!A:G,2,FALSE()),"")</f>
        <v/>
      </c>
      <c r="G604" s="81"/>
      <c r="H604" s="81" t="str">
        <f aca="false">_xlfn.IFNA(VLOOKUP(C604,'بيانات الآليات '!A:G,5,FALSE()),"")</f>
        <v/>
      </c>
      <c r="I604" s="82"/>
      <c r="J604" s="83" t="str">
        <f aca="false">_xlfn.IFNA(VLOOKUP(I604,Table14543[],2,FALSE()),"")</f>
        <v/>
      </c>
      <c r="K604" s="84" t="str">
        <f aca="false">_xlfn.IFNA(VLOOKUP(I604,Table14543[],3,FALSE()),"")</f>
        <v/>
      </c>
      <c r="L604" s="83" t="str">
        <f aca="false">CONCATENATE("",I604,""," ",J604," ",K604)</f>
        <v>  </v>
      </c>
      <c r="M604" s="85"/>
      <c r="N604" s="86"/>
      <c r="O604" s="86"/>
      <c r="P604" s="86" t="n">
        <f aca="false">N604*O604</f>
        <v>0</v>
      </c>
      <c r="Q604" s="86"/>
      <c r="R604" s="87" t="n">
        <f aca="false">(O604*N604)+Q604</f>
        <v>0</v>
      </c>
      <c r="S604" s="91"/>
    </row>
    <row r="605" customFormat="false" ht="14.25" hidden="false" customHeight="false" outlineLevel="0" collapsed="false">
      <c r="A605" s="77"/>
      <c r="B605" s="78"/>
      <c r="C605" s="79"/>
      <c r="D605" s="79"/>
      <c r="E605" s="80" t="str">
        <f aca="false">_xlfn.IFNA(VLOOKUP(C605,'بيانات الآليات '!A:G,4,FALSE()),"")</f>
        <v/>
      </c>
      <c r="F605" s="81" t="str">
        <f aca="false">_xlfn.IFNA(VLOOKUP(C605,'بيانات الآليات '!A:G,2,FALSE()),"")</f>
        <v/>
      </c>
      <c r="G605" s="81"/>
      <c r="H605" s="81" t="str">
        <f aca="false">_xlfn.IFNA(VLOOKUP(C605,'بيانات الآليات '!A:G,5,FALSE()),"")</f>
        <v/>
      </c>
      <c r="I605" s="82"/>
      <c r="J605" s="83" t="str">
        <f aca="false">_xlfn.IFNA(VLOOKUP(I605,Table14543[],2,FALSE()),"")</f>
        <v/>
      </c>
      <c r="K605" s="84" t="str">
        <f aca="false">_xlfn.IFNA(VLOOKUP(I605,Table14543[],3,FALSE()),"")</f>
        <v/>
      </c>
      <c r="L605" s="83" t="str">
        <f aca="false">CONCATENATE("",I605,""," ",J605," ",K605)</f>
        <v>  </v>
      </c>
      <c r="M605" s="85"/>
      <c r="N605" s="86"/>
      <c r="O605" s="86"/>
      <c r="P605" s="86" t="n">
        <f aca="false">N605*O605</f>
        <v>0</v>
      </c>
      <c r="Q605" s="86"/>
      <c r="R605" s="87" t="n">
        <f aca="false">(O605*N605)+Q605</f>
        <v>0</v>
      </c>
      <c r="S605" s="91"/>
    </row>
    <row r="606" customFormat="false" ht="14.25" hidden="false" customHeight="false" outlineLevel="0" collapsed="false">
      <c r="A606" s="77"/>
      <c r="B606" s="78"/>
      <c r="C606" s="79"/>
      <c r="D606" s="79"/>
      <c r="E606" s="80" t="str">
        <f aca="false">_xlfn.IFNA(VLOOKUP(C606,'بيانات الآليات '!A:G,4,FALSE()),"")</f>
        <v/>
      </c>
      <c r="F606" s="81" t="str">
        <f aca="false">_xlfn.IFNA(VLOOKUP(C606,'بيانات الآليات '!A:G,2,FALSE()),"")</f>
        <v/>
      </c>
      <c r="G606" s="81"/>
      <c r="H606" s="81" t="str">
        <f aca="false">_xlfn.IFNA(VLOOKUP(C606,'بيانات الآليات '!A:G,5,FALSE()),"")</f>
        <v/>
      </c>
      <c r="I606" s="82"/>
      <c r="J606" s="83" t="str">
        <f aca="false">_xlfn.IFNA(VLOOKUP(I606,Table14543[],2,FALSE()),"")</f>
        <v/>
      </c>
      <c r="K606" s="84" t="str">
        <f aca="false">_xlfn.IFNA(VLOOKUP(I606,Table14543[],3,FALSE()),"")</f>
        <v/>
      </c>
      <c r="L606" s="83" t="str">
        <f aca="false">CONCATENATE("",I606,""," ",J606," ",K606)</f>
        <v>  </v>
      </c>
      <c r="M606" s="85"/>
      <c r="N606" s="86"/>
      <c r="O606" s="86"/>
      <c r="P606" s="86" t="n">
        <f aca="false">N606*O606</f>
        <v>0</v>
      </c>
      <c r="Q606" s="86"/>
      <c r="R606" s="87" t="n">
        <f aca="false">(O606*N606)+Q606</f>
        <v>0</v>
      </c>
      <c r="S606" s="91"/>
    </row>
    <row r="607" customFormat="false" ht="14.25" hidden="false" customHeight="false" outlineLevel="0" collapsed="false">
      <c r="A607" s="77"/>
      <c r="B607" s="78"/>
      <c r="C607" s="79"/>
      <c r="D607" s="79"/>
      <c r="E607" s="80" t="str">
        <f aca="false">_xlfn.IFNA(VLOOKUP(C607,'بيانات الآليات '!A:G,4,FALSE()),"")</f>
        <v/>
      </c>
      <c r="F607" s="81" t="str">
        <f aca="false">_xlfn.IFNA(VLOOKUP(C607,'بيانات الآليات '!A:G,2,FALSE()),"")</f>
        <v/>
      </c>
      <c r="G607" s="81"/>
      <c r="H607" s="81" t="str">
        <f aca="false">_xlfn.IFNA(VLOOKUP(C607,'بيانات الآليات '!A:G,5,FALSE()),"")</f>
        <v/>
      </c>
      <c r="I607" s="82"/>
      <c r="J607" s="83" t="str">
        <f aca="false">_xlfn.IFNA(VLOOKUP(I607,Table14543[],2,FALSE()),"")</f>
        <v/>
      </c>
      <c r="K607" s="84" t="str">
        <f aca="false">_xlfn.IFNA(VLOOKUP(I607,Table14543[],3,FALSE()),"")</f>
        <v/>
      </c>
      <c r="L607" s="83" t="str">
        <f aca="false">CONCATENATE("",I607,""," ",J607," ",K607)</f>
        <v>  </v>
      </c>
      <c r="M607" s="85"/>
      <c r="N607" s="86"/>
      <c r="O607" s="86"/>
      <c r="P607" s="86" t="n">
        <f aca="false">N607*O607</f>
        <v>0</v>
      </c>
      <c r="Q607" s="86"/>
      <c r="R607" s="87" t="n">
        <f aca="false">(O607*N607)+Q607</f>
        <v>0</v>
      </c>
      <c r="S607" s="91"/>
    </row>
    <row r="608" customFormat="false" ht="14.25" hidden="false" customHeight="false" outlineLevel="0" collapsed="false">
      <c r="A608" s="77"/>
      <c r="B608" s="78"/>
      <c r="C608" s="79"/>
      <c r="D608" s="79"/>
      <c r="E608" s="80" t="str">
        <f aca="false">_xlfn.IFNA(VLOOKUP(C608,'بيانات الآليات '!A:G,4,FALSE()),"")</f>
        <v/>
      </c>
      <c r="F608" s="81" t="str">
        <f aca="false">_xlfn.IFNA(VLOOKUP(C608,'بيانات الآليات '!A:G,2,FALSE()),"")</f>
        <v/>
      </c>
      <c r="G608" s="81"/>
      <c r="H608" s="81" t="str">
        <f aca="false">_xlfn.IFNA(VLOOKUP(C608,'بيانات الآليات '!A:G,5,FALSE()),"")</f>
        <v/>
      </c>
      <c r="I608" s="82"/>
      <c r="J608" s="83" t="str">
        <f aca="false">_xlfn.IFNA(VLOOKUP(I608,Table14543[],2,FALSE()),"")</f>
        <v/>
      </c>
      <c r="K608" s="84" t="str">
        <f aca="false">_xlfn.IFNA(VLOOKUP(I608,Table14543[],3,FALSE()),"")</f>
        <v/>
      </c>
      <c r="L608" s="83" t="str">
        <f aca="false">CONCATENATE("",I608,""," ",J608," ",K608)</f>
        <v>  </v>
      </c>
      <c r="M608" s="85"/>
      <c r="N608" s="86"/>
      <c r="O608" s="86"/>
      <c r="P608" s="86" t="n">
        <f aca="false">N608*O608</f>
        <v>0</v>
      </c>
      <c r="Q608" s="86"/>
      <c r="R608" s="87" t="n">
        <f aca="false">(O608*N608)+Q608</f>
        <v>0</v>
      </c>
      <c r="S608" s="91"/>
    </row>
    <row r="609" customFormat="false" ht="14.25" hidden="false" customHeight="false" outlineLevel="0" collapsed="false">
      <c r="A609" s="77"/>
      <c r="B609" s="78"/>
      <c r="C609" s="79"/>
      <c r="D609" s="79"/>
      <c r="E609" s="80" t="str">
        <f aca="false">_xlfn.IFNA(VLOOKUP(C609,'بيانات الآليات '!A:G,4,FALSE()),"")</f>
        <v/>
      </c>
      <c r="F609" s="81" t="str">
        <f aca="false">_xlfn.IFNA(VLOOKUP(C609,'بيانات الآليات '!A:G,2,FALSE()),"")</f>
        <v/>
      </c>
      <c r="G609" s="81"/>
      <c r="H609" s="81" t="str">
        <f aca="false">_xlfn.IFNA(VLOOKUP(C609,'بيانات الآليات '!A:G,5,FALSE()),"")</f>
        <v/>
      </c>
      <c r="I609" s="82"/>
      <c r="J609" s="83" t="str">
        <f aca="false">_xlfn.IFNA(VLOOKUP(I609,Table14543[],2,FALSE()),"")</f>
        <v/>
      </c>
      <c r="K609" s="84" t="str">
        <f aca="false">_xlfn.IFNA(VLOOKUP(I609,Table14543[],3,FALSE()),"")</f>
        <v/>
      </c>
      <c r="L609" s="83" t="str">
        <f aca="false">CONCATENATE("",I609,""," ",J609," ",K609)</f>
        <v>  </v>
      </c>
      <c r="M609" s="85"/>
      <c r="N609" s="86"/>
      <c r="O609" s="86"/>
      <c r="P609" s="86" t="n">
        <f aca="false">N609*O609</f>
        <v>0</v>
      </c>
      <c r="Q609" s="86"/>
      <c r="R609" s="87" t="n">
        <f aca="false">(O609*N609)+Q609</f>
        <v>0</v>
      </c>
      <c r="S609" s="91"/>
    </row>
    <row r="610" customFormat="false" ht="14.25" hidden="false" customHeight="false" outlineLevel="0" collapsed="false">
      <c r="A610" s="77"/>
      <c r="B610" s="78"/>
      <c r="C610" s="79"/>
      <c r="D610" s="79"/>
      <c r="E610" s="80" t="str">
        <f aca="false">_xlfn.IFNA(VLOOKUP(C610,'بيانات الآليات '!A:G,4,FALSE()),"")</f>
        <v/>
      </c>
      <c r="F610" s="81" t="str">
        <f aca="false">_xlfn.IFNA(VLOOKUP(C610,'بيانات الآليات '!A:G,2,FALSE()),"")</f>
        <v/>
      </c>
      <c r="G610" s="81"/>
      <c r="H610" s="81" t="str">
        <f aca="false">_xlfn.IFNA(VLOOKUP(C610,'بيانات الآليات '!A:G,5,FALSE()),"")</f>
        <v/>
      </c>
      <c r="I610" s="82"/>
      <c r="J610" s="83" t="str">
        <f aca="false">_xlfn.IFNA(VLOOKUP(I610,Table14543[],2,FALSE()),"")</f>
        <v/>
      </c>
      <c r="K610" s="84" t="str">
        <f aca="false">_xlfn.IFNA(VLOOKUP(I610,Table14543[],3,FALSE()),"")</f>
        <v/>
      </c>
      <c r="L610" s="83" t="str">
        <f aca="false">CONCATENATE("",I610,""," ",J610," ",K610)</f>
        <v>  </v>
      </c>
      <c r="M610" s="85"/>
      <c r="N610" s="86"/>
      <c r="O610" s="86"/>
      <c r="P610" s="86" t="n">
        <f aca="false">N610*O610</f>
        <v>0</v>
      </c>
      <c r="Q610" s="86"/>
      <c r="R610" s="87" t="n">
        <f aca="false">(O610*N610)+Q610</f>
        <v>0</v>
      </c>
      <c r="S610" s="91"/>
    </row>
    <row r="611" customFormat="false" ht="14.25" hidden="false" customHeight="false" outlineLevel="0" collapsed="false">
      <c r="A611" s="77"/>
      <c r="B611" s="78"/>
      <c r="C611" s="79"/>
      <c r="D611" s="79"/>
      <c r="E611" s="80" t="str">
        <f aca="false">_xlfn.IFNA(VLOOKUP(C611,'بيانات الآليات '!A:G,4,FALSE()),"")</f>
        <v/>
      </c>
      <c r="F611" s="81" t="str">
        <f aca="false">_xlfn.IFNA(VLOOKUP(C611,'بيانات الآليات '!A:G,2,FALSE()),"")</f>
        <v/>
      </c>
      <c r="G611" s="81"/>
      <c r="H611" s="81" t="str">
        <f aca="false">_xlfn.IFNA(VLOOKUP(C611,'بيانات الآليات '!A:G,5,FALSE()),"")</f>
        <v/>
      </c>
      <c r="I611" s="82"/>
      <c r="J611" s="83" t="str">
        <f aca="false">_xlfn.IFNA(VLOOKUP(I611,Table14543[],2,FALSE()),"")</f>
        <v/>
      </c>
      <c r="K611" s="84" t="str">
        <f aca="false">_xlfn.IFNA(VLOOKUP(I611,Table14543[],3,FALSE()),"")</f>
        <v/>
      </c>
      <c r="L611" s="83" t="str">
        <f aca="false">CONCATENATE("",I611,""," ",J611," ",K611)</f>
        <v>  </v>
      </c>
      <c r="M611" s="85"/>
      <c r="N611" s="86"/>
      <c r="O611" s="86"/>
      <c r="P611" s="86" t="n">
        <f aca="false">N611*O611</f>
        <v>0</v>
      </c>
      <c r="Q611" s="86"/>
      <c r="R611" s="87" t="n">
        <f aca="false">(O611*N611)+Q611</f>
        <v>0</v>
      </c>
      <c r="S611" s="91"/>
    </row>
    <row r="612" customFormat="false" ht="14.25" hidden="false" customHeight="false" outlineLevel="0" collapsed="false">
      <c r="A612" s="77"/>
      <c r="B612" s="78"/>
      <c r="C612" s="79"/>
      <c r="D612" s="79"/>
      <c r="E612" s="80" t="str">
        <f aca="false">_xlfn.IFNA(VLOOKUP(C612,'بيانات الآليات '!A:G,4,FALSE()),"")</f>
        <v/>
      </c>
      <c r="F612" s="81" t="str">
        <f aca="false">_xlfn.IFNA(VLOOKUP(C612,'بيانات الآليات '!A:G,2,FALSE()),"")</f>
        <v/>
      </c>
      <c r="G612" s="81"/>
      <c r="H612" s="81" t="str">
        <f aca="false">_xlfn.IFNA(VLOOKUP(C612,'بيانات الآليات '!A:G,5,FALSE()),"")</f>
        <v/>
      </c>
      <c r="I612" s="82"/>
      <c r="J612" s="83" t="str">
        <f aca="false">_xlfn.IFNA(VLOOKUP(I612,Table14543[],2,FALSE()),"")</f>
        <v/>
      </c>
      <c r="K612" s="84" t="str">
        <f aca="false">_xlfn.IFNA(VLOOKUP(I612,Table14543[],3,FALSE()),"")</f>
        <v/>
      </c>
      <c r="L612" s="83" t="str">
        <f aca="false">CONCATENATE("",I612,""," ",J612," ",K612)</f>
        <v>  </v>
      </c>
      <c r="M612" s="85"/>
      <c r="N612" s="86"/>
      <c r="O612" s="86"/>
      <c r="P612" s="86" t="n">
        <f aca="false">N612*O612</f>
        <v>0</v>
      </c>
      <c r="Q612" s="86"/>
      <c r="R612" s="87" t="n">
        <f aca="false">(O612*N612)+Q612</f>
        <v>0</v>
      </c>
      <c r="S612" s="91"/>
    </row>
    <row r="613" customFormat="false" ht="14.25" hidden="false" customHeight="false" outlineLevel="0" collapsed="false">
      <c r="A613" s="77"/>
      <c r="B613" s="78"/>
      <c r="C613" s="79"/>
      <c r="D613" s="79"/>
      <c r="E613" s="80" t="str">
        <f aca="false">_xlfn.IFNA(VLOOKUP(C613,'بيانات الآليات '!A:G,4,FALSE()),"")</f>
        <v/>
      </c>
      <c r="F613" s="81" t="str">
        <f aca="false">_xlfn.IFNA(VLOOKUP(C613,'بيانات الآليات '!A:G,2,FALSE()),"")</f>
        <v/>
      </c>
      <c r="G613" s="81"/>
      <c r="H613" s="81" t="str">
        <f aca="false">_xlfn.IFNA(VLOOKUP(C613,'بيانات الآليات '!A:G,5,FALSE()),"")</f>
        <v/>
      </c>
      <c r="I613" s="82"/>
      <c r="J613" s="83" t="str">
        <f aca="false">_xlfn.IFNA(VLOOKUP(I613,Table14543[],2,FALSE()),"")</f>
        <v/>
      </c>
      <c r="K613" s="84" t="str">
        <f aca="false">_xlfn.IFNA(VLOOKUP(I613,Table14543[],3,FALSE()),"")</f>
        <v/>
      </c>
      <c r="L613" s="83" t="str">
        <f aca="false">CONCATENATE("",I613,""," ",J613," ",K613)</f>
        <v>  </v>
      </c>
      <c r="M613" s="85"/>
      <c r="N613" s="86"/>
      <c r="O613" s="86"/>
      <c r="P613" s="86" t="n">
        <f aca="false">N613*O613</f>
        <v>0</v>
      </c>
      <c r="Q613" s="86"/>
      <c r="R613" s="87" t="n">
        <f aca="false">(O613*N613)+Q613</f>
        <v>0</v>
      </c>
      <c r="S613" s="91"/>
    </row>
    <row r="614" customFormat="false" ht="14.25" hidden="false" customHeight="false" outlineLevel="0" collapsed="false">
      <c r="A614" s="77"/>
      <c r="B614" s="78"/>
      <c r="C614" s="79"/>
      <c r="D614" s="79"/>
      <c r="E614" s="80" t="str">
        <f aca="false">_xlfn.IFNA(VLOOKUP(C614,'بيانات الآليات '!A:G,4,FALSE()),"")</f>
        <v/>
      </c>
      <c r="F614" s="81" t="str">
        <f aca="false">_xlfn.IFNA(VLOOKUP(C614,'بيانات الآليات '!A:G,2,FALSE()),"")</f>
        <v/>
      </c>
      <c r="G614" s="81"/>
      <c r="H614" s="81" t="str">
        <f aca="false">_xlfn.IFNA(VLOOKUP(C614,'بيانات الآليات '!A:G,5,FALSE()),"")</f>
        <v/>
      </c>
      <c r="I614" s="82"/>
      <c r="J614" s="83" t="str">
        <f aca="false">_xlfn.IFNA(VLOOKUP(I614,Table14543[],2,FALSE()),"")</f>
        <v/>
      </c>
      <c r="K614" s="84" t="str">
        <f aca="false">_xlfn.IFNA(VLOOKUP(I614,Table14543[],3,FALSE()),"")</f>
        <v/>
      </c>
      <c r="L614" s="83" t="str">
        <f aca="false">CONCATENATE("",I614,""," ",J614," ",K614)</f>
        <v>  </v>
      </c>
      <c r="M614" s="85"/>
      <c r="N614" s="86"/>
      <c r="O614" s="86"/>
      <c r="P614" s="86" t="n">
        <f aca="false">N614*O614</f>
        <v>0</v>
      </c>
      <c r="Q614" s="86"/>
      <c r="R614" s="87" t="n">
        <f aca="false">(O614*N614)+Q614</f>
        <v>0</v>
      </c>
      <c r="S614" s="91"/>
    </row>
    <row r="615" customFormat="false" ht="14.25" hidden="false" customHeight="false" outlineLevel="0" collapsed="false">
      <c r="A615" s="77"/>
      <c r="B615" s="78"/>
      <c r="C615" s="79"/>
      <c r="D615" s="79"/>
      <c r="E615" s="80" t="str">
        <f aca="false">_xlfn.IFNA(VLOOKUP(C615,'بيانات الآليات '!A:G,4,FALSE()),"")</f>
        <v/>
      </c>
      <c r="F615" s="81" t="str">
        <f aca="false">_xlfn.IFNA(VLOOKUP(C615,'بيانات الآليات '!A:G,2,FALSE()),"")</f>
        <v/>
      </c>
      <c r="G615" s="81"/>
      <c r="H615" s="81" t="str">
        <f aca="false">_xlfn.IFNA(VLOOKUP(C615,'بيانات الآليات '!A:G,5,FALSE()),"")</f>
        <v/>
      </c>
      <c r="I615" s="82"/>
      <c r="J615" s="83" t="str">
        <f aca="false">_xlfn.IFNA(VLOOKUP(I615,Table14543[],2,FALSE()),"")</f>
        <v/>
      </c>
      <c r="K615" s="84" t="str">
        <f aca="false">_xlfn.IFNA(VLOOKUP(I615,Table14543[],3,FALSE()),"")</f>
        <v/>
      </c>
      <c r="L615" s="83" t="str">
        <f aca="false">CONCATENATE("",I615,""," ",J615," ",K615)</f>
        <v>  </v>
      </c>
      <c r="M615" s="85"/>
      <c r="N615" s="86"/>
      <c r="O615" s="86"/>
      <c r="P615" s="86" t="n">
        <f aca="false">N615*O615</f>
        <v>0</v>
      </c>
      <c r="Q615" s="86"/>
      <c r="R615" s="87" t="n">
        <f aca="false">(O615*N615)+Q615</f>
        <v>0</v>
      </c>
      <c r="S615" s="91"/>
    </row>
    <row r="616" customFormat="false" ht="14.25" hidden="false" customHeight="false" outlineLevel="0" collapsed="false">
      <c r="A616" s="77"/>
      <c r="B616" s="78"/>
      <c r="C616" s="79"/>
      <c r="D616" s="79"/>
      <c r="E616" s="80" t="str">
        <f aca="false">_xlfn.IFNA(VLOOKUP(C616,'بيانات الآليات '!A:G,4,FALSE()),"")</f>
        <v/>
      </c>
      <c r="F616" s="81" t="str">
        <f aca="false">_xlfn.IFNA(VLOOKUP(C616,'بيانات الآليات '!A:G,2,FALSE()),"")</f>
        <v/>
      </c>
      <c r="G616" s="81"/>
      <c r="H616" s="81" t="str">
        <f aca="false">_xlfn.IFNA(VLOOKUP(C616,'بيانات الآليات '!A:G,5,FALSE()),"")</f>
        <v/>
      </c>
      <c r="I616" s="82"/>
      <c r="J616" s="83" t="str">
        <f aca="false">_xlfn.IFNA(VLOOKUP(I616,Table14543[],2,FALSE()),"")</f>
        <v/>
      </c>
      <c r="K616" s="84" t="str">
        <f aca="false">_xlfn.IFNA(VLOOKUP(I616,Table14543[],3,FALSE()),"")</f>
        <v/>
      </c>
      <c r="L616" s="83" t="str">
        <f aca="false">CONCATENATE("",I616,""," ",J616," ",K616)</f>
        <v>  </v>
      </c>
      <c r="M616" s="85"/>
      <c r="N616" s="86"/>
      <c r="O616" s="86"/>
      <c r="P616" s="86" t="n">
        <f aca="false">N616*O616</f>
        <v>0</v>
      </c>
      <c r="Q616" s="86"/>
      <c r="R616" s="87" t="n">
        <f aca="false">(O616*N616)+Q616</f>
        <v>0</v>
      </c>
      <c r="S616" s="91"/>
    </row>
    <row r="617" customFormat="false" ht="14.25" hidden="false" customHeight="false" outlineLevel="0" collapsed="false">
      <c r="A617" s="77"/>
      <c r="B617" s="78"/>
      <c r="C617" s="79"/>
      <c r="D617" s="79"/>
      <c r="E617" s="80" t="str">
        <f aca="false">_xlfn.IFNA(VLOOKUP(C617,'بيانات الآليات '!A:G,4,FALSE()),"")</f>
        <v/>
      </c>
      <c r="F617" s="81" t="str">
        <f aca="false">_xlfn.IFNA(VLOOKUP(C617,'بيانات الآليات '!A:G,2,FALSE()),"")</f>
        <v/>
      </c>
      <c r="G617" s="81"/>
      <c r="H617" s="81" t="str">
        <f aca="false">_xlfn.IFNA(VLOOKUP(C617,'بيانات الآليات '!A:G,5,FALSE()),"")</f>
        <v/>
      </c>
      <c r="I617" s="82"/>
      <c r="J617" s="83" t="str">
        <f aca="false">_xlfn.IFNA(VLOOKUP(I617,Table14543[],2,FALSE()),"")</f>
        <v/>
      </c>
      <c r="K617" s="84" t="str">
        <f aca="false">_xlfn.IFNA(VLOOKUP(I617,Table14543[],3,FALSE()),"")</f>
        <v/>
      </c>
      <c r="L617" s="83" t="str">
        <f aca="false">CONCATENATE("",I617,""," ",J617," ",K617)</f>
        <v>  </v>
      </c>
      <c r="M617" s="85"/>
      <c r="N617" s="86"/>
      <c r="O617" s="86"/>
      <c r="P617" s="86" t="n">
        <f aca="false">N617*O617</f>
        <v>0</v>
      </c>
      <c r="Q617" s="86"/>
      <c r="R617" s="87" t="n">
        <f aca="false">(O617*N617)+Q617</f>
        <v>0</v>
      </c>
      <c r="S617" s="91"/>
    </row>
    <row r="618" customFormat="false" ht="14.25" hidden="false" customHeight="false" outlineLevel="0" collapsed="false">
      <c r="A618" s="77"/>
      <c r="B618" s="78"/>
      <c r="C618" s="79"/>
      <c r="D618" s="79"/>
      <c r="E618" s="80" t="str">
        <f aca="false">_xlfn.IFNA(VLOOKUP(C618,'بيانات الآليات '!A:G,4,FALSE()),"")</f>
        <v/>
      </c>
      <c r="F618" s="81" t="str">
        <f aca="false">_xlfn.IFNA(VLOOKUP(C618,'بيانات الآليات '!A:G,2,FALSE()),"")</f>
        <v/>
      </c>
      <c r="G618" s="81"/>
      <c r="H618" s="81" t="str">
        <f aca="false">_xlfn.IFNA(VLOOKUP(C618,'بيانات الآليات '!A:G,5,FALSE()),"")</f>
        <v/>
      </c>
      <c r="I618" s="82"/>
      <c r="J618" s="83" t="str">
        <f aca="false">_xlfn.IFNA(VLOOKUP(I618,Table14543[],2,FALSE()),"")</f>
        <v/>
      </c>
      <c r="K618" s="84" t="str">
        <f aca="false">_xlfn.IFNA(VLOOKUP(I618,Table14543[],3,FALSE()),"")</f>
        <v/>
      </c>
      <c r="L618" s="83" t="str">
        <f aca="false">CONCATENATE("",I618,""," ",J618," ",K618)</f>
        <v>  </v>
      </c>
      <c r="M618" s="85"/>
      <c r="N618" s="86"/>
      <c r="O618" s="86"/>
      <c r="P618" s="86" t="n">
        <f aca="false">N618*O618</f>
        <v>0</v>
      </c>
      <c r="Q618" s="86"/>
      <c r="R618" s="87" t="n">
        <f aca="false">(O618*N618)+Q618</f>
        <v>0</v>
      </c>
      <c r="S618" s="91"/>
    </row>
    <row r="619" customFormat="false" ht="14.25" hidden="false" customHeight="false" outlineLevel="0" collapsed="false">
      <c r="A619" s="77"/>
      <c r="B619" s="78"/>
      <c r="C619" s="79"/>
      <c r="D619" s="79"/>
      <c r="E619" s="80" t="str">
        <f aca="false">_xlfn.IFNA(VLOOKUP(C619,'بيانات الآليات '!A:G,4,FALSE()),"")</f>
        <v/>
      </c>
      <c r="F619" s="81" t="str">
        <f aca="false">_xlfn.IFNA(VLOOKUP(C619,'بيانات الآليات '!A:G,2,FALSE()),"")</f>
        <v/>
      </c>
      <c r="G619" s="81"/>
      <c r="H619" s="81" t="str">
        <f aca="false">_xlfn.IFNA(VLOOKUP(C619,'بيانات الآليات '!A:G,5,FALSE()),"")</f>
        <v/>
      </c>
      <c r="I619" s="82"/>
      <c r="J619" s="83" t="str">
        <f aca="false">_xlfn.IFNA(VLOOKUP(I619,Table14543[],2,FALSE()),"")</f>
        <v/>
      </c>
      <c r="K619" s="84" t="str">
        <f aca="false">_xlfn.IFNA(VLOOKUP(I619,Table14543[],3,FALSE()),"")</f>
        <v/>
      </c>
      <c r="L619" s="83" t="str">
        <f aca="false">CONCATENATE("",I619,""," ",J619," ",K619)</f>
        <v>  </v>
      </c>
      <c r="M619" s="85"/>
      <c r="N619" s="86"/>
      <c r="O619" s="86"/>
      <c r="P619" s="86" t="n">
        <f aca="false">N619*O619</f>
        <v>0</v>
      </c>
      <c r="Q619" s="86"/>
      <c r="R619" s="87" t="n">
        <f aca="false">(O619*N619)+Q619</f>
        <v>0</v>
      </c>
      <c r="S619" s="91"/>
    </row>
    <row r="620" customFormat="false" ht="14.25" hidden="false" customHeight="false" outlineLevel="0" collapsed="false">
      <c r="A620" s="77"/>
      <c r="B620" s="78"/>
      <c r="C620" s="79"/>
      <c r="D620" s="79"/>
      <c r="E620" s="80" t="str">
        <f aca="false">_xlfn.IFNA(VLOOKUP(C620,'بيانات الآليات '!A:G,4,FALSE()),"")</f>
        <v/>
      </c>
      <c r="F620" s="81" t="str">
        <f aca="false">_xlfn.IFNA(VLOOKUP(C620,'بيانات الآليات '!A:G,2,FALSE()),"")</f>
        <v/>
      </c>
      <c r="G620" s="81"/>
      <c r="H620" s="81" t="str">
        <f aca="false">_xlfn.IFNA(VLOOKUP(C620,'بيانات الآليات '!A:G,5,FALSE()),"")</f>
        <v/>
      </c>
      <c r="I620" s="82"/>
      <c r="J620" s="83" t="str">
        <f aca="false">_xlfn.IFNA(VLOOKUP(I620,Table14543[],2,FALSE()),"")</f>
        <v/>
      </c>
      <c r="K620" s="84" t="str">
        <f aca="false">_xlfn.IFNA(VLOOKUP(I620,Table14543[],3,FALSE()),"")</f>
        <v/>
      </c>
      <c r="L620" s="83" t="str">
        <f aca="false">CONCATENATE("",I620,""," ",J620," ",K620)</f>
        <v>  </v>
      </c>
      <c r="M620" s="85"/>
      <c r="N620" s="86"/>
      <c r="O620" s="86"/>
      <c r="P620" s="86" t="n">
        <f aca="false">N620*O620</f>
        <v>0</v>
      </c>
      <c r="Q620" s="86"/>
      <c r="R620" s="87" t="n">
        <f aca="false">(O620*N620)+Q620</f>
        <v>0</v>
      </c>
      <c r="S620" s="91"/>
    </row>
    <row r="621" customFormat="false" ht="14.25" hidden="false" customHeight="false" outlineLevel="0" collapsed="false">
      <c r="A621" s="77"/>
      <c r="B621" s="78"/>
      <c r="C621" s="79"/>
      <c r="D621" s="79"/>
      <c r="E621" s="80" t="str">
        <f aca="false">_xlfn.IFNA(VLOOKUP(C621,'بيانات الآليات '!A:G,4,FALSE()),"")</f>
        <v/>
      </c>
      <c r="F621" s="81" t="str">
        <f aca="false">_xlfn.IFNA(VLOOKUP(C621,'بيانات الآليات '!A:G,2,FALSE()),"")</f>
        <v/>
      </c>
      <c r="G621" s="81"/>
      <c r="H621" s="81" t="str">
        <f aca="false">_xlfn.IFNA(VLOOKUP(C621,'بيانات الآليات '!A:G,5,FALSE()),"")</f>
        <v/>
      </c>
      <c r="I621" s="82"/>
      <c r="J621" s="83" t="str">
        <f aca="false">_xlfn.IFNA(VLOOKUP(I621,Table14543[],2,FALSE()),"")</f>
        <v/>
      </c>
      <c r="K621" s="84" t="str">
        <f aca="false">_xlfn.IFNA(VLOOKUP(I621,Table14543[],3,FALSE()),"")</f>
        <v/>
      </c>
      <c r="L621" s="83" t="str">
        <f aca="false">CONCATENATE("",I621,""," ",J621," ",K621)</f>
        <v>  </v>
      </c>
      <c r="M621" s="85"/>
      <c r="N621" s="86"/>
      <c r="O621" s="86"/>
      <c r="P621" s="86" t="n">
        <f aca="false">N621*O621</f>
        <v>0</v>
      </c>
      <c r="Q621" s="86"/>
      <c r="R621" s="87" t="n">
        <f aca="false">(O621*N621)+Q621</f>
        <v>0</v>
      </c>
      <c r="S621" s="91"/>
    </row>
    <row r="622" customFormat="false" ht="14.25" hidden="false" customHeight="false" outlineLevel="0" collapsed="false">
      <c r="A622" s="77"/>
      <c r="B622" s="78"/>
      <c r="C622" s="79"/>
      <c r="D622" s="79"/>
      <c r="E622" s="80" t="str">
        <f aca="false">_xlfn.IFNA(VLOOKUP(C622,'بيانات الآليات '!A:G,4,FALSE()),"")</f>
        <v/>
      </c>
      <c r="F622" s="81" t="str">
        <f aca="false">_xlfn.IFNA(VLOOKUP(C622,'بيانات الآليات '!A:G,2,FALSE()),"")</f>
        <v/>
      </c>
      <c r="G622" s="81"/>
      <c r="H622" s="81" t="str">
        <f aca="false">_xlfn.IFNA(VLOOKUP(C622,'بيانات الآليات '!A:G,5,FALSE()),"")</f>
        <v/>
      </c>
      <c r="I622" s="82"/>
      <c r="J622" s="83" t="str">
        <f aca="false">_xlfn.IFNA(VLOOKUP(I622,Table14543[],2,FALSE()),"")</f>
        <v/>
      </c>
      <c r="K622" s="84" t="str">
        <f aca="false">_xlfn.IFNA(VLOOKUP(I622,Table14543[],3,FALSE()),"")</f>
        <v/>
      </c>
      <c r="L622" s="83" t="str">
        <f aca="false">CONCATENATE("",I622,""," ",J622," ",K622)</f>
        <v>  </v>
      </c>
      <c r="M622" s="85"/>
      <c r="N622" s="86"/>
      <c r="O622" s="86"/>
      <c r="P622" s="86" t="n">
        <f aca="false">N622*O622</f>
        <v>0</v>
      </c>
      <c r="Q622" s="86"/>
      <c r="R622" s="87" t="n">
        <f aca="false">(O622*N622)+Q622</f>
        <v>0</v>
      </c>
      <c r="S622" s="91"/>
    </row>
    <row r="623" customFormat="false" ht="14.25" hidden="false" customHeight="false" outlineLevel="0" collapsed="false">
      <c r="A623" s="77"/>
      <c r="B623" s="78"/>
      <c r="C623" s="79"/>
      <c r="D623" s="79"/>
      <c r="E623" s="80" t="str">
        <f aca="false">_xlfn.IFNA(VLOOKUP(C623,'بيانات الآليات '!A:G,4,FALSE()),"")</f>
        <v/>
      </c>
      <c r="F623" s="81" t="str">
        <f aca="false">_xlfn.IFNA(VLOOKUP(C623,'بيانات الآليات '!A:G,2,FALSE()),"")</f>
        <v/>
      </c>
      <c r="G623" s="81"/>
      <c r="H623" s="81" t="str">
        <f aca="false">_xlfn.IFNA(VLOOKUP(C623,'بيانات الآليات '!A:G,5,FALSE()),"")</f>
        <v/>
      </c>
      <c r="I623" s="82"/>
      <c r="J623" s="83" t="str">
        <f aca="false">_xlfn.IFNA(VLOOKUP(I623,Table14543[],2,FALSE()),"")</f>
        <v/>
      </c>
      <c r="K623" s="84" t="str">
        <f aca="false">_xlfn.IFNA(VLOOKUP(I623,Table14543[],3,FALSE()),"")</f>
        <v/>
      </c>
      <c r="L623" s="83" t="str">
        <f aca="false">CONCATENATE("",I623,""," ",J623," ",K623)</f>
        <v>  </v>
      </c>
      <c r="M623" s="85"/>
      <c r="N623" s="86"/>
      <c r="O623" s="86"/>
      <c r="P623" s="86" t="n">
        <f aca="false">N623*O623</f>
        <v>0</v>
      </c>
      <c r="Q623" s="86"/>
      <c r="R623" s="87" t="n">
        <f aca="false">(O623*N623)+Q623</f>
        <v>0</v>
      </c>
      <c r="S623" s="91"/>
    </row>
    <row r="624" customFormat="false" ht="14.25" hidden="false" customHeight="false" outlineLevel="0" collapsed="false">
      <c r="A624" s="77"/>
      <c r="B624" s="78"/>
      <c r="C624" s="79"/>
      <c r="D624" s="79"/>
      <c r="E624" s="80" t="str">
        <f aca="false">_xlfn.IFNA(VLOOKUP(C624,'بيانات الآليات '!A:G,4,FALSE()),"")</f>
        <v/>
      </c>
      <c r="F624" s="81" t="str">
        <f aca="false">_xlfn.IFNA(VLOOKUP(C624,'بيانات الآليات '!A:G,2,FALSE()),"")</f>
        <v/>
      </c>
      <c r="G624" s="81"/>
      <c r="H624" s="81" t="str">
        <f aca="false">_xlfn.IFNA(VLOOKUP(C624,'بيانات الآليات '!A:G,5,FALSE()),"")</f>
        <v/>
      </c>
      <c r="I624" s="82"/>
      <c r="J624" s="83" t="str">
        <f aca="false">_xlfn.IFNA(VLOOKUP(I624,Table14543[],2,FALSE()),"")</f>
        <v/>
      </c>
      <c r="K624" s="84" t="str">
        <f aca="false">_xlfn.IFNA(VLOOKUP(I624,Table14543[],3,FALSE()),"")</f>
        <v/>
      </c>
      <c r="L624" s="83" t="str">
        <f aca="false">CONCATENATE("",I624,""," ",J624," ",K624)</f>
        <v>  </v>
      </c>
      <c r="M624" s="85"/>
      <c r="N624" s="86"/>
      <c r="O624" s="86"/>
      <c r="P624" s="86" t="n">
        <f aca="false">N624*O624</f>
        <v>0</v>
      </c>
      <c r="Q624" s="86"/>
      <c r="R624" s="87" t="n">
        <f aca="false">(O624*N624)+Q624</f>
        <v>0</v>
      </c>
      <c r="S624" s="91"/>
    </row>
    <row r="625" customFormat="false" ht="14.25" hidden="false" customHeight="false" outlineLevel="0" collapsed="false">
      <c r="A625" s="77"/>
      <c r="B625" s="78"/>
      <c r="C625" s="79"/>
      <c r="D625" s="79"/>
      <c r="E625" s="80" t="str">
        <f aca="false">_xlfn.IFNA(VLOOKUP(C625,'بيانات الآليات '!A:G,4,FALSE()),"")</f>
        <v/>
      </c>
      <c r="F625" s="81" t="str">
        <f aca="false">_xlfn.IFNA(VLOOKUP(C625,'بيانات الآليات '!A:G,2,FALSE()),"")</f>
        <v/>
      </c>
      <c r="G625" s="81"/>
      <c r="H625" s="81" t="str">
        <f aca="false">_xlfn.IFNA(VLOOKUP(C625,'بيانات الآليات '!A:G,5,FALSE()),"")</f>
        <v/>
      </c>
      <c r="I625" s="82"/>
      <c r="J625" s="83" t="str">
        <f aca="false">_xlfn.IFNA(VLOOKUP(I625,Table14543[],2,FALSE()),"")</f>
        <v/>
      </c>
      <c r="K625" s="84" t="str">
        <f aca="false">_xlfn.IFNA(VLOOKUP(I625,Table14543[],3,FALSE()),"")</f>
        <v/>
      </c>
      <c r="L625" s="83" t="str">
        <f aca="false">CONCATENATE("",I625,""," ",J625," ",K625)</f>
        <v>  </v>
      </c>
      <c r="M625" s="85"/>
      <c r="N625" s="86"/>
      <c r="O625" s="86"/>
      <c r="P625" s="86" t="n">
        <f aca="false">N625*O625</f>
        <v>0</v>
      </c>
      <c r="Q625" s="86"/>
      <c r="R625" s="87" t="n">
        <f aca="false">(O625*N625)+Q625</f>
        <v>0</v>
      </c>
      <c r="S625" s="91"/>
    </row>
    <row r="626" customFormat="false" ht="14.25" hidden="false" customHeight="false" outlineLevel="0" collapsed="false">
      <c r="A626" s="77"/>
      <c r="B626" s="78"/>
      <c r="C626" s="79"/>
      <c r="D626" s="79"/>
      <c r="E626" s="80" t="str">
        <f aca="false">_xlfn.IFNA(VLOOKUP(C626,'بيانات الآليات '!A:G,4,FALSE()),"")</f>
        <v/>
      </c>
      <c r="F626" s="81" t="str">
        <f aca="false">_xlfn.IFNA(VLOOKUP(C626,'بيانات الآليات '!A:G,2,FALSE()),"")</f>
        <v/>
      </c>
      <c r="G626" s="81"/>
      <c r="H626" s="81" t="str">
        <f aca="false">_xlfn.IFNA(VLOOKUP(C626,'بيانات الآليات '!A:G,5,FALSE()),"")</f>
        <v/>
      </c>
      <c r="I626" s="82"/>
      <c r="J626" s="83" t="str">
        <f aca="false">_xlfn.IFNA(VLOOKUP(I626,Table14543[],2,FALSE()),"")</f>
        <v/>
      </c>
      <c r="K626" s="84" t="str">
        <f aca="false">_xlfn.IFNA(VLOOKUP(I626,Table14543[],3,FALSE()),"")</f>
        <v/>
      </c>
      <c r="L626" s="83" t="str">
        <f aca="false">CONCATENATE("",I626,""," ",J626," ",K626)</f>
        <v>  </v>
      </c>
      <c r="M626" s="85"/>
      <c r="N626" s="86"/>
      <c r="O626" s="86"/>
      <c r="P626" s="86" t="n">
        <f aca="false">N626*O626</f>
        <v>0</v>
      </c>
      <c r="Q626" s="86"/>
      <c r="R626" s="87" t="n">
        <f aca="false">(O626*N626)+Q626</f>
        <v>0</v>
      </c>
      <c r="S626" s="91"/>
    </row>
    <row r="627" customFormat="false" ht="14.25" hidden="false" customHeight="false" outlineLevel="0" collapsed="false">
      <c r="A627" s="77"/>
      <c r="B627" s="78"/>
      <c r="C627" s="79"/>
      <c r="D627" s="79"/>
      <c r="E627" s="80" t="str">
        <f aca="false">_xlfn.IFNA(VLOOKUP(C627,'بيانات الآليات '!A:G,4,FALSE()),"")</f>
        <v/>
      </c>
      <c r="F627" s="81" t="str">
        <f aca="false">_xlfn.IFNA(VLOOKUP(C627,'بيانات الآليات '!A:G,2,FALSE()),"")</f>
        <v/>
      </c>
      <c r="G627" s="81"/>
      <c r="H627" s="81" t="str">
        <f aca="false">_xlfn.IFNA(VLOOKUP(C627,'بيانات الآليات '!A:G,5,FALSE()),"")</f>
        <v/>
      </c>
      <c r="I627" s="82"/>
      <c r="J627" s="83" t="str">
        <f aca="false">_xlfn.IFNA(VLOOKUP(I627,Table14543[],2,FALSE()),"")</f>
        <v/>
      </c>
      <c r="K627" s="84" t="str">
        <f aca="false">_xlfn.IFNA(VLOOKUP(I627,Table14543[],3,FALSE()),"")</f>
        <v/>
      </c>
      <c r="L627" s="83" t="str">
        <f aca="false">CONCATENATE("",I627,""," ",J627," ",K627)</f>
        <v>  </v>
      </c>
      <c r="M627" s="85"/>
      <c r="N627" s="86"/>
      <c r="O627" s="86"/>
      <c r="P627" s="86" t="n">
        <f aca="false">N627*O627</f>
        <v>0</v>
      </c>
      <c r="Q627" s="86"/>
      <c r="R627" s="87" t="n">
        <f aca="false">(O627*N627)+Q627</f>
        <v>0</v>
      </c>
      <c r="S627" s="91"/>
    </row>
    <row r="628" customFormat="false" ht="14.25" hidden="false" customHeight="false" outlineLevel="0" collapsed="false">
      <c r="A628" s="77"/>
      <c r="B628" s="78"/>
      <c r="C628" s="79"/>
      <c r="D628" s="79"/>
      <c r="E628" s="80" t="str">
        <f aca="false">_xlfn.IFNA(VLOOKUP(C628,'بيانات الآليات '!A:G,4,FALSE()),"")</f>
        <v/>
      </c>
      <c r="F628" s="81" t="str">
        <f aca="false">_xlfn.IFNA(VLOOKUP(C628,'بيانات الآليات '!A:G,2,FALSE()),"")</f>
        <v/>
      </c>
      <c r="G628" s="81"/>
      <c r="H628" s="81" t="str">
        <f aca="false">_xlfn.IFNA(VLOOKUP(C628,'بيانات الآليات '!A:G,5,FALSE()),"")</f>
        <v/>
      </c>
      <c r="I628" s="82"/>
      <c r="J628" s="83" t="str">
        <f aca="false">_xlfn.IFNA(VLOOKUP(I628,Table14543[],2,FALSE()),"")</f>
        <v/>
      </c>
      <c r="K628" s="84" t="str">
        <f aca="false">_xlfn.IFNA(VLOOKUP(I628,Table14543[],3,FALSE()),"")</f>
        <v/>
      </c>
      <c r="L628" s="83" t="str">
        <f aca="false">CONCATENATE("",I628,""," ",J628," ",K628)</f>
        <v>  </v>
      </c>
      <c r="M628" s="85"/>
      <c r="N628" s="86"/>
      <c r="O628" s="86"/>
      <c r="P628" s="86" t="n">
        <f aca="false">N628*O628</f>
        <v>0</v>
      </c>
      <c r="Q628" s="86"/>
      <c r="R628" s="87" t="n">
        <f aca="false">(O628*N628)+Q628</f>
        <v>0</v>
      </c>
      <c r="S628" s="91"/>
    </row>
    <row r="629" customFormat="false" ht="14.25" hidden="false" customHeight="false" outlineLevel="0" collapsed="false">
      <c r="A629" s="77"/>
      <c r="B629" s="78"/>
      <c r="C629" s="79"/>
      <c r="D629" s="79"/>
      <c r="E629" s="80" t="str">
        <f aca="false">_xlfn.IFNA(VLOOKUP(C629,'بيانات الآليات '!A:G,4,FALSE()),"")</f>
        <v/>
      </c>
      <c r="F629" s="81" t="str">
        <f aca="false">_xlfn.IFNA(VLOOKUP(C629,'بيانات الآليات '!A:G,2,FALSE()),"")</f>
        <v/>
      </c>
      <c r="G629" s="81"/>
      <c r="H629" s="81" t="str">
        <f aca="false">_xlfn.IFNA(VLOOKUP(C629,'بيانات الآليات '!A:G,5,FALSE()),"")</f>
        <v/>
      </c>
      <c r="I629" s="82"/>
      <c r="J629" s="83" t="str">
        <f aca="false">_xlfn.IFNA(VLOOKUP(I629,Table14543[],2,FALSE()),"")</f>
        <v/>
      </c>
      <c r="K629" s="84" t="str">
        <f aca="false">_xlfn.IFNA(VLOOKUP(I629,Table14543[],3,FALSE()),"")</f>
        <v/>
      </c>
      <c r="L629" s="83" t="str">
        <f aca="false">CONCATENATE("",I629,""," ",J629," ",K629)</f>
        <v>  </v>
      </c>
      <c r="M629" s="85"/>
      <c r="N629" s="86"/>
      <c r="O629" s="86"/>
      <c r="P629" s="86" t="n">
        <f aca="false">N629*O629</f>
        <v>0</v>
      </c>
      <c r="Q629" s="86"/>
      <c r="R629" s="87" t="n">
        <f aca="false">(O629*N629)+Q629</f>
        <v>0</v>
      </c>
      <c r="S629" s="91"/>
    </row>
    <row r="630" customFormat="false" ht="14.25" hidden="false" customHeight="false" outlineLevel="0" collapsed="false">
      <c r="A630" s="77"/>
      <c r="B630" s="78"/>
      <c r="C630" s="79"/>
      <c r="D630" s="79"/>
      <c r="E630" s="80" t="str">
        <f aca="false">_xlfn.IFNA(VLOOKUP(C630,'بيانات الآليات '!A:G,4,FALSE()),"")</f>
        <v/>
      </c>
      <c r="F630" s="81" t="str">
        <f aca="false">_xlfn.IFNA(VLOOKUP(C630,'بيانات الآليات '!A:G,2,FALSE()),"")</f>
        <v/>
      </c>
      <c r="G630" s="81"/>
      <c r="H630" s="81" t="str">
        <f aca="false">_xlfn.IFNA(VLOOKUP(C630,'بيانات الآليات '!A:G,5,FALSE()),"")</f>
        <v/>
      </c>
      <c r="I630" s="82"/>
      <c r="J630" s="83" t="str">
        <f aca="false">_xlfn.IFNA(VLOOKUP(I630,Table14543[],2,FALSE()),"")</f>
        <v/>
      </c>
      <c r="K630" s="84" t="str">
        <f aca="false">_xlfn.IFNA(VLOOKUP(I630,Table14543[],3,FALSE()),"")</f>
        <v/>
      </c>
      <c r="L630" s="83" t="str">
        <f aca="false">CONCATENATE("",I630,""," ",J630," ",K630)</f>
        <v>  </v>
      </c>
      <c r="M630" s="85"/>
      <c r="N630" s="86"/>
      <c r="O630" s="86"/>
      <c r="P630" s="86" t="n">
        <f aca="false">N630*O630</f>
        <v>0</v>
      </c>
      <c r="Q630" s="86"/>
      <c r="R630" s="87" t="n">
        <f aca="false">(O630*N630)+Q630</f>
        <v>0</v>
      </c>
      <c r="S630" s="91"/>
    </row>
    <row r="631" customFormat="false" ht="14.25" hidden="false" customHeight="false" outlineLevel="0" collapsed="false">
      <c r="A631" s="77"/>
      <c r="B631" s="78"/>
      <c r="C631" s="79"/>
      <c r="D631" s="79"/>
      <c r="E631" s="80" t="str">
        <f aca="false">_xlfn.IFNA(VLOOKUP(C631,'بيانات الآليات '!A:G,4,FALSE()),"")</f>
        <v/>
      </c>
      <c r="F631" s="81" t="str">
        <f aca="false">_xlfn.IFNA(VLOOKUP(C631,'بيانات الآليات '!A:G,2,FALSE()),"")</f>
        <v/>
      </c>
      <c r="G631" s="81"/>
      <c r="H631" s="81" t="str">
        <f aca="false">_xlfn.IFNA(VLOOKUP(C631,'بيانات الآليات '!A:G,5,FALSE()),"")</f>
        <v/>
      </c>
      <c r="I631" s="82"/>
      <c r="J631" s="83" t="str">
        <f aca="false">_xlfn.IFNA(VLOOKUP(I631,Table14543[],2,FALSE()),"")</f>
        <v/>
      </c>
      <c r="K631" s="84" t="str">
        <f aca="false">_xlfn.IFNA(VLOOKUP(I631,Table14543[],3,FALSE()),"")</f>
        <v/>
      </c>
      <c r="L631" s="83" t="str">
        <f aca="false">CONCATENATE("",I631,""," ",J631," ",K631)</f>
        <v>  </v>
      </c>
      <c r="M631" s="85"/>
      <c r="N631" s="86"/>
      <c r="O631" s="86"/>
      <c r="P631" s="86" t="n">
        <f aca="false">N631*O631</f>
        <v>0</v>
      </c>
      <c r="Q631" s="86"/>
      <c r="R631" s="87" t="n">
        <f aca="false">(O631*N631)+Q631</f>
        <v>0</v>
      </c>
      <c r="S631" s="91"/>
    </row>
    <row r="632" customFormat="false" ht="14.25" hidden="false" customHeight="false" outlineLevel="0" collapsed="false">
      <c r="A632" s="77"/>
      <c r="B632" s="78"/>
      <c r="C632" s="79"/>
      <c r="D632" s="79"/>
      <c r="E632" s="80" t="str">
        <f aca="false">_xlfn.IFNA(VLOOKUP(C632,'بيانات الآليات '!A:G,4,FALSE()),"")</f>
        <v/>
      </c>
      <c r="F632" s="81" t="str">
        <f aca="false">_xlfn.IFNA(VLOOKUP(C632,'بيانات الآليات '!A:G,2,FALSE()),"")</f>
        <v/>
      </c>
      <c r="G632" s="81"/>
      <c r="H632" s="81" t="str">
        <f aca="false">_xlfn.IFNA(VLOOKUP(C632,'بيانات الآليات '!A:G,5,FALSE()),"")</f>
        <v/>
      </c>
      <c r="I632" s="82"/>
      <c r="J632" s="83" t="str">
        <f aca="false">_xlfn.IFNA(VLOOKUP(I632,Table14543[],2,FALSE()),"")</f>
        <v/>
      </c>
      <c r="K632" s="84" t="str">
        <f aca="false">_xlfn.IFNA(VLOOKUP(I632,Table14543[],3,FALSE()),"")</f>
        <v/>
      </c>
      <c r="L632" s="83" t="str">
        <f aca="false">CONCATENATE("",I632,""," ",J632," ",K632)</f>
        <v>  </v>
      </c>
      <c r="M632" s="85"/>
      <c r="N632" s="86"/>
      <c r="O632" s="86"/>
      <c r="P632" s="86" t="n">
        <f aca="false">N632*O632</f>
        <v>0</v>
      </c>
      <c r="Q632" s="86"/>
      <c r="R632" s="87" t="n">
        <f aca="false">(O632*N632)+Q632</f>
        <v>0</v>
      </c>
      <c r="S632" s="91"/>
    </row>
    <row r="633" customFormat="false" ht="14.25" hidden="false" customHeight="false" outlineLevel="0" collapsed="false">
      <c r="A633" s="77"/>
      <c r="B633" s="78"/>
      <c r="C633" s="79"/>
      <c r="D633" s="79"/>
      <c r="E633" s="80" t="str">
        <f aca="false">_xlfn.IFNA(VLOOKUP(C633,'بيانات الآليات '!A:G,4,FALSE()),"")</f>
        <v/>
      </c>
      <c r="F633" s="81" t="str">
        <f aca="false">_xlfn.IFNA(VLOOKUP(C633,'بيانات الآليات '!A:G,2,FALSE()),"")</f>
        <v/>
      </c>
      <c r="G633" s="81"/>
      <c r="H633" s="81" t="str">
        <f aca="false">_xlfn.IFNA(VLOOKUP(C633,'بيانات الآليات '!A:G,5,FALSE()),"")</f>
        <v/>
      </c>
      <c r="I633" s="82"/>
      <c r="J633" s="83" t="str">
        <f aca="false">_xlfn.IFNA(VLOOKUP(I633,Table14543[],2,FALSE()),"")</f>
        <v/>
      </c>
      <c r="K633" s="84" t="str">
        <f aca="false">_xlfn.IFNA(VLOOKUP(I633,Table14543[],3,FALSE()),"")</f>
        <v/>
      </c>
      <c r="L633" s="83" t="str">
        <f aca="false">CONCATENATE("",I633,""," ",J633," ",K633)</f>
        <v>  </v>
      </c>
      <c r="M633" s="85"/>
      <c r="N633" s="86"/>
      <c r="O633" s="86"/>
      <c r="P633" s="86" t="n">
        <f aca="false">N633*O633</f>
        <v>0</v>
      </c>
      <c r="Q633" s="86"/>
      <c r="R633" s="87" t="n">
        <f aca="false">(O633*N633)+Q633</f>
        <v>0</v>
      </c>
      <c r="S633" s="91"/>
    </row>
    <row r="634" customFormat="false" ht="14.25" hidden="false" customHeight="false" outlineLevel="0" collapsed="false">
      <c r="A634" s="77"/>
      <c r="B634" s="78"/>
      <c r="C634" s="79"/>
      <c r="D634" s="79"/>
      <c r="E634" s="80" t="str">
        <f aca="false">_xlfn.IFNA(VLOOKUP(C634,'بيانات الآليات '!A:G,4,FALSE()),"")</f>
        <v/>
      </c>
      <c r="F634" s="81" t="str">
        <f aca="false">_xlfn.IFNA(VLOOKUP(C634,'بيانات الآليات '!A:G,2,FALSE()),"")</f>
        <v/>
      </c>
      <c r="G634" s="81"/>
      <c r="H634" s="81" t="str">
        <f aca="false">_xlfn.IFNA(VLOOKUP(C634,'بيانات الآليات '!A:G,5,FALSE()),"")</f>
        <v/>
      </c>
      <c r="I634" s="82"/>
      <c r="J634" s="83" t="str">
        <f aca="false">_xlfn.IFNA(VLOOKUP(I634,Table14543[],2,FALSE()),"")</f>
        <v/>
      </c>
      <c r="K634" s="84" t="str">
        <f aca="false">_xlfn.IFNA(VLOOKUP(I634,Table14543[],3,FALSE()),"")</f>
        <v/>
      </c>
      <c r="L634" s="83" t="str">
        <f aca="false">CONCATENATE("",I634,""," ",J634," ",K634)</f>
        <v>  </v>
      </c>
      <c r="M634" s="85"/>
      <c r="N634" s="86"/>
      <c r="O634" s="86"/>
      <c r="P634" s="86" t="n">
        <f aca="false">N634*O634</f>
        <v>0</v>
      </c>
      <c r="Q634" s="86"/>
      <c r="R634" s="87" t="n">
        <f aca="false">(O634*N634)+Q634</f>
        <v>0</v>
      </c>
      <c r="S634" s="91"/>
    </row>
    <row r="635" customFormat="false" ht="14.25" hidden="false" customHeight="false" outlineLevel="0" collapsed="false">
      <c r="A635" s="77"/>
      <c r="B635" s="78"/>
      <c r="C635" s="79"/>
      <c r="D635" s="79"/>
      <c r="E635" s="80" t="str">
        <f aca="false">_xlfn.IFNA(VLOOKUP(C635,'بيانات الآليات '!A:G,4,FALSE()),"")</f>
        <v/>
      </c>
      <c r="F635" s="81" t="str">
        <f aca="false">_xlfn.IFNA(VLOOKUP(C635,'بيانات الآليات '!A:G,2,FALSE()),"")</f>
        <v/>
      </c>
      <c r="G635" s="81"/>
      <c r="H635" s="81" t="str">
        <f aca="false">_xlfn.IFNA(VLOOKUP(C635,'بيانات الآليات '!A:G,5,FALSE()),"")</f>
        <v/>
      </c>
      <c r="I635" s="82"/>
      <c r="J635" s="83" t="str">
        <f aca="false">_xlfn.IFNA(VLOOKUP(I635,Table14543[],2,FALSE()),"")</f>
        <v/>
      </c>
      <c r="K635" s="84" t="str">
        <f aca="false">_xlfn.IFNA(VLOOKUP(I635,Table14543[],3,FALSE()),"")</f>
        <v/>
      </c>
      <c r="L635" s="83" t="str">
        <f aca="false">CONCATENATE("",I635,""," ",J635," ",K635)</f>
        <v>  </v>
      </c>
      <c r="M635" s="85"/>
      <c r="N635" s="86"/>
      <c r="O635" s="86"/>
      <c r="P635" s="86" t="n">
        <f aca="false">N635*O635</f>
        <v>0</v>
      </c>
      <c r="Q635" s="86"/>
      <c r="R635" s="87" t="n">
        <f aca="false">(O635*N635)+Q635</f>
        <v>0</v>
      </c>
      <c r="S635" s="91"/>
    </row>
    <row r="636" customFormat="false" ht="14.25" hidden="false" customHeight="false" outlineLevel="0" collapsed="false">
      <c r="A636" s="77"/>
      <c r="B636" s="78"/>
      <c r="C636" s="79"/>
      <c r="D636" s="79"/>
      <c r="E636" s="80" t="str">
        <f aca="false">_xlfn.IFNA(VLOOKUP(C636,'بيانات الآليات '!A:G,4,FALSE()),"")</f>
        <v/>
      </c>
      <c r="F636" s="81" t="str">
        <f aca="false">_xlfn.IFNA(VLOOKUP(C636,'بيانات الآليات '!A:G,2,FALSE()),"")</f>
        <v/>
      </c>
      <c r="G636" s="81"/>
      <c r="H636" s="81" t="str">
        <f aca="false">_xlfn.IFNA(VLOOKUP(C636,'بيانات الآليات '!A:G,5,FALSE()),"")</f>
        <v/>
      </c>
      <c r="I636" s="82"/>
      <c r="J636" s="83" t="str">
        <f aca="false">_xlfn.IFNA(VLOOKUP(I636,Table14543[],2,FALSE()),"")</f>
        <v/>
      </c>
      <c r="K636" s="84" t="str">
        <f aca="false">_xlfn.IFNA(VLOOKUP(I636,Table14543[],3,FALSE()),"")</f>
        <v/>
      </c>
      <c r="L636" s="83" t="str">
        <f aca="false">CONCATENATE("",I636,""," ",J636," ",K636)</f>
        <v>  </v>
      </c>
      <c r="M636" s="85"/>
      <c r="N636" s="86"/>
      <c r="O636" s="86"/>
      <c r="P636" s="86" t="n">
        <f aca="false">N636*O636</f>
        <v>0</v>
      </c>
      <c r="Q636" s="86"/>
      <c r="R636" s="87" t="n">
        <f aca="false">(O636*N636)+Q636</f>
        <v>0</v>
      </c>
      <c r="S636" s="91"/>
    </row>
    <row r="637" customFormat="false" ht="14.25" hidden="false" customHeight="false" outlineLevel="0" collapsed="false">
      <c r="A637" s="77"/>
      <c r="B637" s="78"/>
      <c r="C637" s="79"/>
      <c r="D637" s="79"/>
      <c r="E637" s="80" t="str">
        <f aca="false">_xlfn.IFNA(VLOOKUP(C637,'بيانات الآليات '!A:G,4,FALSE()),"")</f>
        <v/>
      </c>
      <c r="F637" s="81" t="str">
        <f aca="false">_xlfn.IFNA(VLOOKUP(C637,'بيانات الآليات '!A:G,2,FALSE()),"")</f>
        <v/>
      </c>
      <c r="G637" s="81"/>
      <c r="H637" s="81" t="str">
        <f aca="false">_xlfn.IFNA(VLOOKUP(C637,'بيانات الآليات '!A:G,5,FALSE()),"")</f>
        <v/>
      </c>
      <c r="I637" s="82"/>
      <c r="J637" s="83" t="str">
        <f aca="false">_xlfn.IFNA(VLOOKUP(I637,Table14543[],2,FALSE()),"")</f>
        <v/>
      </c>
      <c r="K637" s="84" t="str">
        <f aca="false">_xlfn.IFNA(VLOOKUP(I637,Table14543[],3,FALSE()),"")</f>
        <v/>
      </c>
      <c r="L637" s="83" t="str">
        <f aca="false">CONCATENATE("",I637,""," ",J637," ",K637)</f>
        <v>  </v>
      </c>
      <c r="M637" s="85"/>
      <c r="N637" s="86"/>
      <c r="O637" s="86"/>
      <c r="P637" s="86" t="n">
        <f aca="false">N637*O637</f>
        <v>0</v>
      </c>
      <c r="Q637" s="86"/>
      <c r="R637" s="87" t="n">
        <f aca="false">(O637*N637)+Q637</f>
        <v>0</v>
      </c>
      <c r="S637" s="91"/>
    </row>
    <row r="638" customFormat="false" ht="14.25" hidden="false" customHeight="false" outlineLevel="0" collapsed="false">
      <c r="A638" s="77"/>
      <c r="B638" s="78"/>
      <c r="C638" s="79"/>
      <c r="D638" s="79"/>
      <c r="E638" s="80" t="str">
        <f aca="false">_xlfn.IFNA(VLOOKUP(C638,'بيانات الآليات '!A:G,4,FALSE()),"")</f>
        <v/>
      </c>
      <c r="F638" s="81" t="str">
        <f aca="false">_xlfn.IFNA(VLOOKUP(C638,'بيانات الآليات '!A:G,2,FALSE()),"")</f>
        <v/>
      </c>
      <c r="G638" s="81"/>
      <c r="H638" s="81" t="str">
        <f aca="false">_xlfn.IFNA(VLOOKUP(C638,'بيانات الآليات '!A:G,5,FALSE()),"")</f>
        <v/>
      </c>
      <c r="I638" s="82"/>
      <c r="J638" s="83" t="str">
        <f aca="false">_xlfn.IFNA(VLOOKUP(I638,Table14543[],2,FALSE()),"")</f>
        <v/>
      </c>
      <c r="K638" s="84" t="str">
        <f aca="false">_xlfn.IFNA(VLOOKUP(I638,Table14543[],3,FALSE()),"")</f>
        <v/>
      </c>
      <c r="L638" s="83" t="str">
        <f aca="false">CONCATENATE("",I638,""," ",J638," ",K638)</f>
        <v>  </v>
      </c>
      <c r="M638" s="85"/>
      <c r="N638" s="86"/>
      <c r="O638" s="86"/>
      <c r="P638" s="86" t="n">
        <f aca="false">N638*O638</f>
        <v>0</v>
      </c>
      <c r="Q638" s="86"/>
      <c r="R638" s="87" t="n">
        <f aca="false">(O638*N638)+Q638</f>
        <v>0</v>
      </c>
      <c r="S638" s="91"/>
    </row>
    <row r="639" customFormat="false" ht="14.25" hidden="false" customHeight="false" outlineLevel="0" collapsed="false">
      <c r="A639" s="77"/>
      <c r="B639" s="78"/>
      <c r="C639" s="79"/>
      <c r="D639" s="79"/>
      <c r="E639" s="80" t="str">
        <f aca="false">_xlfn.IFNA(VLOOKUP(C639,'بيانات الآليات '!A:G,4,FALSE()),"")</f>
        <v/>
      </c>
      <c r="F639" s="81" t="str">
        <f aca="false">_xlfn.IFNA(VLOOKUP(C639,'بيانات الآليات '!A:G,2,FALSE()),"")</f>
        <v/>
      </c>
      <c r="G639" s="81"/>
      <c r="H639" s="81" t="str">
        <f aca="false">_xlfn.IFNA(VLOOKUP(C639,'بيانات الآليات '!A:G,5,FALSE()),"")</f>
        <v/>
      </c>
      <c r="I639" s="82"/>
      <c r="J639" s="83" t="str">
        <f aca="false">_xlfn.IFNA(VLOOKUP(I639,Table14543[],2,FALSE()),"")</f>
        <v/>
      </c>
      <c r="K639" s="84" t="str">
        <f aca="false">_xlfn.IFNA(VLOOKUP(I639,Table14543[],3,FALSE()),"")</f>
        <v/>
      </c>
      <c r="L639" s="83" t="str">
        <f aca="false">CONCATENATE("",I639,""," ",J639," ",K639)</f>
        <v>  </v>
      </c>
      <c r="M639" s="85"/>
      <c r="N639" s="86"/>
      <c r="O639" s="86"/>
      <c r="P639" s="86" t="n">
        <f aca="false">N639*O639</f>
        <v>0</v>
      </c>
      <c r="Q639" s="86"/>
      <c r="R639" s="87" t="n">
        <f aca="false">(O639*N639)+Q639</f>
        <v>0</v>
      </c>
      <c r="S639" s="91"/>
    </row>
    <row r="640" customFormat="false" ht="14.25" hidden="false" customHeight="false" outlineLevel="0" collapsed="false">
      <c r="A640" s="77"/>
      <c r="B640" s="78"/>
      <c r="C640" s="79"/>
      <c r="D640" s="79"/>
      <c r="E640" s="80" t="str">
        <f aca="false">_xlfn.IFNA(VLOOKUP(C640,'بيانات الآليات '!A:G,4,FALSE()),"")</f>
        <v/>
      </c>
      <c r="F640" s="81" t="str">
        <f aca="false">_xlfn.IFNA(VLOOKUP(C640,'بيانات الآليات '!A:G,2,FALSE()),"")</f>
        <v/>
      </c>
      <c r="G640" s="81"/>
      <c r="H640" s="81" t="str">
        <f aca="false">_xlfn.IFNA(VLOOKUP(C640,'بيانات الآليات '!A:G,5,FALSE()),"")</f>
        <v/>
      </c>
      <c r="I640" s="82"/>
      <c r="J640" s="83" t="str">
        <f aca="false">_xlfn.IFNA(VLOOKUP(I640,Table14543[],2,FALSE()),"")</f>
        <v/>
      </c>
      <c r="K640" s="84" t="str">
        <f aca="false">_xlfn.IFNA(VLOOKUP(I640,Table14543[],3,FALSE()),"")</f>
        <v/>
      </c>
      <c r="L640" s="83" t="str">
        <f aca="false">CONCATENATE("",I640,""," ",J640," ",K640)</f>
        <v>  </v>
      </c>
      <c r="M640" s="85"/>
      <c r="N640" s="86"/>
      <c r="O640" s="86"/>
      <c r="P640" s="86" t="n">
        <f aca="false">N640*O640</f>
        <v>0</v>
      </c>
      <c r="Q640" s="86"/>
      <c r="R640" s="87" t="n">
        <f aca="false">(O640*N640)+Q640</f>
        <v>0</v>
      </c>
      <c r="S640" s="91"/>
    </row>
    <row r="641" customFormat="false" ht="14.25" hidden="false" customHeight="false" outlineLevel="0" collapsed="false">
      <c r="A641" s="77"/>
      <c r="B641" s="78"/>
      <c r="C641" s="79"/>
      <c r="D641" s="79"/>
      <c r="E641" s="80" t="str">
        <f aca="false">_xlfn.IFNA(VLOOKUP(C641,'بيانات الآليات '!A:G,4,FALSE()),"")</f>
        <v/>
      </c>
      <c r="F641" s="81" t="str">
        <f aca="false">_xlfn.IFNA(VLOOKUP(C641,'بيانات الآليات '!A:G,2,FALSE()),"")</f>
        <v/>
      </c>
      <c r="G641" s="81"/>
      <c r="H641" s="81" t="str">
        <f aca="false">_xlfn.IFNA(VLOOKUP(C641,'بيانات الآليات '!A:G,5,FALSE()),"")</f>
        <v/>
      </c>
      <c r="I641" s="82"/>
      <c r="J641" s="83" t="str">
        <f aca="false">_xlfn.IFNA(VLOOKUP(I641,Table14543[],2,FALSE()),"")</f>
        <v/>
      </c>
      <c r="K641" s="84" t="str">
        <f aca="false">_xlfn.IFNA(VLOOKUP(I641,Table14543[],3,FALSE()),"")</f>
        <v/>
      </c>
      <c r="L641" s="83" t="str">
        <f aca="false">CONCATENATE("",I641,""," ",J641," ",K641)</f>
        <v>  </v>
      </c>
      <c r="M641" s="85"/>
      <c r="N641" s="86"/>
      <c r="O641" s="86"/>
      <c r="P641" s="86" t="n">
        <f aca="false">N641*O641</f>
        <v>0</v>
      </c>
      <c r="Q641" s="86"/>
      <c r="R641" s="87" t="n">
        <f aca="false">(O641*N641)+Q641</f>
        <v>0</v>
      </c>
      <c r="S641" s="91"/>
    </row>
    <row r="642" customFormat="false" ht="14.25" hidden="false" customHeight="false" outlineLevel="0" collapsed="false">
      <c r="A642" s="77"/>
      <c r="B642" s="78"/>
      <c r="C642" s="79"/>
      <c r="D642" s="79"/>
      <c r="E642" s="80" t="str">
        <f aca="false">_xlfn.IFNA(VLOOKUP(C642,'بيانات الآليات '!A:G,4,FALSE()),"")</f>
        <v/>
      </c>
      <c r="F642" s="81" t="str">
        <f aca="false">_xlfn.IFNA(VLOOKUP(C642,'بيانات الآليات '!A:G,2,FALSE()),"")</f>
        <v/>
      </c>
      <c r="G642" s="81"/>
      <c r="H642" s="81" t="str">
        <f aca="false">_xlfn.IFNA(VLOOKUP(C642,'بيانات الآليات '!A:G,5,FALSE()),"")</f>
        <v/>
      </c>
      <c r="I642" s="82"/>
      <c r="J642" s="83" t="str">
        <f aca="false">_xlfn.IFNA(VLOOKUP(I642,Table14543[],2,FALSE()),"")</f>
        <v/>
      </c>
      <c r="K642" s="84" t="str">
        <f aca="false">_xlfn.IFNA(VLOOKUP(I642,Table14543[],3,FALSE()),"")</f>
        <v/>
      </c>
      <c r="L642" s="83" t="str">
        <f aca="false">CONCATENATE("",I642,""," ",J642," ",K642)</f>
        <v>  </v>
      </c>
      <c r="M642" s="85"/>
      <c r="N642" s="86"/>
      <c r="O642" s="86"/>
      <c r="P642" s="86" t="n">
        <f aca="false">N642*O642</f>
        <v>0</v>
      </c>
      <c r="Q642" s="86"/>
      <c r="R642" s="87" t="n">
        <f aca="false">(O642*N642)+Q642</f>
        <v>0</v>
      </c>
      <c r="S642" s="91"/>
    </row>
    <row r="643" customFormat="false" ht="14.25" hidden="false" customHeight="false" outlineLevel="0" collapsed="false">
      <c r="A643" s="77"/>
      <c r="B643" s="78"/>
      <c r="C643" s="79"/>
      <c r="D643" s="79"/>
      <c r="E643" s="80" t="str">
        <f aca="false">_xlfn.IFNA(VLOOKUP(C643,'بيانات الآليات '!A:G,4,FALSE()),"")</f>
        <v/>
      </c>
      <c r="F643" s="81" t="str">
        <f aca="false">_xlfn.IFNA(VLOOKUP(C643,'بيانات الآليات '!A:G,2,FALSE()),"")</f>
        <v/>
      </c>
      <c r="G643" s="81"/>
      <c r="H643" s="81" t="str">
        <f aca="false">_xlfn.IFNA(VLOOKUP(C643,'بيانات الآليات '!A:G,5,FALSE()),"")</f>
        <v/>
      </c>
      <c r="I643" s="82"/>
      <c r="J643" s="83" t="str">
        <f aca="false">_xlfn.IFNA(VLOOKUP(I643,Table14543[],2,FALSE()),"")</f>
        <v/>
      </c>
      <c r="K643" s="84" t="str">
        <f aca="false">_xlfn.IFNA(VLOOKUP(I643,Table14543[],3,FALSE()),"")</f>
        <v/>
      </c>
      <c r="L643" s="83" t="str">
        <f aca="false">CONCATENATE("",I643,""," ",J643," ",K643)</f>
        <v>  </v>
      </c>
      <c r="M643" s="85"/>
      <c r="N643" s="86"/>
      <c r="O643" s="86"/>
      <c r="P643" s="86" t="n">
        <f aca="false">N643*O643</f>
        <v>0</v>
      </c>
      <c r="Q643" s="86"/>
      <c r="R643" s="87" t="n">
        <f aca="false">(O643*N643)+Q643</f>
        <v>0</v>
      </c>
      <c r="S643" s="91"/>
    </row>
    <row r="644" customFormat="false" ht="14.25" hidden="false" customHeight="false" outlineLevel="0" collapsed="false">
      <c r="A644" s="77"/>
      <c r="B644" s="78"/>
      <c r="C644" s="79"/>
      <c r="D644" s="79"/>
      <c r="E644" s="80" t="str">
        <f aca="false">_xlfn.IFNA(VLOOKUP(C644,'بيانات الآليات '!A:G,4,FALSE()),"")</f>
        <v/>
      </c>
      <c r="F644" s="81" t="str">
        <f aca="false">_xlfn.IFNA(VLOOKUP(C644,'بيانات الآليات '!A:G,2,FALSE()),"")</f>
        <v/>
      </c>
      <c r="G644" s="81"/>
      <c r="H644" s="81" t="str">
        <f aca="false">_xlfn.IFNA(VLOOKUP(C644,'بيانات الآليات '!A:G,5,FALSE()),"")</f>
        <v/>
      </c>
      <c r="I644" s="82"/>
      <c r="J644" s="83" t="str">
        <f aca="false">_xlfn.IFNA(VLOOKUP(I644,Table14543[],2,FALSE()),"")</f>
        <v/>
      </c>
      <c r="K644" s="84" t="str">
        <f aca="false">_xlfn.IFNA(VLOOKUP(I644,Table14543[],3,FALSE()),"")</f>
        <v/>
      </c>
      <c r="L644" s="83" t="str">
        <f aca="false">CONCATENATE("",I644,""," ",J644," ",K644)</f>
        <v>  </v>
      </c>
      <c r="M644" s="85"/>
      <c r="N644" s="86"/>
      <c r="O644" s="86"/>
      <c r="P644" s="86" t="n">
        <f aca="false">N644*O644</f>
        <v>0</v>
      </c>
      <c r="Q644" s="86"/>
      <c r="R644" s="87" t="n">
        <f aca="false">(O644*N644)+Q644</f>
        <v>0</v>
      </c>
      <c r="S644" s="91"/>
    </row>
    <row r="645" customFormat="false" ht="14.25" hidden="false" customHeight="false" outlineLevel="0" collapsed="false">
      <c r="A645" s="77"/>
      <c r="B645" s="78"/>
      <c r="C645" s="79"/>
      <c r="D645" s="79"/>
      <c r="E645" s="80" t="str">
        <f aca="false">_xlfn.IFNA(VLOOKUP(C645,'بيانات الآليات '!A:G,4,FALSE()),"")</f>
        <v/>
      </c>
      <c r="F645" s="81" t="str">
        <f aca="false">_xlfn.IFNA(VLOOKUP(C645,'بيانات الآليات '!A:G,2,FALSE()),"")</f>
        <v/>
      </c>
      <c r="G645" s="81"/>
      <c r="H645" s="81" t="str">
        <f aca="false">_xlfn.IFNA(VLOOKUP(C645,'بيانات الآليات '!A:G,5,FALSE()),"")</f>
        <v/>
      </c>
      <c r="I645" s="82"/>
      <c r="J645" s="83" t="str">
        <f aca="false">_xlfn.IFNA(VLOOKUP(I645,Table14543[],2,FALSE()),"")</f>
        <v/>
      </c>
      <c r="K645" s="84" t="str">
        <f aca="false">_xlfn.IFNA(VLOOKUP(I645,Table14543[],3,FALSE()),"")</f>
        <v/>
      </c>
      <c r="L645" s="83" t="str">
        <f aca="false">CONCATENATE("",I645,""," ",J645," ",K645)</f>
        <v>  </v>
      </c>
      <c r="M645" s="85"/>
      <c r="N645" s="86"/>
      <c r="O645" s="86"/>
      <c r="P645" s="86" t="n">
        <f aca="false">N645*O645</f>
        <v>0</v>
      </c>
      <c r="Q645" s="86"/>
      <c r="R645" s="87" t="n">
        <f aca="false">(O645*N645)+Q645</f>
        <v>0</v>
      </c>
      <c r="S645" s="91"/>
    </row>
    <row r="646" customFormat="false" ht="14.25" hidden="false" customHeight="false" outlineLevel="0" collapsed="false">
      <c r="A646" s="77"/>
      <c r="B646" s="78"/>
      <c r="C646" s="79"/>
      <c r="D646" s="79"/>
      <c r="E646" s="80" t="str">
        <f aca="false">_xlfn.IFNA(VLOOKUP(C646,'بيانات الآليات '!A:G,4,FALSE()),"")</f>
        <v/>
      </c>
      <c r="F646" s="81" t="str">
        <f aca="false">_xlfn.IFNA(VLOOKUP(C646,'بيانات الآليات '!A:G,2,FALSE()),"")</f>
        <v/>
      </c>
      <c r="G646" s="81"/>
      <c r="H646" s="81" t="str">
        <f aca="false">_xlfn.IFNA(VLOOKUP(C646,'بيانات الآليات '!A:G,5,FALSE()),"")</f>
        <v/>
      </c>
      <c r="I646" s="82"/>
      <c r="J646" s="83" t="str">
        <f aca="false">_xlfn.IFNA(VLOOKUP(I646,Table14543[],2,FALSE()),"")</f>
        <v/>
      </c>
      <c r="K646" s="84" t="str">
        <f aca="false">_xlfn.IFNA(VLOOKUP(I646,Table14543[],3,FALSE()),"")</f>
        <v/>
      </c>
      <c r="L646" s="83" t="str">
        <f aca="false">CONCATENATE("",I646,""," ",J646," ",K646)</f>
        <v>  </v>
      </c>
      <c r="M646" s="85"/>
      <c r="N646" s="86"/>
      <c r="O646" s="86"/>
      <c r="P646" s="86" t="n">
        <f aca="false">N646*O646</f>
        <v>0</v>
      </c>
      <c r="Q646" s="86"/>
      <c r="R646" s="87" t="n">
        <f aca="false">(O646*N646)+Q646</f>
        <v>0</v>
      </c>
      <c r="S646" s="91"/>
    </row>
    <row r="647" customFormat="false" ht="14.25" hidden="false" customHeight="false" outlineLevel="0" collapsed="false">
      <c r="A647" s="77"/>
      <c r="B647" s="78"/>
      <c r="C647" s="79"/>
      <c r="D647" s="79"/>
      <c r="E647" s="80" t="str">
        <f aca="false">_xlfn.IFNA(VLOOKUP(C647,'بيانات الآليات '!A:G,4,FALSE()),"")</f>
        <v/>
      </c>
      <c r="F647" s="81" t="str">
        <f aca="false">_xlfn.IFNA(VLOOKUP(C647,'بيانات الآليات '!A:G,2,FALSE()),"")</f>
        <v/>
      </c>
      <c r="G647" s="81"/>
      <c r="H647" s="81" t="str">
        <f aca="false">_xlfn.IFNA(VLOOKUP(C647,'بيانات الآليات '!A:G,5,FALSE()),"")</f>
        <v/>
      </c>
      <c r="I647" s="82"/>
      <c r="J647" s="83" t="str">
        <f aca="false">_xlfn.IFNA(VLOOKUP(I647,Table14543[],2,FALSE()),"")</f>
        <v/>
      </c>
      <c r="K647" s="84" t="str">
        <f aca="false">_xlfn.IFNA(VLOOKUP(I647,Table14543[],3,FALSE()),"")</f>
        <v/>
      </c>
      <c r="L647" s="83" t="str">
        <f aca="false">CONCATENATE("",I647,""," ",J647," ",K647)</f>
        <v>  </v>
      </c>
      <c r="M647" s="85"/>
      <c r="N647" s="86"/>
      <c r="O647" s="86"/>
      <c r="P647" s="86" t="n">
        <f aca="false">N647*O647</f>
        <v>0</v>
      </c>
      <c r="Q647" s="86"/>
      <c r="R647" s="87" t="n">
        <f aca="false">(O647*N647)+Q647</f>
        <v>0</v>
      </c>
      <c r="S647" s="91"/>
    </row>
    <row r="648" customFormat="false" ht="14.25" hidden="false" customHeight="false" outlineLevel="0" collapsed="false">
      <c r="A648" s="77"/>
      <c r="B648" s="78"/>
      <c r="C648" s="79"/>
      <c r="D648" s="79"/>
      <c r="E648" s="80" t="str">
        <f aca="false">_xlfn.IFNA(VLOOKUP(C648,'بيانات الآليات '!A:G,4,FALSE()),"")</f>
        <v/>
      </c>
      <c r="F648" s="81" t="str">
        <f aca="false">_xlfn.IFNA(VLOOKUP(C648,'بيانات الآليات '!A:G,2,FALSE()),"")</f>
        <v/>
      </c>
      <c r="G648" s="81"/>
      <c r="H648" s="81" t="str">
        <f aca="false">_xlfn.IFNA(VLOOKUP(C648,'بيانات الآليات '!A:G,5,FALSE()),"")</f>
        <v/>
      </c>
      <c r="I648" s="82"/>
      <c r="J648" s="83" t="str">
        <f aca="false">_xlfn.IFNA(VLOOKUP(I648,Table14543[],2,FALSE()),"")</f>
        <v/>
      </c>
      <c r="K648" s="84" t="str">
        <f aca="false">_xlfn.IFNA(VLOOKUP(I648,Table14543[],3,FALSE()),"")</f>
        <v/>
      </c>
      <c r="L648" s="83" t="str">
        <f aca="false">CONCATENATE("",I648,""," ",J648," ",K648)</f>
        <v>  </v>
      </c>
      <c r="M648" s="85"/>
      <c r="N648" s="86"/>
      <c r="O648" s="86"/>
      <c r="P648" s="86" t="n">
        <f aca="false">N648*O648</f>
        <v>0</v>
      </c>
      <c r="Q648" s="86"/>
      <c r="R648" s="87" t="n">
        <f aca="false">(O648*N648)+Q648</f>
        <v>0</v>
      </c>
      <c r="S648" s="91"/>
    </row>
    <row r="649" customFormat="false" ht="14.25" hidden="false" customHeight="false" outlineLevel="0" collapsed="false">
      <c r="A649" s="77"/>
      <c r="B649" s="78"/>
      <c r="C649" s="79"/>
      <c r="D649" s="79"/>
      <c r="E649" s="80" t="str">
        <f aca="false">_xlfn.IFNA(VLOOKUP(C649,'بيانات الآليات '!A:G,4,FALSE()),"")</f>
        <v/>
      </c>
      <c r="F649" s="81" t="str">
        <f aca="false">_xlfn.IFNA(VLOOKUP(C649,'بيانات الآليات '!A:G,2,FALSE()),"")</f>
        <v/>
      </c>
      <c r="G649" s="81"/>
      <c r="H649" s="81" t="str">
        <f aca="false">_xlfn.IFNA(VLOOKUP(C649,'بيانات الآليات '!A:G,5,FALSE()),"")</f>
        <v/>
      </c>
      <c r="I649" s="82"/>
      <c r="J649" s="83" t="str">
        <f aca="false">_xlfn.IFNA(VLOOKUP(I649,Table14543[],2,FALSE()),"")</f>
        <v/>
      </c>
      <c r="K649" s="84" t="str">
        <f aca="false">_xlfn.IFNA(VLOOKUP(I649,Table14543[],3,FALSE()),"")</f>
        <v/>
      </c>
      <c r="L649" s="83" t="str">
        <f aca="false">CONCATENATE("",I649,""," ",J649," ",K649)</f>
        <v>  </v>
      </c>
      <c r="M649" s="85"/>
      <c r="N649" s="86"/>
      <c r="O649" s="86"/>
      <c r="P649" s="86" t="n">
        <f aca="false">N649*O649</f>
        <v>0</v>
      </c>
      <c r="Q649" s="86"/>
      <c r="R649" s="87" t="n">
        <f aca="false">(O649*N649)+Q649</f>
        <v>0</v>
      </c>
      <c r="S649" s="91"/>
    </row>
    <row r="650" customFormat="false" ht="14.25" hidden="false" customHeight="false" outlineLevel="0" collapsed="false">
      <c r="A650" s="77"/>
      <c r="B650" s="78"/>
      <c r="C650" s="79"/>
      <c r="D650" s="79"/>
      <c r="E650" s="80" t="str">
        <f aca="false">_xlfn.IFNA(VLOOKUP(C650,'بيانات الآليات '!A:G,4,FALSE()),"")</f>
        <v/>
      </c>
      <c r="F650" s="81" t="str">
        <f aca="false">_xlfn.IFNA(VLOOKUP(C650,'بيانات الآليات '!A:G,2,FALSE()),"")</f>
        <v/>
      </c>
      <c r="G650" s="81"/>
      <c r="H650" s="81" t="str">
        <f aca="false">_xlfn.IFNA(VLOOKUP(C650,'بيانات الآليات '!A:G,5,FALSE()),"")</f>
        <v/>
      </c>
      <c r="I650" s="82"/>
      <c r="J650" s="83" t="str">
        <f aca="false">_xlfn.IFNA(VLOOKUP(I650,Table14543[],2,FALSE()),"")</f>
        <v/>
      </c>
      <c r="K650" s="84" t="str">
        <f aca="false">_xlfn.IFNA(VLOOKUP(I650,Table14543[],3,FALSE()),"")</f>
        <v/>
      </c>
      <c r="L650" s="83" t="str">
        <f aca="false">CONCATENATE("",I650,""," ",J650," ",K650)</f>
        <v>  </v>
      </c>
      <c r="M650" s="85"/>
      <c r="N650" s="86"/>
      <c r="O650" s="86"/>
      <c r="P650" s="86" t="n">
        <f aca="false">N650*O650</f>
        <v>0</v>
      </c>
      <c r="Q650" s="86"/>
      <c r="R650" s="87" t="n">
        <f aca="false">(O650*N650)+Q650</f>
        <v>0</v>
      </c>
      <c r="S650" s="91"/>
    </row>
    <row r="651" customFormat="false" ht="14.25" hidden="false" customHeight="false" outlineLevel="0" collapsed="false">
      <c r="A651" s="77"/>
      <c r="B651" s="78"/>
      <c r="C651" s="79"/>
      <c r="D651" s="79"/>
      <c r="E651" s="80" t="str">
        <f aca="false">_xlfn.IFNA(VLOOKUP(C651,'بيانات الآليات '!A:G,4,FALSE()),"")</f>
        <v/>
      </c>
      <c r="F651" s="81" t="str">
        <f aca="false">_xlfn.IFNA(VLOOKUP(C651,'بيانات الآليات '!A:G,2,FALSE()),"")</f>
        <v/>
      </c>
      <c r="G651" s="81"/>
      <c r="H651" s="81" t="str">
        <f aca="false">_xlfn.IFNA(VLOOKUP(C651,'بيانات الآليات '!A:G,5,FALSE()),"")</f>
        <v/>
      </c>
      <c r="I651" s="82"/>
      <c r="J651" s="83" t="str">
        <f aca="false">_xlfn.IFNA(VLOOKUP(I651,Table14543[],2,FALSE()),"")</f>
        <v/>
      </c>
      <c r="K651" s="84" t="str">
        <f aca="false">_xlfn.IFNA(VLOOKUP(I651,Table14543[],3,FALSE()),"")</f>
        <v/>
      </c>
      <c r="L651" s="83" t="str">
        <f aca="false">CONCATENATE("",I651,""," ",J651," ",K651)</f>
        <v>  </v>
      </c>
      <c r="M651" s="85"/>
      <c r="N651" s="86"/>
      <c r="O651" s="86"/>
      <c r="P651" s="86" t="n">
        <f aca="false">N651*O651</f>
        <v>0</v>
      </c>
      <c r="Q651" s="86"/>
      <c r="R651" s="87" t="n">
        <f aca="false">(O651*N651)+Q651</f>
        <v>0</v>
      </c>
      <c r="S651" s="91"/>
    </row>
    <row r="652" customFormat="false" ht="14.25" hidden="false" customHeight="false" outlineLevel="0" collapsed="false">
      <c r="A652" s="77"/>
      <c r="B652" s="78"/>
      <c r="C652" s="79"/>
      <c r="D652" s="79"/>
      <c r="E652" s="80" t="str">
        <f aca="false">_xlfn.IFNA(VLOOKUP(C652,'بيانات الآليات '!A:G,4,FALSE()),"")</f>
        <v/>
      </c>
      <c r="F652" s="81" t="str">
        <f aca="false">_xlfn.IFNA(VLOOKUP(C652,'بيانات الآليات '!A:G,2,FALSE()),"")</f>
        <v/>
      </c>
      <c r="G652" s="81"/>
      <c r="H652" s="81" t="str">
        <f aca="false">_xlfn.IFNA(VLOOKUP(C652,'بيانات الآليات '!A:G,5,FALSE()),"")</f>
        <v/>
      </c>
      <c r="I652" s="82"/>
      <c r="J652" s="83" t="str">
        <f aca="false">_xlfn.IFNA(VLOOKUP(I652,Table14543[],2,FALSE()),"")</f>
        <v/>
      </c>
      <c r="K652" s="84" t="str">
        <f aca="false">_xlfn.IFNA(VLOOKUP(I652,Table14543[],3,FALSE()),"")</f>
        <v/>
      </c>
      <c r="L652" s="83" t="str">
        <f aca="false">CONCATENATE("",I652,""," ",J652," ",K652)</f>
        <v>  </v>
      </c>
      <c r="M652" s="85"/>
      <c r="N652" s="86"/>
      <c r="O652" s="86"/>
      <c r="P652" s="86" t="n">
        <f aca="false">N652*O652</f>
        <v>0</v>
      </c>
      <c r="Q652" s="86"/>
      <c r="R652" s="87" t="n">
        <f aca="false">(O652*N652)+Q652</f>
        <v>0</v>
      </c>
      <c r="S652" s="91"/>
    </row>
    <row r="653" customFormat="false" ht="14.25" hidden="false" customHeight="false" outlineLevel="0" collapsed="false">
      <c r="A653" s="77"/>
      <c r="B653" s="78"/>
      <c r="C653" s="79"/>
      <c r="D653" s="79"/>
      <c r="E653" s="80" t="str">
        <f aca="false">_xlfn.IFNA(VLOOKUP(C653,'بيانات الآليات '!A:G,4,FALSE()),"")</f>
        <v/>
      </c>
      <c r="F653" s="81" t="str">
        <f aca="false">_xlfn.IFNA(VLOOKUP(C653,'بيانات الآليات '!A:G,2,FALSE()),"")</f>
        <v/>
      </c>
      <c r="G653" s="81"/>
      <c r="H653" s="81" t="str">
        <f aca="false">_xlfn.IFNA(VLOOKUP(C653,'بيانات الآليات '!A:G,5,FALSE()),"")</f>
        <v/>
      </c>
      <c r="I653" s="82"/>
      <c r="J653" s="83" t="str">
        <f aca="false">_xlfn.IFNA(VLOOKUP(I653,Table14543[],2,FALSE()),"")</f>
        <v/>
      </c>
      <c r="K653" s="84" t="str">
        <f aca="false">_xlfn.IFNA(VLOOKUP(I653,Table14543[],3,FALSE()),"")</f>
        <v/>
      </c>
      <c r="L653" s="83" t="str">
        <f aca="false">CONCATENATE("",I653,""," ",J653," ",K653)</f>
        <v>  </v>
      </c>
      <c r="M653" s="85"/>
      <c r="N653" s="86"/>
      <c r="O653" s="86"/>
      <c r="P653" s="86" t="n">
        <f aca="false">N653*O653</f>
        <v>0</v>
      </c>
      <c r="Q653" s="86"/>
      <c r="R653" s="87" t="n">
        <f aca="false">(O653*N653)+Q653</f>
        <v>0</v>
      </c>
      <c r="S653" s="91"/>
    </row>
    <row r="654" customFormat="false" ht="14.25" hidden="false" customHeight="false" outlineLevel="0" collapsed="false">
      <c r="A654" s="77"/>
      <c r="B654" s="78"/>
      <c r="C654" s="79"/>
      <c r="D654" s="79"/>
      <c r="E654" s="80" t="str">
        <f aca="false">_xlfn.IFNA(VLOOKUP(C654,'بيانات الآليات '!A:G,4,FALSE()),"")</f>
        <v/>
      </c>
      <c r="F654" s="81" t="str">
        <f aca="false">_xlfn.IFNA(VLOOKUP(C654,'بيانات الآليات '!A:G,2,FALSE()),"")</f>
        <v/>
      </c>
      <c r="G654" s="81"/>
      <c r="H654" s="81" t="str">
        <f aca="false">_xlfn.IFNA(VLOOKUP(C654,'بيانات الآليات '!A:G,5,FALSE()),"")</f>
        <v/>
      </c>
      <c r="I654" s="82"/>
      <c r="J654" s="83" t="str">
        <f aca="false">_xlfn.IFNA(VLOOKUP(I654,Table14543[],2,FALSE()),"")</f>
        <v/>
      </c>
      <c r="K654" s="84" t="str">
        <f aca="false">_xlfn.IFNA(VLOOKUP(I654,Table14543[],3,FALSE()),"")</f>
        <v/>
      </c>
      <c r="L654" s="83" t="str">
        <f aca="false">CONCATENATE("",I654,""," ",J654," ",K654)</f>
        <v>  </v>
      </c>
      <c r="M654" s="85"/>
      <c r="N654" s="86"/>
      <c r="O654" s="86"/>
      <c r="P654" s="86" t="n">
        <f aca="false">N654*O654</f>
        <v>0</v>
      </c>
      <c r="Q654" s="86"/>
      <c r="R654" s="87" t="n">
        <f aca="false">(O654*N654)+Q654</f>
        <v>0</v>
      </c>
      <c r="S654" s="91"/>
    </row>
    <row r="655" customFormat="false" ht="14.25" hidden="false" customHeight="false" outlineLevel="0" collapsed="false">
      <c r="A655" s="77"/>
      <c r="B655" s="78"/>
      <c r="C655" s="79"/>
      <c r="D655" s="79"/>
      <c r="E655" s="80" t="str">
        <f aca="false">_xlfn.IFNA(VLOOKUP(C655,'بيانات الآليات '!A:G,4,FALSE()),"")</f>
        <v/>
      </c>
      <c r="F655" s="81" t="str">
        <f aca="false">_xlfn.IFNA(VLOOKUP(C655,'بيانات الآليات '!A:G,2,FALSE()),"")</f>
        <v/>
      </c>
      <c r="G655" s="81"/>
      <c r="H655" s="81" t="str">
        <f aca="false">_xlfn.IFNA(VLOOKUP(C655,'بيانات الآليات '!A:G,5,FALSE()),"")</f>
        <v/>
      </c>
      <c r="I655" s="82"/>
      <c r="J655" s="83" t="str">
        <f aca="false">_xlfn.IFNA(VLOOKUP(I655,Table14543[],2,FALSE()),"")</f>
        <v/>
      </c>
      <c r="K655" s="84" t="str">
        <f aca="false">_xlfn.IFNA(VLOOKUP(I655,Table14543[],3,FALSE()),"")</f>
        <v/>
      </c>
      <c r="L655" s="83" t="str">
        <f aca="false">CONCATENATE("",I655,""," ",J655," ",K655)</f>
        <v>  </v>
      </c>
      <c r="M655" s="85"/>
      <c r="N655" s="86"/>
      <c r="O655" s="86"/>
      <c r="P655" s="86" t="n">
        <f aca="false">N655*O655</f>
        <v>0</v>
      </c>
      <c r="Q655" s="86"/>
      <c r="R655" s="87" t="n">
        <f aca="false">(O655*N655)+Q655</f>
        <v>0</v>
      </c>
      <c r="S655" s="91"/>
    </row>
    <row r="656" customFormat="false" ht="14.25" hidden="false" customHeight="false" outlineLevel="0" collapsed="false">
      <c r="A656" s="77"/>
      <c r="B656" s="78"/>
      <c r="C656" s="79"/>
      <c r="D656" s="79"/>
      <c r="E656" s="80" t="str">
        <f aca="false">_xlfn.IFNA(VLOOKUP(C656,'بيانات الآليات '!A:G,4,FALSE()),"")</f>
        <v/>
      </c>
      <c r="F656" s="81" t="str">
        <f aca="false">_xlfn.IFNA(VLOOKUP(C656,'بيانات الآليات '!A:G,2,FALSE()),"")</f>
        <v/>
      </c>
      <c r="G656" s="81"/>
      <c r="H656" s="81" t="str">
        <f aca="false">_xlfn.IFNA(VLOOKUP(C656,'بيانات الآليات '!A:G,5,FALSE()),"")</f>
        <v/>
      </c>
      <c r="I656" s="82"/>
      <c r="J656" s="83" t="str">
        <f aca="false">_xlfn.IFNA(VLOOKUP(I656,Table14543[],2,FALSE()),"")</f>
        <v/>
      </c>
      <c r="K656" s="84" t="str">
        <f aca="false">_xlfn.IFNA(VLOOKUP(I656,Table14543[],3,FALSE()),"")</f>
        <v/>
      </c>
      <c r="L656" s="83" t="str">
        <f aca="false">CONCATENATE("",I656,""," ",J656," ",K656)</f>
        <v>  </v>
      </c>
      <c r="M656" s="85"/>
      <c r="N656" s="86"/>
      <c r="O656" s="86"/>
      <c r="P656" s="86" t="n">
        <f aca="false">N656*O656</f>
        <v>0</v>
      </c>
      <c r="Q656" s="86"/>
      <c r="R656" s="87" t="n">
        <f aca="false">(O656*N656)+Q656</f>
        <v>0</v>
      </c>
      <c r="S656" s="91"/>
    </row>
    <row r="657" customFormat="false" ht="14.25" hidden="false" customHeight="false" outlineLevel="0" collapsed="false">
      <c r="A657" s="77"/>
      <c r="B657" s="78"/>
      <c r="C657" s="79"/>
      <c r="D657" s="79"/>
      <c r="E657" s="80" t="str">
        <f aca="false">_xlfn.IFNA(VLOOKUP(C657,'بيانات الآليات '!A:G,4,FALSE()),"")</f>
        <v/>
      </c>
      <c r="F657" s="81" t="str">
        <f aca="false">_xlfn.IFNA(VLOOKUP(C657,'بيانات الآليات '!A:G,2,FALSE()),"")</f>
        <v/>
      </c>
      <c r="G657" s="81"/>
      <c r="H657" s="81" t="str">
        <f aca="false">_xlfn.IFNA(VLOOKUP(C657,'بيانات الآليات '!A:G,5,FALSE()),"")</f>
        <v/>
      </c>
      <c r="I657" s="82"/>
      <c r="J657" s="83" t="str">
        <f aca="false">_xlfn.IFNA(VLOOKUP(I657,Table14543[],2,FALSE()),"")</f>
        <v/>
      </c>
      <c r="K657" s="84" t="str">
        <f aca="false">_xlfn.IFNA(VLOOKUP(I657,Table14543[],3,FALSE()),"")</f>
        <v/>
      </c>
      <c r="L657" s="83" t="str">
        <f aca="false">CONCATENATE("",I657,""," ",J657," ",K657)</f>
        <v>  </v>
      </c>
      <c r="M657" s="85"/>
      <c r="N657" s="86"/>
      <c r="O657" s="86"/>
      <c r="P657" s="86" t="n">
        <f aca="false">N657*O657</f>
        <v>0</v>
      </c>
      <c r="Q657" s="86"/>
      <c r="R657" s="87" t="n">
        <f aca="false">(O657*N657)+Q657</f>
        <v>0</v>
      </c>
      <c r="S657" s="91"/>
    </row>
    <row r="658" customFormat="false" ht="14.25" hidden="false" customHeight="false" outlineLevel="0" collapsed="false">
      <c r="A658" s="77"/>
      <c r="B658" s="78"/>
      <c r="C658" s="79"/>
      <c r="D658" s="79"/>
      <c r="E658" s="80" t="str">
        <f aca="false">_xlfn.IFNA(VLOOKUP(C658,'بيانات الآليات '!A:G,4,FALSE()),"")</f>
        <v/>
      </c>
      <c r="F658" s="81" t="str">
        <f aca="false">_xlfn.IFNA(VLOOKUP(C658,'بيانات الآليات '!A:G,2,FALSE()),"")</f>
        <v/>
      </c>
      <c r="G658" s="81"/>
      <c r="H658" s="81" t="str">
        <f aca="false">_xlfn.IFNA(VLOOKUP(C658,'بيانات الآليات '!A:G,5,FALSE()),"")</f>
        <v/>
      </c>
      <c r="I658" s="82"/>
      <c r="J658" s="83" t="str">
        <f aca="false">_xlfn.IFNA(VLOOKUP(I658,Table14543[],2,FALSE()),"")</f>
        <v/>
      </c>
      <c r="K658" s="84" t="str">
        <f aca="false">_xlfn.IFNA(VLOOKUP(I658,Table14543[],3,FALSE()),"")</f>
        <v/>
      </c>
      <c r="L658" s="83" t="str">
        <f aca="false">CONCATENATE("",I658,""," ",J658," ",K658)</f>
        <v>  </v>
      </c>
      <c r="M658" s="85"/>
      <c r="N658" s="86"/>
      <c r="O658" s="86"/>
      <c r="P658" s="86" t="n">
        <f aca="false">N658*O658</f>
        <v>0</v>
      </c>
      <c r="Q658" s="86"/>
      <c r="R658" s="87" t="n">
        <f aca="false">(O658*N658)+Q658</f>
        <v>0</v>
      </c>
      <c r="S658" s="91"/>
    </row>
    <row r="659" customFormat="false" ht="14.25" hidden="false" customHeight="false" outlineLevel="0" collapsed="false">
      <c r="A659" s="77"/>
      <c r="B659" s="78"/>
      <c r="C659" s="79"/>
      <c r="D659" s="79"/>
      <c r="E659" s="80" t="str">
        <f aca="false">_xlfn.IFNA(VLOOKUP(C659,'بيانات الآليات '!A:G,4,FALSE()),"")</f>
        <v/>
      </c>
      <c r="F659" s="81" t="str">
        <f aca="false">_xlfn.IFNA(VLOOKUP(C659,'بيانات الآليات '!A:G,2,FALSE()),"")</f>
        <v/>
      </c>
      <c r="G659" s="81"/>
      <c r="H659" s="81" t="str">
        <f aca="false">_xlfn.IFNA(VLOOKUP(C659,'بيانات الآليات '!A:G,5,FALSE()),"")</f>
        <v/>
      </c>
      <c r="I659" s="82"/>
      <c r="J659" s="83" t="str">
        <f aca="false">_xlfn.IFNA(VLOOKUP(I659,Table14543[],2,FALSE()),"")</f>
        <v/>
      </c>
      <c r="K659" s="84" t="str">
        <f aca="false">_xlfn.IFNA(VLOOKUP(I659,Table14543[],3,FALSE()),"")</f>
        <v/>
      </c>
      <c r="L659" s="83" t="str">
        <f aca="false">CONCATENATE("",I659,""," ",J659," ",K659)</f>
        <v>  </v>
      </c>
      <c r="M659" s="85"/>
      <c r="N659" s="86"/>
      <c r="O659" s="86"/>
      <c r="P659" s="86" t="n">
        <f aca="false">N659*O659</f>
        <v>0</v>
      </c>
      <c r="Q659" s="86"/>
      <c r="R659" s="87" t="n">
        <f aca="false">(O659*N659)+Q659</f>
        <v>0</v>
      </c>
      <c r="S659" s="91"/>
    </row>
    <row r="660" customFormat="false" ht="14.25" hidden="false" customHeight="false" outlineLevel="0" collapsed="false">
      <c r="A660" s="77"/>
      <c r="B660" s="78"/>
      <c r="C660" s="79"/>
      <c r="D660" s="79"/>
      <c r="E660" s="80" t="str">
        <f aca="false">_xlfn.IFNA(VLOOKUP(C660,'بيانات الآليات '!A:G,4,FALSE()),"")</f>
        <v/>
      </c>
      <c r="F660" s="81" t="str">
        <f aca="false">_xlfn.IFNA(VLOOKUP(C660,'بيانات الآليات '!A:G,2,FALSE()),"")</f>
        <v/>
      </c>
      <c r="G660" s="81"/>
      <c r="H660" s="81" t="str">
        <f aca="false">_xlfn.IFNA(VLOOKUP(C660,'بيانات الآليات '!A:G,5,FALSE()),"")</f>
        <v/>
      </c>
      <c r="I660" s="82"/>
      <c r="J660" s="83" t="str">
        <f aca="false">_xlfn.IFNA(VLOOKUP(I660,Table14543[],2,FALSE()),"")</f>
        <v/>
      </c>
      <c r="K660" s="84" t="str">
        <f aca="false">_xlfn.IFNA(VLOOKUP(I660,Table14543[],3,FALSE()),"")</f>
        <v/>
      </c>
      <c r="L660" s="83" t="str">
        <f aca="false">CONCATENATE("",I660,""," ",J660," ",K660)</f>
        <v>  </v>
      </c>
      <c r="M660" s="85"/>
      <c r="N660" s="86"/>
      <c r="O660" s="86"/>
      <c r="P660" s="86" t="n">
        <f aca="false">N660*O660</f>
        <v>0</v>
      </c>
      <c r="Q660" s="86"/>
      <c r="R660" s="87" t="n">
        <f aca="false">(O660*N660)+Q660</f>
        <v>0</v>
      </c>
      <c r="S660" s="91"/>
    </row>
    <row r="661" customFormat="false" ht="14.25" hidden="false" customHeight="false" outlineLevel="0" collapsed="false">
      <c r="A661" s="77"/>
      <c r="B661" s="78"/>
      <c r="C661" s="79"/>
      <c r="D661" s="79"/>
      <c r="E661" s="80" t="str">
        <f aca="false">_xlfn.IFNA(VLOOKUP(C661,'بيانات الآليات '!A:G,4,FALSE()),"")</f>
        <v/>
      </c>
      <c r="F661" s="81" t="str">
        <f aca="false">_xlfn.IFNA(VLOOKUP(C661,'بيانات الآليات '!A:G,2,FALSE()),"")</f>
        <v/>
      </c>
      <c r="G661" s="81"/>
      <c r="H661" s="81" t="str">
        <f aca="false">_xlfn.IFNA(VLOOKUP(C661,'بيانات الآليات '!A:G,5,FALSE()),"")</f>
        <v/>
      </c>
      <c r="I661" s="82"/>
      <c r="J661" s="83" t="str">
        <f aca="false">_xlfn.IFNA(VLOOKUP(I661,Table14543[],2,FALSE()),"")</f>
        <v/>
      </c>
      <c r="K661" s="84" t="str">
        <f aca="false">_xlfn.IFNA(VLOOKUP(I661,Table14543[],3,FALSE()),"")</f>
        <v/>
      </c>
      <c r="L661" s="83" t="str">
        <f aca="false">CONCATENATE("",I661,""," ",J661," ",K661)</f>
        <v>  </v>
      </c>
      <c r="M661" s="85"/>
      <c r="N661" s="86"/>
      <c r="O661" s="86"/>
      <c r="P661" s="86" t="n">
        <f aca="false">N661*O661</f>
        <v>0</v>
      </c>
      <c r="Q661" s="86"/>
      <c r="R661" s="87" t="n">
        <f aca="false">(O661*N661)+Q661</f>
        <v>0</v>
      </c>
      <c r="S661" s="91"/>
    </row>
    <row r="662" customFormat="false" ht="14.25" hidden="false" customHeight="false" outlineLevel="0" collapsed="false">
      <c r="A662" s="77"/>
      <c r="B662" s="78"/>
      <c r="C662" s="79"/>
      <c r="D662" s="79"/>
      <c r="E662" s="80" t="str">
        <f aca="false">_xlfn.IFNA(VLOOKUP(C662,'بيانات الآليات '!A:G,4,FALSE()),"")</f>
        <v/>
      </c>
      <c r="F662" s="81" t="str">
        <f aca="false">_xlfn.IFNA(VLOOKUP(C662,'بيانات الآليات '!A:G,2,FALSE()),"")</f>
        <v/>
      </c>
      <c r="G662" s="81"/>
      <c r="H662" s="81" t="str">
        <f aca="false">_xlfn.IFNA(VLOOKUP(C662,'بيانات الآليات '!A:G,5,FALSE()),"")</f>
        <v/>
      </c>
      <c r="I662" s="82"/>
      <c r="J662" s="83" t="str">
        <f aca="false">_xlfn.IFNA(VLOOKUP(I662,Table14543[],2,FALSE()),"")</f>
        <v/>
      </c>
      <c r="K662" s="84" t="str">
        <f aca="false">_xlfn.IFNA(VLOOKUP(I662,Table14543[],3,FALSE()),"")</f>
        <v/>
      </c>
      <c r="L662" s="83" t="str">
        <f aca="false">CONCATENATE("",I662,""," ",J662," ",K662)</f>
        <v>  </v>
      </c>
      <c r="M662" s="85"/>
      <c r="N662" s="86"/>
      <c r="O662" s="86"/>
      <c r="P662" s="86" t="n">
        <f aca="false">N662*O662</f>
        <v>0</v>
      </c>
      <c r="Q662" s="86"/>
      <c r="R662" s="87" t="n">
        <f aca="false">(O662*N662)+Q662</f>
        <v>0</v>
      </c>
      <c r="S662" s="91"/>
    </row>
    <row r="663" customFormat="false" ht="14.25" hidden="false" customHeight="false" outlineLevel="0" collapsed="false">
      <c r="A663" s="77"/>
      <c r="B663" s="78"/>
      <c r="C663" s="79"/>
      <c r="D663" s="79"/>
      <c r="E663" s="80" t="str">
        <f aca="false">_xlfn.IFNA(VLOOKUP(C663,'بيانات الآليات '!A:G,4,FALSE()),"")</f>
        <v/>
      </c>
      <c r="F663" s="81" t="str">
        <f aca="false">_xlfn.IFNA(VLOOKUP(C663,'بيانات الآليات '!A:G,2,FALSE()),"")</f>
        <v/>
      </c>
      <c r="G663" s="81"/>
      <c r="H663" s="81" t="str">
        <f aca="false">_xlfn.IFNA(VLOOKUP(C663,'بيانات الآليات '!A:G,5,FALSE()),"")</f>
        <v/>
      </c>
      <c r="I663" s="82"/>
      <c r="J663" s="83" t="str">
        <f aca="false">_xlfn.IFNA(VLOOKUP(I663,Table14543[],2,FALSE()),"")</f>
        <v/>
      </c>
      <c r="K663" s="84" t="str">
        <f aca="false">_xlfn.IFNA(VLOOKUP(I663,Table14543[],3,FALSE()),"")</f>
        <v/>
      </c>
      <c r="L663" s="83" t="str">
        <f aca="false">CONCATENATE("",I663,""," ",J663," ",K663)</f>
        <v>  </v>
      </c>
      <c r="M663" s="85"/>
      <c r="N663" s="86"/>
      <c r="O663" s="86"/>
      <c r="P663" s="86" t="n">
        <f aca="false">N663*O663</f>
        <v>0</v>
      </c>
      <c r="Q663" s="86"/>
      <c r="R663" s="87" t="n">
        <f aca="false">(O663*N663)+Q663</f>
        <v>0</v>
      </c>
      <c r="S663" s="91"/>
    </row>
    <row r="664" customFormat="false" ht="14.25" hidden="false" customHeight="false" outlineLevel="0" collapsed="false">
      <c r="A664" s="77"/>
      <c r="B664" s="78"/>
      <c r="C664" s="79"/>
      <c r="D664" s="79"/>
      <c r="E664" s="80" t="str">
        <f aca="false">_xlfn.IFNA(VLOOKUP(C664,'بيانات الآليات '!A:G,4,FALSE()),"")</f>
        <v/>
      </c>
      <c r="F664" s="81" t="str">
        <f aca="false">_xlfn.IFNA(VLOOKUP(C664,'بيانات الآليات '!A:G,2,FALSE()),"")</f>
        <v/>
      </c>
      <c r="G664" s="81"/>
      <c r="H664" s="81" t="str">
        <f aca="false">_xlfn.IFNA(VLOOKUP(C664,'بيانات الآليات '!A:G,5,FALSE()),"")</f>
        <v/>
      </c>
      <c r="I664" s="82"/>
      <c r="J664" s="83" t="str">
        <f aca="false">_xlfn.IFNA(VLOOKUP(I664,Table14543[],2,FALSE()),"")</f>
        <v/>
      </c>
      <c r="K664" s="84" t="str">
        <f aca="false">_xlfn.IFNA(VLOOKUP(I664,Table14543[],3,FALSE()),"")</f>
        <v/>
      </c>
      <c r="L664" s="83" t="str">
        <f aca="false">CONCATENATE("",I664,""," ",J664," ",K664)</f>
        <v>  </v>
      </c>
      <c r="M664" s="85"/>
      <c r="N664" s="86"/>
      <c r="O664" s="86"/>
      <c r="P664" s="86" t="n">
        <f aca="false">N664*O664</f>
        <v>0</v>
      </c>
      <c r="Q664" s="86"/>
      <c r="R664" s="87" t="n">
        <f aca="false">(O664*N664)+Q664</f>
        <v>0</v>
      </c>
      <c r="S664" s="91"/>
    </row>
    <row r="665" customFormat="false" ht="14.25" hidden="false" customHeight="false" outlineLevel="0" collapsed="false">
      <c r="A665" s="77"/>
      <c r="B665" s="78"/>
      <c r="C665" s="79"/>
      <c r="D665" s="79"/>
      <c r="E665" s="80" t="str">
        <f aca="false">_xlfn.IFNA(VLOOKUP(C665,'بيانات الآليات '!A:G,4,FALSE()),"")</f>
        <v/>
      </c>
      <c r="F665" s="81" t="str">
        <f aca="false">_xlfn.IFNA(VLOOKUP(C665,'بيانات الآليات '!A:G,2,FALSE()),"")</f>
        <v/>
      </c>
      <c r="G665" s="81"/>
      <c r="H665" s="81" t="str">
        <f aca="false">_xlfn.IFNA(VLOOKUP(C665,'بيانات الآليات '!A:G,5,FALSE()),"")</f>
        <v/>
      </c>
      <c r="I665" s="82"/>
      <c r="J665" s="83" t="str">
        <f aca="false">_xlfn.IFNA(VLOOKUP(I665,Table14543[],2,FALSE()),"")</f>
        <v/>
      </c>
      <c r="K665" s="84" t="str">
        <f aca="false">_xlfn.IFNA(VLOOKUP(I665,Table14543[],3,FALSE()),"")</f>
        <v/>
      </c>
      <c r="L665" s="83" t="str">
        <f aca="false">CONCATENATE("",I665,""," ",J665," ",K665)</f>
        <v>  </v>
      </c>
      <c r="M665" s="85"/>
      <c r="N665" s="86"/>
      <c r="O665" s="86"/>
      <c r="P665" s="86" t="n">
        <f aca="false">N665*O665</f>
        <v>0</v>
      </c>
      <c r="Q665" s="86"/>
      <c r="R665" s="87" t="n">
        <f aca="false">(O665*N665)+Q665</f>
        <v>0</v>
      </c>
      <c r="S665" s="91"/>
    </row>
    <row r="666" customFormat="false" ht="14.25" hidden="false" customHeight="false" outlineLevel="0" collapsed="false">
      <c r="A666" s="77"/>
      <c r="B666" s="78"/>
      <c r="C666" s="79"/>
      <c r="D666" s="79"/>
      <c r="E666" s="80" t="str">
        <f aca="false">_xlfn.IFNA(VLOOKUP(C666,'بيانات الآليات '!A:G,4,FALSE()),"")</f>
        <v/>
      </c>
      <c r="F666" s="81" t="str">
        <f aca="false">_xlfn.IFNA(VLOOKUP(C666,'بيانات الآليات '!A:G,2,FALSE()),"")</f>
        <v/>
      </c>
      <c r="G666" s="81"/>
      <c r="H666" s="81" t="str">
        <f aca="false">_xlfn.IFNA(VLOOKUP(C666,'بيانات الآليات '!A:G,5,FALSE()),"")</f>
        <v/>
      </c>
      <c r="I666" s="82"/>
      <c r="J666" s="83" t="str">
        <f aca="false">_xlfn.IFNA(VLOOKUP(I666,Table14543[],2,FALSE()),"")</f>
        <v/>
      </c>
      <c r="K666" s="84" t="str">
        <f aca="false">_xlfn.IFNA(VLOOKUP(I666,Table14543[],3,FALSE()),"")</f>
        <v/>
      </c>
      <c r="L666" s="83" t="str">
        <f aca="false">CONCATENATE("",I666,""," ",J666," ",K666)</f>
        <v>  </v>
      </c>
      <c r="M666" s="85"/>
      <c r="N666" s="86"/>
      <c r="O666" s="86"/>
      <c r="P666" s="86" t="n">
        <f aca="false">N666*O666</f>
        <v>0</v>
      </c>
      <c r="Q666" s="86"/>
      <c r="R666" s="87" t="n">
        <f aca="false">(O666*N666)+Q666</f>
        <v>0</v>
      </c>
      <c r="S666" s="91"/>
    </row>
    <row r="667" customFormat="false" ht="14.25" hidden="false" customHeight="false" outlineLevel="0" collapsed="false">
      <c r="A667" s="77"/>
      <c r="B667" s="78"/>
      <c r="C667" s="79"/>
      <c r="D667" s="79"/>
      <c r="E667" s="80" t="str">
        <f aca="false">_xlfn.IFNA(VLOOKUP(C667,'بيانات الآليات '!A:G,4,FALSE()),"")</f>
        <v/>
      </c>
      <c r="F667" s="81" t="str">
        <f aca="false">_xlfn.IFNA(VLOOKUP(C667,'بيانات الآليات '!A:G,2,FALSE()),"")</f>
        <v/>
      </c>
      <c r="G667" s="81"/>
      <c r="H667" s="81" t="str">
        <f aca="false">_xlfn.IFNA(VLOOKUP(C667,'بيانات الآليات '!A:G,5,FALSE()),"")</f>
        <v/>
      </c>
      <c r="I667" s="82"/>
      <c r="J667" s="83" t="str">
        <f aca="false">_xlfn.IFNA(VLOOKUP(I667,Table14543[],2,FALSE()),"")</f>
        <v/>
      </c>
      <c r="K667" s="84" t="str">
        <f aca="false">_xlfn.IFNA(VLOOKUP(I667,Table14543[],3,FALSE()),"")</f>
        <v/>
      </c>
      <c r="L667" s="83" t="str">
        <f aca="false">CONCATENATE("",I667,""," ",J667," ",K667)</f>
        <v>  </v>
      </c>
      <c r="M667" s="85"/>
      <c r="N667" s="86"/>
      <c r="O667" s="86"/>
      <c r="P667" s="86" t="n">
        <f aca="false">N667*O667</f>
        <v>0</v>
      </c>
      <c r="Q667" s="86"/>
      <c r="R667" s="87" t="n">
        <f aca="false">(O667*N667)+Q667</f>
        <v>0</v>
      </c>
      <c r="S667" s="91"/>
    </row>
    <row r="668" customFormat="false" ht="14.25" hidden="false" customHeight="false" outlineLevel="0" collapsed="false">
      <c r="A668" s="77"/>
      <c r="B668" s="78"/>
      <c r="C668" s="79"/>
      <c r="D668" s="79"/>
      <c r="E668" s="80" t="str">
        <f aca="false">_xlfn.IFNA(VLOOKUP(C668,'بيانات الآليات '!A:G,4,FALSE()),"")</f>
        <v/>
      </c>
      <c r="F668" s="81" t="str">
        <f aca="false">_xlfn.IFNA(VLOOKUP(C668,'بيانات الآليات '!A:G,2,FALSE()),"")</f>
        <v/>
      </c>
      <c r="G668" s="81"/>
      <c r="H668" s="81" t="str">
        <f aca="false">_xlfn.IFNA(VLOOKUP(C668,'بيانات الآليات '!A:G,5,FALSE()),"")</f>
        <v/>
      </c>
      <c r="I668" s="82"/>
      <c r="J668" s="83" t="str">
        <f aca="false">_xlfn.IFNA(VLOOKUP(I668,Table14543[],2,FALSE()),"")</f>
        <v/>
      </c>
      <c r="K668" s="84" t="str">
        <f aca="false">_xlfn.IFNA(VLOOKUP(I668,Table14543[],3,FALSE()),"")</f>
        <v/>
      </c>
      <c r="L668" s="83" t="str">
        <f aca="false">CONCATENATE("",I668,""," ",J668," ",K668)</f>
        <v>  </v>
      </c>
      <c r="M668" s="85"/>
      <c r="N668" s="86"/>
      <c r="O668" s="86"/>
      <c r="P668" s="86" t="n">
        <f aca="false">N668*O668</f>
        <v>0</v>
      </c>
      <c r="Q668" s="86"/>
      <c r="R668" s="87" t="n">
        <f aca="false">(O668*N668)+Q668</f>
        <v>0</v>
      </c>
      <c r="S668" s="91"/>
    </row>
    <row r="669" customFormat="false" ht="14.25" hidden="false" customHeight="false" outlineLevel="0" collapsed="false">
      <c r="A669" s="77"/>
      <c r="B669" s="78"/>
      <c r="C669" s="79"/>
      <c r="D669" s="79"/>
      <c r="E669" s="80" t="str">
        <f aca="false">_xlfn.IFNA(VLOOKUP(C669,'بيانات الآليات '!A:G,4,FALSE()),"")</f>
        <v/>
      </c>
      <c r="F669" s="81" t="str">
        <f aca="false">_xlfn.IFNA(VLOOKUP(C669,'بيانات الآليات '!A:G,2,FALSE()),"")</f>
        <v/>
      </c>
      <c r="G669" s="81"/>
      <c r="H669" s="81" t="str">
        <f aca="false">_xlfn.IFNA(VLOOKUP(C669,'بيانات الآليات '!A:G,5,FALSE()),"")</f>
        <v/>
      </c>
      <c r="I669" s="82"/>
      <c r="J669" s="83" t="str">
        <f aca="false">_xlfn.IFNA(VLOOKUP(I669,Table14543[],2,FALSE()),"")</f>
        <v/>
      </c>
      <c r="K669" s="84" t="str">
        <f aca="false">_xlfn.IFNA(VLOOKUP(I669,Table14543[],3,FALSE()),"")</f>
        <v/>
      </c>
      <c r="L669" s="83" t="str">
        <f aca="false">CONCATENATE("",I669,""," ",J669," ",K669)</f>
        <v>  </v>
      </c>
      <c r="M669" s="85"/>
      <c r="N669" s="86"/>
      <c r="O669" s="86"/>
      <c r="P669" s="86" t="n">
        <f aca="false">N669*O669</f>
        <v>0</v>
      </c>
      <c r="Q669" s="86"/>
      <c r="R669" s="87" t="n">
        <f aca="false">(O669*N669)+Q669</f>
        <v>0</v>
      </c>
      <c r="S669" s="91"/>
    </row>
    <row r="670" customFormat="false" ht="14.25" hidden="false" customHeight="false" outlineLevel="0" collapsed="false">
      <c r="A670" s="77"/>
      <c r="B670" s="78"/>
      <c r="C670" s="79"/>
      <c r="D670" s="79"/>
      <c r="E670" s="80" t="str">
        <f aca="false">_xlfn.IFNA(VLOOKUP(C670,'بيانات الآليات '!A:G,4,FALSE()),"")</f>
        <v/>
      </c>
      <c r="F670" s="81" t="str">
        <f aca="false">_xlfn.IFNA(VLOOKUP(C670,'بيانات الآليات '!A:G,2,FALSE()),"")</f>
        <v/>
      </c>
      <c r="G670" s="81"/>
      <c r="H670" s="81" t="str">
        <f aca="false">_xlfn.IFNA(VLOOKUP(C670,'بيانات الآليات '!A:G,5,FALSE()),"")</f>
        <v/>
      </c>
      <c r="I670" s="82"/>
      <c r="J670" s="83" t="str">
        <f aca="false">_xlfn.IFNA(VLOOKUP(I670,Table14543[],2,FALSE()),"")</f>
        <v/>
      </c>
      <c r="K670" s="84" t="str">
        <f aca="false">_xlfn.IFNA(VLOOKUP(I670,Table14543[],3,FALSE()),"")</f>
        <v/>
      </c>
      <c r="L670" s="83" t="str">
        <f aca="false">CONCATENATE("",I670,""," ",J670," ",K670)</f>
        <v>  </v>
      </c>
      <c r="M670" s="85"/>
      <c r="N670" s="86"/>
      <c r="O670" s="86"/>
      <c r="P670" s="86" t="n">
        <f aca="false">N670*O670</f>
        <v>0</v>
      </c>
      <c r="Q670" s="86"/>
      <c r="R670" s="87" t="n">
        <f aca="false">(O670*N670)+Q670</f>
        <v>0</v>
      </c>
      <c r="S670" s="91"/>
    </row>
    <row r="671" customFormat="false" ht="14.25" hidden="false" customHeight="false" outlineLevel="0" collapsed="false">
      <c r="A671" s="77"/>
      <c r="B671" s="78"/>
      <c r="C671" s="79"/>
      <c r="D671" s="79"/>
      <c r="E671" s="80" t="str">
        <f aca="false">_xlfn.IFNA(VLOOKUP(C671,'بيانات الآليات '!A:G,4,FALSE()),"")</f>
        <v/>
      </c>
      <c r="F671" s="81" t="str">
        <f aca="false">_xlfn.IFNA(VLOOKUP(C671,'بيانات الآليات '!A:G,2,FALSE()),"")</f>
        <v/>
      </c>
      <c r="G671" s="81"/>
      <c r="H671" s="81" t="str">
        <f aca="false">_xlfn.IFNA(VLOOKUP(C671,'بيانات الآليات '!A:G,5,FALSE()),"")</f>
        <v/>
      </c>
      <c r="I671" s="82"/>
      <c r="J671" s="83" t="str">
        <f aca="false">_xlfn.IFNA(VLOOKUP(I671,Table14543[],2,FALSE()),"")</f>
        <v/>
      </c>
      <c r="K671" s="84" t="str">
        <f aca="false">_xlfn.IFNA(VLOOKUP(I671,Table14543[],3,FALSE()),"")</f>
        <v/>
      </c>
      <c r="L671" s="83" t="str">
        <f aca="false">CONCATENATE("",I671,""," ",J671," ",K671)</f>
        <v>  </v>
      </c>
      <c r="M671" s="85"/>
      <c r="N671" s="86"/>
      <c r="O671" s="86"/>
      <c r="P671" s="86" t="n">
        <f aca="false">N671*O671</f>
        <v>0</v>
      </c>
      <c r="Q671" s="86"/>
      <c r="R671" s="87" t="n">
        <f aca="false">(O671*N671)+Q671</f>
        <v>0</v>
      </c>
      <c r="S671" s="91"/>
    </row>
    <row r="672" customFormat="false" ht="14.25" hidden="false" customHeight="false" outlineLevel="0" collapsed="false">
      <c r="A672" s="77"/>
      <c r="B672" s="78"/>
      <c r="C672" s="79"/>
      <c r="D672" s="79"/>
      <c r="E672" s="80" t="str">
        <f aca="false">_xlfn.IFNA(VLOOKUP(C672,'بيانات الآليات '!A:G,4,FALSE()),"")</f>
        <v/>
      </c>
      <c r="F672" s="81" t="str">
        <f aca="false">_xlfn.IFNA(VLOOKUP(C672,'بيانات الآليات '!A:G,2,FALSE()),"")</f>
        <v/>
      </c>
      <c r="G672" s="81"/>
      <c r="H672" s="81" t="str">
        <f aca="false">_xlfn.IFNA(VLOOKUP(C672,'بيانات الآليات '!A:G,5,FALSE()),"")</f>
        <v/>
      </c>
      <c r="I672" s="82"/>
      <c r="J672" s="83" t="str">
        <f aca="false">_xlfn.IFNA(VLOOKUP(I672,Table14543[],2,FALSE()),"")</f>
        <v/>
      </c>
      <c r="K672" s="84" t="str">
        <f aca="false">_xlfn.IFNA(VLOOKUP(I672,Table14543[],3,FALSE()),"")</f>
        <v/>
      </c>
      <c r="L672" s="83" t="str">
        <f aca="false">CONCATENATE("",I672,""," ",J672," ",K672)</f>
        <v>  </v>
      </c>
      <c r="M672" s="85"/>
      <c r="N672" s="86"/>
      <c r="O672" s="86"/>
      <c r="P672" s="86" t="n">
        <f aca="false">N672*O672</f>
        <v>0</v>
      </c>
      <c r="Q672" s="86"/>
      <c r="R672" s="87" t="n">
        <f aca="false">(O672*N672)+Q672</f>
        <v>0</v>
      </c>
      <c r="S672" s="91"/>
    </row>
    <row r="673" customFormat="false" ht="14.25" hidden="false" customHeight="false" outlineLevel="0" collapsed="false">
      <c r="A673" s="77"/>
      <c r="B673" s="78"/>
      <c r="C673" s="79"/>
      <c r="D673" s="79"/>
      <c r="E673" s="80" t="str">
        <f aca="false">_xlfn.IFNA(VLOOKUP(C673,'بيانات الآليات '!A:G,4,FALSE()),"")</f>
        <v/>
      </c>
      <c r="F673" s="81" t="str">
        <f aca="false">_xlfn.IFNA(VLOOKUP(C673,'بيانات الآليات '!A:G,2,FALSE()),"")</f>
        <v/>
      </c>
      <c r="G673" s="81"/>
      <c r="H673" s="81" t="str">
        <f aca="false">_xlfn.IFNA(VLOOKUP(C673,'بيانات الآليات '!A:G,5,FALSE()),"")</f>
        <v/>
      </c>
      <c r="I673" s="82"/>
      <c r="J673" s="83" t="str">
        <f aca="false">_xlfn.IFNA(VLOOKUP(I673,Table14543[],2,FALSE()),"")</f>
        <v/>
      </c>
      <c r="K673" s="84" t="str">
        <f aca="false">_xlfn.IFNA(VLOOKUP(I673,Table14543[],3,FALSE()),"")</f>
        <v/>
      </c>
      <c r="L673" s="83" t="str">
        <f aca="false">CONCATENATE("",I673,""," ",J673," ",K673)</f>
        <v>  </v>
      </c>
      <c r="M673" s="85"/>
      <c r="N673" s="86"/>
      <c r="O673" s="86"/>
      <c r="P673" s="86" t="n">
        <f aca="false">N673*O673</f>
        <v>0</v>
      </c>
      <c r="Q673" s="86"/>
      <c r="R673" s="87" t="n">
        <f aca="false">(O673*N673)+Q673</f>
        <v>0</v>
      </c>
      <c r="S673" s="91"/>
    </row>
    <row r="674" customFormat="false" ht="14.25" hidden="false" customHeight="false" outlineLevel="0" collapsed="false">
      <c r="A674" s="77"/>
      <c r="B674" s="78"/>
      <c r="C674" s="79"/>
      <c r="D674" s="79"/>
      <c r="E674" s="80" t="str">
        <f aca="false">_xlfn.IFNA(VLOOKUP(C674,'بيانات الآليات '!A:G,4,FALSE()),"")</f>
        <v/>
      </c>
      <c r="F674" s="81" t="str">
        <f aca="false">_xlfn.IFNA(VLOOKUP(C674,'بيانات الآليات '!A:G,2,FALSE()),"")</f>
        <v/>
      </c>
      <c r="G674" s="81"/>
      <c r="H674" s="81" t="str">
        <f aca="false">_xlfn.IFNA(VLOOKUP(C674,'بيانات الآليات '!A:G,5,FALSE()),"")</f>
        <v/>
      </c>
      <c r="I674" s="82"/>
      <c r="J674" s="83" t="str">
        <f aca="false">_xlfn.IFNA(VLOOKUP(I674,Table14543[],2,FALSE()),"")</f>
        <v/>
      </c>
      <c r="K674" s="84" t="str">
        <f aca="false">_xlfn.IFNA(VLOOKUP(I674,Table14543[],3,FALSE()),"")</f>
        <v/>
      </c>
      <c r="L674" s="83" t="str">
        <f aca="false">CONCATENATE("",I674,""," ",J674," ",K674)</f>
        <v>  </v>
      </c>
      <c r="M674" s="85"/>
      <c r="N674" s="86"/>
      <c r="O674" s="86"/>
      <c r="P674" s="86" t="n">
        <f aca="false">N674*O674</f>
        <v>0</v>
      </c>
      <c r="Q674" s="86"/>
      <c r="R674" s="87" t="n">
        <f aca="false">(O674*N674)+Q674</f>
        <v>0</v>
      </c>
      <c r="S674" s="91"/>
    </row>
    <row r="675" customFormat="false" ht="14.25" hidden="false" customHeight="false" outlineLevel="0" collapsed="false">
      <c r="A675" s="77"/>
      <c r="B675" s="78"/>
      <c r="C675" s="79"/>
      <c r="D675" s="79"/>
      <c r="E675" s="80" t="str">
        <f aca="false">_xlfn.IFNA(VLOOKUP(C675,'بيانات الآليات '!A:G,4,FALSE()),"")</f>
        <v/>
      </c>
      <c r="F675" s="81" t="str">
        <f aca="false">_xlfn.IFNA(VLOOKUP(C675,'بيانات الآليات '!A:G,2,FALSE()),"")</f>
        <v/>
      </c>
      <c r="G675" s="81"/>
      <c r="H675" s="81" t="str">
        <f aca="false">_xlfn.IFNA(VLOOKUP(C675,'بيانات الآليات '!A:G,5,FALSE()),"")</f>
        <v/>
      </c>
      <c r="I675" s="82"/>
      <c r="J675" s="83" t="str">
        <f aca="false">_xlfn.IFNA(VLOOKUP(I675,Table14543[],2,FALSE()),"")</f>
        <v/>
      </c>
      <c r="K675" s="84" t="str">
        <f aca="false">_xlfn.IFNA(VLOOKUP(I675,Table14543[],3,FALSE()),"")</f>
        <v/>
      </c>
      <c r="L675" s="83" t="str">
        <f aca="false">CONCATENATE("",I675,""," ",J675," ",K675)</f>
        <v>  </v>
      </c>
      <c r="M675" s="85"/>
      <c r="N675" s="86"/>
      <c r="O675" s="86"/>
      <c r="P675" s="86" t="n">
        <f aca="false">N675*O675</f>
        <v>0</v>
      </c>
      <c r="Q675" s="86"/>
      <c r="R675" s="87" t="n">
        <f aca="false">(O675*N675)+Q675</f>
        <v>0</v>
      </c>
      <c r="S675" s="91"/>
    </row>
    <row r="676" customFormat="false" ht="14.25" hidden="false" customHeight="false" outlineLevel="0" collapsed="false">
      <c r="A676" s="77"/>
      <c r="B676" s="78"/>
      <c r="C676" s="79"/>
      <c r="D676" s="79"/>
      <c r="E676" s="80" t="str">
        <f aca="false">_xlfn.IFNA(VLOOKUP(C676,'بيانات الآليات '!A:G,4,FALSE()),"")</f>
        <v/>
      </c>
      <c r="F676" s="81" t="str">
        <f aca="false">_xlfn.IFNA(VLOOKUP(C676,'بيانات الآليات '!A:G,2,FALSE()),"")</f>
        <v/>
      </c>
      <c r="G676" s="81"/>
      <c r="H676" s="81" t="str">
        <f aca="false">_xlfn.IFNA(VLOOKUP(C676,'بيانات الآليات '!A:G,5,FALSE()),"")</f>
        <v/>
      </c>
      <c r="I676" s="82"/>
      <c r="J676" s="83" t="str">
        <f aca="false">_xlfn.IFNA(VLOOKUP(I676,Table14543[],2,FALSE()),"")</f>
        <v/>
      </c>
      <c r="K676" s="84" t="str">
        <f aca="false">_xlfn.IFNA(VLOOKUP(I676,Table14543[],3,FALSE()),"")</f>
        <v/>
      </c>
      <c r="L676" s="83" t="str">
        <f aca="false">CONCATENATE("",I676,""," ",J676," ",K676)</f>
        <v>  </v>
      </c>
      <c r="M676" s="85"/>
      <c r="N676" s="86"/>
      <c r="O676" s="86"/>
      <c r="P676" s="86" t="n">
        <f aca="false">N676*O676</f>
        <v>0</v>
      </c>
      <c r="Q676" s="86"/>
      <c r="R676" s="87" t="n">
        <f aca="false">(O676*N676)+Q676</f>
        <v>0</v>
      </c>
      <c r="S676" s="91"/>
    </row>
    <row r="677" customFormat="false" ht="14.25" hidden="false" customHeight="false" outlineLevel="0" collapsed="false">
      <c r="A677" s="77"/>
      <c r="B677" s="78"/>
      <c r="C677" s="79"/>
      <c r="D677" s="79"/>
      <c r="E677" s="80" t="str">
        <f aca="false">_xlfn.IFNA(VLOOKUP(C677,'بيانات الآليات '!A:G,4,FALSE()),"")</f>
        <v/>
      </c>
      <c r="F677" s="81" t="str">
        <f aca="false">_xlfn.IFNA(VLOOKUP(C677,'بيانات الآليات '!A:G,2,FALSE()),"")</f>
        <v/>
      </c>
      <c r="G677" s="81"/>
      <c r="H677" s="81" t="str">
        <f aca="false">_xlfn.IFNA(VLOOKUP(C677,'بيانات الآليات '!A:G,5,FALSE()),"")</f>
        <v/>
      </c>
      <c r="I677" s="82"/>
      <c r="J677" s="83" t="str">
        <f aca="false">_xlfn.IFNA(VLOOKUP(I677,Table14543[],2,FALSE()),"")</f>
        <v/>
      </c>
      <c r="K677" s="84" t="str">
        <f aca="false">_xlfn.IFNA(VLOOKUP(I677,Table14543[],3,FALSE()),"")</f>
        <v/>
      </c>
      <c r="L677" s="83" t="str">
        <f aca="false">CONCATENATE("",I677,""," ",J677," ",K677)</f>
        <v>  </v>
      </c>
      <c r="M677" s="85"/>
      <c r="N677" s="86"/>
      <c r="O677" s="86"/>
      <c r="P677" s="86" t="n">
        <f aca="false">N677*O677</f>
        <v>0</v>
      </c>
      <c r="Q677" s="86"/>
      <c r="R677" s="87" t="n">
        <f aca="false">(O677*N677)+Q677</f>
        <v>0</v>
      </c>
      <c r="S677" s="91"/>
    </row>
    <row r="678" customFormat="false" ht="14.25" hidden="false" customHeight="false" outlineLevel="0" collapsed="false">
      <c r="A678" s="77"/>
      <c r="B678" s="78"/>
      <c r="C678" s="79"/>
      <c r="D678" s="79"/>
      <c r="E678" s="80" t="str">
        <f aca="false">_xlfn.IFNA(VLOOKUP(C678,'بيانات الآليات '!A:G,4,FALSE()),"")</f>
        <v/>
      </c>
      <c r="F678" s="81" t="str">
        <f aca="false">_xlfn.IFNA(VLOOKUP(C678,'بيانات الآليات '!A:G,2,FALSE()),"")</f>
        <v/>
      </c>
      <c r="G678" s="81"/>
      <c r="H678" s="81" t="str">
        <f aca="false">_xlfn.IFNA(VLOOKUP(C678,'بيانات الآليات '!A:G,5,FALSE()),"")</f>
        <v/>
      </c>
      <c r="I678" s="82"/>
      <c r="J678" s="83" t="str">
        <f aca="false">_xlfn.IFNA(VLOOKUP(I678,Table14543[],2,FALSE()),"")</f>
        <v/>
      </c>
      <c r="K678" s="84" t="str">
        <f aca="false">_xlfn.IFNA(VLOOKUP(I678,Table14543[],3,FALSE()),"")</f>
        <v/>
      </c>
      <c r="L678" s="83" t="str">
        <f aca="false">CONCATENATE("",I678,""," ",J678," ",K678)</f>
        <v>  </v>
      </c>
      <c r="M678" s="85"/>
      <c r="N678" s="86"/>
      <c r="O678" s="86"/>
      <c r="P678" s="86" t="n">
        <f aca="false">N678*O678</f>
        <v>0</v>
      </c>
      <c r="Q678" s="86"/>
      <c r="R678" s="87" t="n">
        <f aca="false">(O678*N678)+Q678</f>
        <v>0</v>
      </c>
      <c r="S678" s="91"/>
    </row>
    <row r="679" customFormat="false" ht="14.25" hidden="false" customHeight="false" outlineLevel="0" collapsed="false">
      <c r="A679" s="77"/>
      <c r="B679" s="78"/>
      <c r="C679" s="79"/>
      <c r="D679" s="79"/>
      <c r="E679" s="80" t="str">
        <f aca="false">_xlfn.IFNA(VLOOKUP(C679,'بيانات الآليات '!A:G,4,FALSE()),"")</f>
        <v/>
      </c>
      <c r="F679" s="81" t="str">
        <f aca="false">_xlfn.IFNA(VLOOKUP(C679,'بيانات الآليات '!A:G,2,FALSE()),"")</f>
        <v/>
      </c>
      <c r="G679" s="81"/>
      <c r="H679" s="81" t="str">
        <f aca="false">_xlfn.IFNA(VLOOKUP(C679,'بيانات الآليات '!A:G,5,FALSE()),"")</f>
        <v/>
      </c>
      <c r="I679" s="82"/>
      <c r="J679" s="83" t="str">
        <f aca="false">_xlfn.IFNA(VLOOKUP(I679,Table14543[],2,FALSE()),"")</f>
        <v/>
      </c>
      <c r="K679" s="84" t="str">
        <f aca="false">_xlfn.IFNA(VLOOKUP(I679,Table14543[],3,FALSE()),"")</f>
        <v/>
      </c>
      <c r="L679" s="83" t="str">
        <f aca="false">CONCATENATE("",I679,""," ",J679," ",K679)</f>
        <v>  </v>
      </c>
      <c r="M679" s="85"/>
      <c r="N679" s="86"/>
      <c r="O679" s="86"/>
      <c r="P679" s="86" t="n">
        <f aca="false">N679*O679</f>
        <v>0</v>
      </c>
      <c r="Q679" s="86"/>
      <c r="R679" s="87" t="n">
        <f aca="false">(O679*N679)+Q679</f>
        <v>0</v>
      </c>
      <c r="S679" s="91"/>
    </row>
    <row r="680" customFormat="false" ht="14.25" hidden="false" customHeight="false" outlineLevel="0" collapsed="false">
      <c r="A680" s="77"/>
      <c r="B680" s="78"/>
      <c r="C680" s="79"/>
      <c r="D680" s="79"/>
      <c r="E680" s="80" t="str">
        <f aca="false">_xlfn.IFNA(VLOOKUP(C680,'بيانات الآليات '!A:G,4,FALSE()),"")</f>
        <v/>
      </c>
      <c r="F680" s="81" t="str">
        <f aca="false">_xlfn.IFNA(VLOOKUP(C680,'بيانات الآليات '!A:G,2,FALSE()),"")</f>
        <v/>
      </c>
      <c r="G680" s="81"/>
      <c r="H680" s="81" t="str">
        <f aca="false">_xlfn.IFNA(VLOOKUP(C680,'بيانات الآليات '!A:G,5,FALSE()),"")</f>
        <v/>
      </c>
      <c r="I680" s="82"/>
      <c r="J680" s="83" t="str">
        <f aca="false">_xlfn.IFNA(VLOOKUP(I680,Table14543[],2,FALSE()),"")</f>
        <v/>
      </c>
      <c r="K680" s="84" t="str">
        <f aca="false">_xlfn.IFNA(VLOOKUP(I680,Table14543[],3,FALSE()),"")</f>
        <v/>
      </c>
      <c r="L680" s="83" t="str">
        <f aca="false">CONCATENATE("",I680,""," ",J680," ",K680)</f>
        <v>  </v>
      </c>
      <c r="M680" s="85"/>
      <c r="N680" s="86"/>
      <c r="O680" s="86"/>
      <c r="P680" s="86" t="n">
        <f aca="false">N680*O680</f>
        <v>0</v>
      </c>
      <c r="Q680" s="86"/>
      <c r="R680" s="87" t="n">
        <f aca="false">(O680*N680)+Q680</f>
        <v>0</v>
      </c>
      <c r="S680" s="91"/>
    </row>
    <row r="681" customFormat="false" ht="14.25" hidden="false" customHeight="false" outlineLevel="0" collapsed="false">
      <c r="A681" s="77"/>
      <c r="B681" s="78"/>
      <c r="C681" s="79"/>
      <c r="D681" s="79"/>
      <c r="E681" s="80" t="str">
        <f aca="false">_xlfn.IFNA(VLOOKUP(C681,'بيانات الآليات '!A:G,4,FALSE()),"")</f>
        <v/>
      </c>
      <c r="F681" s="81" t="str">
        <f aca="false">_xlfn.IFNA(VLOOKUP(C681,'بيانات الآليات '!A:G,2,FALSE()),"")</f>
        <v/>
      </c>
      <c r="G681" s="81"/>
      <c r="H681" s="81" t="str">
        <f aca="false">_xlfn.IFNA(VLOOKUP(C681,'بيانات الآليات '!A:G,5,FALSE()),"")</f>
        <v/>
      </c>
      <c r="I681" s="82"/>
      <c r="J681" s="83" t="str">
        <f aca="false">_xlfn.IFNA(VLOOKUP(I681,Table14543[],2,FALSE()),"")</f>
        <v/>
      </c>
      <c r="K681" s="84" t="str">
        <f aca="false">_xlfn.IFNA(VLOOKUP(I681,Table14543[],3,FALSE()),"")</f>
        <v/>
      </c>
      <c r="L681" s="83" t="str">
        <f aca="false">CONCATENATE("",I681,""," ",J681," ",K681)</f>
        <v>  </v>
      </c>
      <c r="M681" s="85"/>
      <c r="N681" s="86"/>
      <c r="O681" s="86"/>
      <c r="P681" s="86" t="n">
        <f aca="false">N681*O681</f>
        <v>0</v>
      </c>
      <c r="Q681" s="86"/>
      <c r="R681" s="87" t="n">
        <f aca="false">(O681*N681)+Q681</f>
        <v>0</v>
      </c>
      <c r="S681" s="91"/>
    </row>
    <row r="682" customFormat="false" ht="14.25" hidden="false" customHeight="false" outlineLevel="0" collapsed="false">
      <c r="A682" s="77"/>
      <c r="B682" s="78"/>
      <c r="C682" s="79"/>
      <c r="D682" s="79"/>
      <c r="E682" s="80" t="str">
        <f aca="false">_xlfn.IFNA(VLOOKUP(C682,'بيانات الآليات '!A:G,4,FALSE()),"")</f>
        <v/>
      </c>
      <c r="F682" s="81" t="str">
        <f aca="false">_xlfn.IFNA(VLOOKUP(C682,'بيانات الآليات '!A:G,2,FALSE()),"")</f>
        <v/>
      </c>
      <c r="G682" s="81"/>
      <c r="H682" s="81" t="str">
        <f aca="false">_xlfn.IFNA(VLOOKUP(C682,'بيانات الآليات '!A:G,5,FALSE()),"")</f>
        <v/>
      </c>
      <c r="I682" s="82"/>
      <c r="J682" s="83" t="str">
        <f aca="false">_xlfn.IFNA(VLOOKUP(I682,Table14543[],2,FALSE()),"")</f>
        <v/>
      </c>
      <c r="K682" s="84" t="str">
        <f aca="false">_xlfn.IFNA(VLOOKUP(I682,Table14543[],3,FALSE()),"")</f>
        <v/>
      </c>
      <c r="L682" s="83" t="str">
        <f aca="false">CONCATENATE("",I682,""," ",J682," ",K682)</f>
        <v>  </v>
      </c>
      <c r="M682" s="85"/>
      <c r="N682" s="86"/>
      <c r="O682" s="86"/>
      <c r="P682" s="86" t="n">
        <f aca="false">N682*O682</f>
        <v>0</v>
      </c>
      <c r="Q682" s="86"/>
      <c r="R682" s="87" t="n">
        <f aca="false">(O682*N682)+Q682</f>
        <v>0</v>
      </c>
      <c r="S682" s="91"/>
    </row>
    <row r="683" customFormat="false" ht="14.25" hidden="false" customHeight="false" outlineLevel="0" collapsed="false">
      <c r="A683" s="77"/>
      <c r="B683" s="78"/>
      <c r="C683" s="79"/>
      <c r="D683" s="79"/>
      <c r="E683" s="80" t="str">
        <f aca="false">_xlfn.IFNA(VLOOKUP(C683,'بيانات الآليات '!A:G,4,FALSE()),"")</f>
        <v/>
      </c>
      <c r="F683" s="81" t="str">
        <f aca="false">_xlfn.IFNA(VLOOKUP(C683,'بيانات الآليات '!A:G,2,FALSE()),"")</f>
        <v/>
      </c>
      <c r="G683" s="81"/>
      <c r="H683" s="81" t="str">
        <f aca="false">_xlfn.IFNA(VLOOKUP(C683,'بيانات الآليات '!A:G,5,FALSE()),"")</f>
        <v/>
      </c>
      <c r="I683" s="82"/>
      <c r="J683" s="83" t="str">
        <f aca="false">_xlfn.IFNA(VLOOKUP(I683,Table14543[],2,FALSE()),"")</f>
        <v/>
      </c>
      <c r="K683" s="84" t="str">
        <f aca="false">_xlfn.IFNA(VLOOKUP(I683,Table14543[],3,FALSE()),"")</f>
        <v/>
      </c>
      <c r="L683" s="83" t="str">
        <f aca="false">CONCATENATE("",I683,""," ",J683," ",K683)</f>
        <v>  </v>
      </c>
      <c r="M683" s="85"/>
      <c r="N683" s="86"/>
      <c r="O683" s="86"/>
      <c r="P683" s="86" t="n">
        <f aca="false">N683*O683</f>
        <v>0</v>
      </c>
      <c r="Q683" s="86"/>
      <c r="R683" s="87" t="n">
        <f aca="false">(O683*N683)+Q683</f>
        <v>0</v>
      </c>
      <c r="S683" s="91"/>
    </row>
    <row r="684" customFormat="false" ht="14.25" hidden="false" customHeight="false" outlineLevel="0" collapsed="false">
      <c r="A684" s="77"/>
      <c r="B684" s="78"/>
      <c r="C684" s="79"/>
      <c r="D684" s="79"/>
      <c r="E684" s="80" t="str">
        <f aca="false">_xlfn.IFNA(VLOOKUP(C684,'بيانات الآليات '!A:G,4,FALSE()),"")</f>
        <v/>
      </c>
      <c r="F684" s="81" t="str">
        <f aca="false">_xlfn.IFNA(VLOOKUP(C684,'بيانات الآليات '!A:G,2,FALSE()),"")</f>
        <v/>
      </c>
      <c r="G684" s="81"/>
      <c r="H684" s="81" t="str">
        <f aca="false">_xlfn.IFNA(VLOOKUP(C684,'بيانات الآليات '!A:G,5,FALSE()),"")</f>
        <v/>
      </c>
      <c r="I684" s="82"/>
      <c r="J684" s="83" t="str">
        <f aca="false">_xlfn.IFNA(VLOOKUP(I684,Table14543[],2,FALSE()),"")</f>
        <v/>
      </c>
      <c r="K684" s="84" t="str">
        <f aca="false">_xlfn.IFNA(VLOOKUP(I684,Table14543[],3,FALSE()),"")</f>
        <v/>
      </c>
      <c r="L684" s="83" t="str">
        <f aca="false">CONCATENATE("",I684,""," ",J684," ",K684)</f>
        <v>  </v>
      </c>
      <c r="M684" s="85"/>
      <c r="N684" s="86"/>
      <c r="O684" s="86"/>
      <c r="P684" s="86" t="n">
        <f aca="false">N684*O684</f>
        <v>0</v>
      </c>
      <c r="Q684" s="86"/>
      <c r="R684" s="87" t="n">
        <f aca="false">(O684*N684)+Q684</f>
        <v>0</v>
      </c>
      <c r="S684" s="91"/>
    </row>
    <row r="685" customFormat="false" ht="14.25" hidden="false" customHeight="false" outlineLevel="0" collapsed="false">
      <c r="A685" s="77"/>
      <c r="B685" s="78"/>
      <c r="C685" s="79"/>
      <c r="D685" s="79"/>
      <c r="E685" s="80" t="str">
        <f aca="false">_xlfn.IFNA(VLOOKUP(C685,'بيانات الآليات '!A:G,4,FALSE()),"")</f>
        <v/>
      </c>
      <c r="F685" s="81" t="str">
        <f aca="false">_xlfn.IFNA(VLOOKUP(C685,'بيانات الآليات '!A:G,2,FALSE()),"")</f>
        <v/>
      </c>
      <c r="G685" s="81"/>
      <c r="H685" s="81" t="str">
        <f aca="false">_xlfn.IFNA(VLOOKUP(C685,'بيانات الآليات '!A:G,5,FALSE()),"")</f>
        <v/>
      </c>
      <c r="I685" s="82"/>
      <c r="J685" s="83" t="str">
        <f aca="false">_xlfn.IFNA(VLOOKUP(I685,Table14543[],2,FALSE()),"")</f>
        <v/>
      </c>
      <c r="K685" s="84" t="str">
        <f aca="false">_xlfn.IFNA(VLOOKUP(I685,Table14543[],3,FALSE()),"")</f>
        <v/>
      </c>
      <c r="L685" s="83" t="str">
        <f aca="false">CONCATENATE("",I685,""," ",J685," ",K685)</f>
        <v>  </v>
      </c>
      <c r="M685" s="85"/>
      <c r="N685" s="86"/>
      <c r="O685" s="86"/>
      <c r="P685" s="86" t="n">
        <f aca="false">N685*O685</f>
        <v>0</v>
      </c>
      <c r="Q685" s="86"/>
      <c r="R685" s="87" t="n">
        <f aca="false">(O685*N685)+Q685</f>
        <v>0</v>
      </c>
      <c r="S685" s="91"/>
    </row>
    <row r="686" customFormat="false" ht="14.25" hidden="false" customHeight="false" outlineLevel="0" collapsed="false">
      <c r="A686" s="77"/>
      <c r="B686" s="78"/>
      <c r="C686" s="79"/>
      <c r="D686" s="79"/>
      <c r="E686" s="80" t="str">
        <f aca="false">_xlfn.IFNA(VLOOKUP(C686,'بيانات الآليات '!A:G,4,FALSE()),"")</f>
        <v/>
      </c>
      <c r="F686" s="81" t="str">
        <f aca="false">_xlfn.IFNA(VLOOKUP(C686,'بيانات الآليات '!A:G,2,FALSE()),"")</f>
        <v/>
      </c>
      <c r="G686" s="81"/>
      <c r="H686" s="81" t="str">
        <f aca="false">_xlfn.IFNA(VLOOKUP(C686,'بيانات الآليات '!A:G,5,FALSE()),"")</f>
        <v/>
      </c>
      <c r="I686" s="82"/>
      <c r="J686" s="83" t="str">
        <f aca="false">_xlfn.IFNA(VLOOKUP(I686,Table14543[],2,FALSE()),"")</f>
        <v/>
      </c>
      <c r="K686" s="84" t="str">
        <f aca="false">_xlfn.IFNA(VLOOKUP(I686,Table14543[],3,FALSE()),"")</f>
        <v/>
      </c>
      <c r="L686" s="83" t="str">
        <f aca="false">CONCATENATE("",I686,""," ",J686," ",K686)</f>
        <v>  </v>
      </c>
      <c r="M686" s="85"/>
      <c r="N686" s="86"/>
      <c r="O686" s="86"/>
      <c r="P686" s="86" t="n">
        <f aca="false">N686*O686</f>
        <v>0</v>
      </c>
      <c r="Q686" s="86"/>
      <c r="R686" s="87" t="n">
        <f aca="false">(O686*N686)+Q686</f>
        <v>0</v>
      </c>
      <c r="S686" s="91"/>
    </row>
    <row r="687" customFormat="false" ht="14.25" hidden="false" customHeight="false" outlineLevel="0" collapsed="false">
      <c r="A687" s="77"/>
      <c r="B687" s="78"/>
      <c r="C687" s="79"/>
      <c r="D687" s="79"/>
      <c r="E687" s="80" t="str">
        <f aca="false">_xlfn.IFNA(VLOOKUP(C687,'بيانات الآليات '!A:G,4,FALSE()),"")</f>
        <v/>
      </c>
      <c r="F687" s="81" t="str">
        <f aca="false">_xlfn.IFNA(VLOOKUP(C687,'بيانات الآليات '!A:G,2,FALSE()),"")</f>
        <v/>
      </c>
      <c r="G687" s="81"/>
      <c r="H687" s="81" t="str">
        <f aca="false">_xlfn.IFNA(VLOOKUP(C687,'بيانات الآليات '!A:G,5,FALSE()),"")</f>
        <v/>
      </c>
      <c r="I687" s="82"/>
      <c r="J687" s="83" t="str">
        <f aca="false">_xlfn.IFNA(VLOOKUP(I687,Table14543[],2,FALSE()),"")</f>
        <v/>
      </c>
      <c r="K687" s="84" t="str">
        <f aca="false">_xlfn.IFNA(VLOOKUP(I687,Table14543[],3,FALSE()),"")</f>
        <v/>
      </c>
      <c r="L687" s="83" t="str">
        <f aca="false">CONCATENATE("",I687,""," ",J687," ",K687)</f>
        <v>  </v>
      </c>
      <c r="M687" s="85"/>
      <c r="N687" s="86"/>
      <c r="O687" s="86"/>
      <c r="P687" s="86" t="n">
        <f aca="false">N687*O687</f>
        <v>0</v>
      </c>
      <c r="Q687" s="86"/>
      <c r="R687" s="87" t="n">
        <f aca="false">(O687*N687)+Q687</f>
        <v>0</v>
      </c>
      <c r="S687" s="91"/>
    </row>
    <row r="688" customFormat="false" ht="14.25" hidden="false" customHeight="false" outlineLevel="0" collapsed="false">
      <c r="A688" s="77"/>
      <c r="B688" s="78"/>
      <c r="C688" s="79"/>
      <c r="D688" s="79"/>
      <c r="E688" s="80" t="str">
        <f aca="false">_xlfn.IFNA(VLOOKUP(C688,'بيانات الآليات '!A:G,4,FALSE()),"")</f>
        <v/>
      </c>
      <c r="F688" s="81" t="str">
        <f aca="false">_xlfn.IFNA(VLOOKUP(C688,'بيانات الآليات '!A:G,2,FALSE()),"")</f>
        <v/>
      </c>
      <c r="G688" s="81"/>
      <c r="H688" s="81" t="str">
        <f aca="false">_xlfn.IFNA(VLOOKUP(C688,'بيانات الآليات '!A:G,5,FALSE()),"")</f>
        <v/>
      </c>
      <c r="I688" s="82"/>
      <c r="J688" s="83" t="str">
        <f aca="false">_xlfn.IFNA(VLOOKUP(I688,Table14543[],2,FALSE()),"")</f>
        <v/>
      </c>
      <c r="K688" s="84" t="str">
        <f aca="false">_xlfn.IFNA(VLOOKUP(I688,Table14543[],3,FALSE()),"")</f>
        <v/>
      </c>
      <c r="L688" s="83" t="str">
        <f aca="false">CONCATENATE("",I688,""," ",J688," ",K688)</f>
        <v>  </v>
      </c>
      <c r="M688" s="85"/>
      <c r="N688" s="86"/>
      <c r="O688" s="86"/>
      <c r="P688" s="86" t="n">
        <f aca="false">N688*O688</f>
        <v>0</v>
      </c>
      <c r="Q688" s="86"/>
      <c r="R688" s="87" t="n">
        <f aca="false">(O688*N688)+Q688</f>
        <v>0</v>
      </c>
      <c r="S688" s="91"/>
    </row>
    <row r="689" customFormat="false" ht="14.25" hidden="false" customHeight="false" outlineLevel="0" collapsed="false">
      <c r="A689" s="77"/>
      <c r="B689" s="78"/>
      <c r="C689" s="79"/>
      <c r="D689" s="79"/>
      <c r="E689" s="80" t="str">
        <f aca="false">_xlfn.IFNA(VLOOKUP(C689,'بيانات الآليات '!A:G,4,FALSE()),"")</f>
        <v/>
      </c>
      <c r="F689" s="81" t="str">
        <f aca="false">_xlfn.IFNA(VLOOKUP(C689,'بيانات الآليات '!A:G,2,FALSE()),"")</f>
        <v/>
      </c>
      <c r="G689" s="81"/>
      <c r="H689" s="81" t="str">
        <f aca="false">_xlfn.IFNA(VLOOKUP(C689,'بيانات الآليات '!A:G,5,FALSE()),"")</f>
        <v/>
      </c>
      <c r="I689" s="82"/>
      <c r="J689" s="83" t="str">
        <f aca="false">_xlfn.IFNA(VLOOKUP(I689,Table14543[],2,FALSE()),"")</f>
        <v/>
      </c>
      <c r="K689" s="84" t="str">
        <f aca="false">_xlfn.IFNA(VLOOKUP(I689,Table14543[],3,FALSE()),"")</f>
        <v/>
      </c>
      <c r="L689" s="83" t="str">
        <f aca="false">CONCATENATE("",I689,""," ",J689," ",K689)</f>
        <v>  </v>
      </c>
      <c r="M689" s="85"/>
      <c r="N689" s="86"/>
      <c r="O689" s="86"/>
      <c r="P689" s="86" t="n">
        <f aca="false">N689*O689</f>
        <v>0</v>
      </c>
      <c r="Q689" s="86"/>
      <c r="R689" s="87" t="n">
        <f aca="false">(O689*N689)+Q689</f>
        <v>0</v>
      </c>
      <c r="S689" s="91"/>
    </row>
    <row r="690" customFormat="false" ht="14.25" hidden="false" customHeight="false" outlineLevel="0" collapsed="false">
      <c r="A690" s="77"/>
      <c r="B690" s="78"/>
      <c r="C690" s="79"/>
      <c r="D690" s="79"/>
      <c r="E690" s="80" t="str">
        <f aca="false">_xlfn.IFNA(VLOOKUP(C690,'بيانات الآليات '!A:G,4,FALSE()),"")</f>
        <v/>
      </c>
      <c r="F690" s="81" t="str">
        <f aca="false">_xlfn.IFNA(VLOOKUP(C690,'بيانات الآليات '!A:G,2,FALSE()),"")</f>
        <v/>
      </c>
      <c r="G690" s="81"/>
      <c r="H690" s="81" t="str">
        <f aca="false">_xlfn.IFNA(VLOOKUP(C690,'بيانات الآليات '!A:G,5,FALSE()),"")</f>
        <v/>
      </c>
      <c r="I690" s="82"/>
      <c r="J690" s="83" t="str">
        <f aca="false">_xlfn.IFNA(VLOOKUP(I690,Table14543[],2,FALSE()),"")</f>
        <v/>
      </c>
      <c r="K690" s="84" t="str">
        <f aca="false">_xlfn.IFNA(VLOOKUP(I690,Table14543[],3,FALSE()),"")</f>
        <v/>
      </c>
      <c r="L690" s="83" t="str">
        <f aca="false">CONCATENATE("",I690,""," ",J690," ",K690)</f>
        <v>  </v>
      </c>
      <c r="M690" s="85"/>
      <c r="N690" s="86"/>
      <c r="O690" s="86"/>
      <c r="P690" s="86" t="n">
        <f aca="false">N690*O690</f>
        <v>0</v>
      </c>
      <c r="Q690" s="86"/>
      <c r="R690" s="87" t="n">
        <f aca="false">(O690*N690)+Q690</f>
        <v>0</v>
      </c>
      <c r="S690" s="91"/>
    </row>
    <row r="691" customFormat="false" ht="14.25" hidden="false" customHeight="false" outlineLevel="0" collapsed="false">
      <c r="A691" s="77"/>
      <c r="B691" s="78"/>
      <c r="C691" s="79"/>
      <c r="D691" s="79"/>
      <c r="E691" s="80" t="str">
        <f aca="false">_xlfn.IFNA(VLOOKUP(C691,'بيانات الآليات '!A:G,4,FALSE()),"")</f>
        <v/>
      </c>
      <c r="F691" s="81" t="str">
        <f aca="false">_xlfn.IFNA(VLOOKUP(C691,'بيانات الآليات '!A:G,2,FALSE()),"")</f>
        <v/>
      </c>
      <c r="G691" s="81"/>
      <c r="H691" s="81" t="str">
        <f aca="false">_xlfn.IFNA(VLOOKUP(C691,'بيانات الآليات '!A:G,5,FALSE()),"")</f>
        <v/>
      </c>
      <c r="I691" s="82"/>
      <c r="J691" s="83" t="str">
        <f aca="false">_xlfn.IFNA(VLOOKUP(I691,Table14543[],2,FALSE()),"")</f>
        <v/>
      </c>
      <c r="K691" s="84" t="str">
        <f aca="false">_xlfn.IFNA(VLOOKUP(I691,Table14543[],3,FALSE()),"")</f>
        <v/>
      </c>
      <c r="L691" s="83" t="str">
        <f aca="false">CONCATENATE("",I691,""," ",J691," ",K691)</f>
        <v>  </v>
      </c>
      <c r="M691" s="85"/>
      <c r="N691" s="86"/>
      <c r="O691" s="86"/>
      <c r="P691" s="86" t="n">
        <f aca="false">N691*O691</f>
        <v>0</v>
      </c>
      <c r="Q691" s="86"/>
      <c r="R691" s="87" t="n">
        <f aca="false">(O691*N691)+Q691</f>
        <v>0</v>
      </c>
      <c r="S691" s="91"/>
    </row>
    <row r="692" customFormat="false" ht="14.25" hidden="false" customHeight="false" outlineLevel="0" collapsed="false">
      <c r="A692" s="77"/>
      <c r="B692" s="78"/>
      <c r="C692" s="79"/>
      <c r="D692" s="79"/>
      <c r="E692" s="80" t="str">
        <f aca="false">_xlfn.IFNA(VLOOKUP(C692,'بيانات الآليات '!A:G,4,FALSE()),"")</f>
        <v/>
      </c>
      <c r="F692" s="81" t="str">
        <f aca="false">_xlfn.IFNA(VLOOKUP(C692,'بيانات الآليات '!A:G,2,FALSE()),"")</f>
        <v/>
      </c>
      <c r="G692" s="81"/>
      <c r="H692" s="81" t="str">
        <f aca="false">_xlfn.IFNA(VLOOKUP(C692,'بيانات الآليات '!A:G,5,FALSE()),"")</f>
        <v/>
      </c>
      <c r="I692" s="82"/>
      <c r="J692" s="83" t="str">
        <f aca="false">_xlfn.IFNA(VLOOKUP(I692,Table14543[],2,FALSE()),"")</f>
        <v/>
      </c>
      <c r="K692" s="84" t="str">
        <f aca="false">_xlfn.IFNA(VLOOKUP(I692,Table14543[],3,FALSE()),"")</f>
        <v/>
      </c>
      <c r="L692" s="83" t="str">
        <f aca="false">CONCATENATE("",I692,""," ",J692," ",K692)</f>
        <v>  </v>
      </c>
      <c r="M692" s="85"/>
      <c r="N692" s="86"/>
      <c r="O692" s="86"/>
      <c r="P692" s="86" t="n">
        <f aca="false">N692*O692</f>
        <v>0</v>
      </c>
      <c r="Q692" s="86"/>
      <c r="R692" s="87" t="n">
        <f aca="false">(O692*N692)+Q692</f>
        <v>0</v>
      </c>
      <c r="S692" s="91"/>
    </row>
    <row r="693" customFormat="false" ht="14.25" hidden="false" customHeight="false" outlineLevel="0" collapsed="false">
      <c r="A693" s="77"/>
      <c r="B693" s="78"/>
      <c r="C693" s="79"/>
      <c r="D693" s="79"/>
      <c r="E693" s="80" t="str">
        <f aca="false">_xlfn.IFNA(VLOOKUP(C693,'بيانات الآليات '!A:G,4,FALSE()),"")</f>
        <v/>
      </c>
      <c r="F693" s="81" t="str">
        <f aca="false">_xlfn.IFNA(VLOOKUP(C693,'بيانات الآليات '!A:G,2,FALSE()),"")</f>
        <v/>
      </c>
      <c r="G693" s="81"/>
      <c r="H693" s="81" t="str">
        <f aca="false">_xlfn.IFNA(VLOOKUP(C693,'بيانات الآليات '!A:G,5,FALSE()),"")</f>
        <v/>
      </c>
      <c r="I693" s="82"/>
      <c r="J693" s="83" t="str">
        <f aca="false">_xlfn.IFNA(VLOOKUP(I693,Table14543[],2,FALSE()),"")</f>
        <v/>
      </c>
      <c r="K693" s="84" t="str">
        <f aca="false">_xlfn.IFNA(VLOOKUP(I693,Table14543[],3,FALSE()),"")</f>
        <v/>
      </c>
      <c r="L693" s="83" t="str">
        <f aca="false">CONCATENATE("",I693,""," ",J693," ",K693)</f>
        <v>  </v>
      </c>
      <c r="M693" s="85"/>
      <c r="N693" s="86"/>
      <c r="O693" s="86"/>
      <c r="P693" s="86" t="n">
        <f aca="false">N693*O693</f>
        <v>0</v>
      </c>
      <c r="Q693" s="86"/>
      <c r="R693" s="87" t="n">
        <f aca="false">(O693*N693)+Q693</f>
        <v>0</v>
      </c>
      <c r="S693" s="91"/>
    </row>
    <row r="694" customFormat="false" ht="14.25" hidden="false" customHeight="false" outlineLevel="0" collapsed="false">
      <c r="A694" s="77"/>
      <c r="B694" s="78"/>
      <c r="C694" s="79"/>
      <c r="D694" s="79"/>
      <c r="E694" s="80" t="str">
        <f aca="false">_xlfn.IFNA(VLOOKUP(C694,'بيانات الآليات '!A:G,4,FALSE()),"")</f>
        <v/>
      </c>
      <c r="F694" s="81" t="str">
        <f aca="false">_xlfn.IFNA(VLOOKUP(C694,'بيانات الآليات '!A:G,2,FALSE()),"")</f>
        <v/>
      </c>
      <c r="G694" s="81"/>
      <c r="H694" s="81" t="str">
        <f aca="false">_xlfn.IFNA(VLOOKUP(C694,'بيانات الآليات '!A:G,5,FALSE()),"")</f>
        <v/>
      </c>
      <c r="I694" s="82"/>
      <c r="J694" s="83" t="str">
        <f aca="false">_xlfn.IFNA(VLOOKUP(I694,Table14543[],2,FALSE()),"")</f>
        <v/>
      </c>
      <c r="K694" s="84" t="str">
        <f aca="false">_xlfn.IFNA(VLOOKUP(I694,Table14543[],3,FALSE()),"")</f>
        <v/>
      </c>
      <c r="L694" s="83" t="str">
        <f aca="false">CONCATENATE("",I694,""," ",J694," ",K694)</f>
        <v>  </v>
      </c>
      <c r="M694" s="85"/>
      <c r="N694" s="86"/>
      <c r="O694" s="86"/>
      <c r="P694" s="86" t="n">
        <f aca="false">N694*O694</f>
        <v>0</v>
      </c>
      <c r="Q694" s="86"/>
      <c r="R694" s="87" t="n">
        <f aca="false">(O694*N694)+Q694</f>
        <v>0</v>
      </c>
      <c r="S694" s="91"/>
    </row>
    <row r="695" customFormat="false" ht="14.25" hidden="false" customHeight="false" outlineLevel="0" collapsed="false">
      <c r="A695" s="77"/>
      <c r="B695" s="78"/>
      <c r="C695" s="79"/>
      <c r="D695" s="79"/>
      <c r="E695" s="80" t="str">
        <f aca="false">_xlfn.IFNA(VLOOKUP(C695,'بيانات الآليات '!A:G,4,FALSE()),"")</f>
        <v/>
      </c>
      <c r="F695" s="81" t="str">
        <f aca="false">_xlfn.IFNA(VLOOKUP(C695,'بيانات الآليات '!A:G,2,FALSE()),"")</f>
        <v/>
      </c>
      <c r="G695" s="81"/>
      <c r="H695" s="81" t="str">
        <f aca="false">_xlfn.IFNA(VLOOKUP(C695,'بيانات الآليات '!A:G,5,FALSE()),"")</f>
        <v/>
      </c>
      <c r="I695" s="82"/>
      <c r="J695" s="83" t="str">
        <f aca="false">_xlfn.IFNA(VLOOKUP(I695,Table14543[],2,FALSE()),"")</f>
        <v/>
      </c>
      <c r="K695" s="84" t="str">
        <f aca="false">_xlfn.IFNA(VLOOKUP(I695,Table14543[],3,FALSE()),"")</f>
        <v/>
      </c>
      <c r="L695" s="83" t="str">
        <f aca="false">CONCATENATE("",I695,""," ",J695," ",K695)</f>
        <v>  </v>
      </c>
      <c r="M695" s="85"/>
      <c r="N695" s="86"/>
      <c r="O695" s="86"/>
      <c r="P695" s="86" t="n">
        <f aca="false">N695*O695</f>
        <v>0</v>
      </c>
      <c r="Q695" s="86"/>
      <c r="R695" s="87" t="n">
        <f aca="false">(O695*N695)+Q695</f>
        <v>0</v>
      </c>
      <c r="S695" s="91"/>
    </row>
    <row r="696" customFormat="false" ht="14.25" hidden="false" customHeight="false" outlineLevel="0" collapsed="false">
      <c r="A696" s="77"/>
      <c r="B696" s="78"/>
      <c r="C696" s="79"/>
      <c r="D696" s="79"/>
      <c r="E696" s="80" t="str">
        <f aca="false">_xlfn.IFNA(VLOOKUP(C696,'بيانات الآليات '!A:G,4,FALSE()),"")</f>
        <v/>
      </c>
      <c r="F696" s="81" t="str">
        <f aca="false">_xlfn.IFNA(VLOOKUP(C696,'بيانات الآليات '!A:G,2,FALSE()),"")</f>
        <v/>
      </c>
      <c r="G696" s="81"/>
      <c r="H696" s="81" t="str">
        <f aca="false">_xlfn.IFNA(VLOOKUP(C696,'بيانات الآليات '!A:G,5,FALSE()),"")</f>
        <v/>
      </c>
      <c r="I696" s="82"/>
      <c r="J696" s="83" t="str">
        <f aca="false">_xlfn.IFNA(VLOOKUP(I696,Table14543[],2,FALSE()),"")</f>
        <v/>
      </c>
      <c r="K696" s="84" t="str">
        <f aca="false">_xlfn.IFNA(VLOOKUP(I696,Table14543[],3,FALSE()),"")</f>
        <v/>
      </c>
      <c r="L696" s="83" t="str">
        <f aca="false">CONCATENATE("",I696,""," ",J696," ",K696)</f>
        <v>  </v>
      </c>
      <c r="M696" s="85"/>
      <c r="N696" s="86"/>
      <c r="O696" s="86"/>
      <c r="P696" s="86" t="n">
        <f aca="false">N696*O696</f>
        <v>0</v>
      </c>
      <c r="Q696" s="86"/>
      <c r="R696" s="87" t="n">
        <f aca="false">(O696*N696)+Q696</f>
        <v>0</v>
      </c>
      <c r="S696" s="91"/>
    </row>
    <row r="697" customFormat="false" ht="14.25" hidden="false" customHeight="false" outlineLevel="0" collapsed="false">
      <c r="A697" s="77"/>
      <c r="B697" s="78"/>
      <c r="C697" s="79"/>
      <c r="D697" s="79"/>
      <c r="E697" s="80" t="str">
        <f aca="false">_xlfn.IFNA(VLOOKUP(C697,'بيانات الآليات '!A:G,4,FALSE()),"")</f>
        <v/>
      </c>
      <c r="F697" s="81" t="str">
        <f aca="false">_xlfn.IFNA(VLOOKUP(C697,'بيانات الآليات '!A:G,2,FALSE()),"")</f>
        <v/>
      </c>
      <c r="G697" s="81"/>
      <c r="H697" s="81" t="str">
        <f aca="false">_xlfn.IFNA(VLOOKUP(C697,'بيانات الآليات '!A:G,5,FALSE()),"")</f>
        <v/>
      </c>
      <c r="I697" s="82"/>
      <c r="J697" s="83" t="str">
        <f aca="false">_xlfn.IFNA(VLOOKUP(I697,Table14543[],2,FALSE()),"")</f>
        <v/>
      </c>
      <c r="K697" s="84" t="str">
        <f aca="false">_xlfn.IFNA(VLOOKUP(I697,Table14543[],3,FALSE()),"")</f>
        <v/>
      </c>
      <c r="L697" s="83" t="str">
        <f aca="false">CONCATENATE("",I697,""," ",J697," ",K697)</f>
        <v>  </v>
      </c>
      <c r="M697" s="85"/>
      <c r="N697" s="86"/>
      <c r="O697" s="86"/>
      <c r="P697" s="86" t="n">
        <f aca="false">N697*O697</f>
        <v>0</v>
      </c>
      <c r="Q697" s="86"/>
      <c r="R697" s="87" t="n">
        <f aca="false">(O697*N697)+Q697</f>
        <v>0</v>
      </c>
      <c r="S697" s="91"/>
    </row>
    <row r="698" customFormat="false" ht="14.25" hidden="false" customHeight="false" outlineLevel="0" collapsed="false">
      <c r="A698" s="77"/>
      <c r="B698" s="78"/>
      <c r="C698" s="79"/>
      <c r="D698" s="79"/>
      <c r="E698" s="80" t="str">
        <f aca="false">_xlfn.IFNA(VLOOKUP(C698,'بيانات الآليات '!A:G,4,FALSE()),"")</f>
        <v/>
      </c>
      <c r="F698" s="81" t="str">
        <f aca="false">_xlfn.IFNA(VLOOKUP(C698,'بيانات الآليات '!A:G,2,FALSE()),"")</f>
        <v/>
      </c>
      <c r="G698" s="81"/>
      <c r="H698" s="81" t="str">
        <f aca="false">_xlfn.IFNA(VLOOKUP(C698,'بيانات الآليات '!A:G,5,FALSE()),"")</f>
        <v/>
      </c>
      <c r="I698" s="82"/>
      <c r="J698" s="83" t="str">
        <f aca="false">_xlfn.IFNA(VLOOKUP(I698,Table14543[],2,FALSE()),"")</f>
        <v/>
      </c>
      <c r="K698" s="84" t="str">
        <f aca="false">_xlfn.IFNA(VLOOKUP(I698,Table14543[],3,FALSE()),"")</f>
        <v/>
      </c>
      <c r="L698" s="83" t="str">
        <f aca="false">CONCATENATE("",I698,""," ",J698," ",K698)</f>
        <v>  </v>
      </c>
      <c r="M698" s="85"/>
      <c r="N698" s="86"/>
      <c r="O698" s="86"/>
      <c r="P698" s="86" t="n">
        <f aca="false">N698*O698</f>
        <v>0</v>
      </c>
      <c r="Q698" s="86"/>
      <c r="R698" s="87" t="n">
        <f aca="false">(O698*N698)+Q698</f>
        <v>0</v>
      </c>
      <c r="S698" s="91"/>
    </row>
    <row r="699" customFormat="false" ht="14.25" hidden="false" customHeight="false" outlineLevel="0" collapsed="false">
      <c r="A699" s="77"/>
      <c r="B699" s="78"/>
      <c r="C699" s="79"/>
      <c r="D699" s="79"/>
      <c r="E699" s="80" t="str">
        <f aca="false">_xlfn.IFNA(VLOOKUP(C699,'بيانات الآليات '!A:G,4,FALSE()),"")</f>
        <v/>
      </c>
      <c r="F699" s="81" t="str">
        <f aca="false">_xlfn.IFNA(VLOOKUP(C699,'بيانات الآليات '!A:G,2,FALSE()),"")</f>
        <v/>
      </c>
      <c r="G699" s="81"/>
      <c r="H699" s="81" t="str">
        <f aca="false">_xlfn.IFNA(VLOOKUP(C699,'بيانات الآليات '!A:G,5,FALSE()),"")</f>
        <v/>
      </c>
      <c r="I699" s="82"/>
      <c r="J699" s="83" t="str">
        <f aca="false">_xlfn.IFNA(VLOOKUP(I699,Table14543[],2,FALSE()),"")</f>
        <v/>
      </c>
      <c r="K699" s="84" t="str">
        <f aca="false">_xlfn.IFNA(VLOOKUP(I699,Table14543[],3,FALSE()),"")</f>
        <v/>
      </c>
      <c r="L699" s="83" t="str">
        <f aca="false">CONCATENATE("",I699,""," ",J699," ",K699)</f>
        <v>  </v>
      </c>
      <c r="M699" s="85"/>
      <c r="N699" s="86"/>
      <c r="O699" s="86"/>
      <c r="P699" s="86" t="n">
        <f aca="false">N699*O699</f>
        <v>0</v>
      </c>
      <c r="Q699" s="86"/>
      <c r="R699" s="87" t="n">
        <f aca="false">(O699*N699)+Q699</f>
        <v>0</v>
      </c>
      <c r="S699" s="91"/>
    </row>
    <row r="700" customFormat="false" ht="14.25" hidden="false" customHeight="false" outlineLevel="0" collapsed="false">
      <c r="A700" s="77"/>
      <c r="B700" s="78"/>
      <c r="C700" s="79"/>
      <c r="D700" s="79"/>
      <c r="E700" s="80" t="str">
        <f aca="false">_xlfn.IFNA(VLOOKUP(C700,'بيانات الآليات '!A:G,4,FALSE()),"")</f>
        <v/>
      </c>
      <c r="F700" s="81" t="str">
        <f aca="false">_xlfn.IFNA(VLOOKUP(C700,'بيانات الآليات '!A:G,2,FALSE()),"")</f>
        <v/>
      </c>
      <c r="G700" s="81"/>
      <c r="H700" s="81" t="str">
        <f aca="false">_xlfn.IFNA(VLOOKUP(C700,'بيانات الآليات '!A:G,5,FALSE()),"")</f>
        <v/>
      </c>
      <c r="I700" s="82"/>
      <c r="J700" s="83" t="str">
        <f aca="false">_xlfn.IFNA(VLOOKUP(I700,Table14543[],2,FALSE()),"")</f>
        <v/>
      </c>
      <c r="K700" s="84" t="str">
        <f aca="false">_xlfn.IFNA(VLOOKUP(I700,Table14543[],3,FALSE()),"")</f>
        <v/>
      </c>
      <c r="L700" s="83" t="str">
        <f aca="false">CONCATENATE("",I700,""," ",J700," ",K700)</f>
        <v>  </v>
      </c>
      <c r="M700" s="85"/>
      <c r="N700" s="86"/>
      <c r="O700" s="86"/>
      <c r="P700" s="86" t="n">
        <f aca="false">N700*O700</f>
        <v>0</v>
      </c>
      <c r="Q700" s="86"/>
      <c r="R700" s="87" t="n">
        <f aca="false">(O700*N700)+Q700</f>
        <v>0</v>
      </c>
      <c r="S700" s="91"/>
    </row>
    <row r="701" customFormat="false" ht="14.25" hidden="false" customHeight="false" outlineLevel="0" collapsed="false">
      <c r="A701" s="77"/>
      <c r="B701" s="78"/>
      <c r="C701" s="79"/>
      <c r="D701" s="79"/>
      <c r="E701" s="80" t="str">
        <f aca="false">_xlfn.IFNA(VLOOKUP(C701,'بيانات الآليات '!A:G,4,FALSE()),"")</f>
        <v/>
      </c>
      <c r="F701" s="81" t="str">
        <f aca="false">_xlfn.IFNA(VLOOKUP(C701,'بيانات الآليات '!A:G,2,FALSE()),"")</f>
        <v/>
      </c>
      <c r="G701" s="81"/>
      <c r="H701" s="81" t="str">
        <f aca="false">_xlfn.IFNA(VLOOKUP(C701,'بيانات الآليات '!A:G,5,FALSE()),"")</f>
        <v/>
      </c>
      <c r="I701" s="82"/>
      <c r="J701" s="83" t="str">
        <f aca="false">_xlfn.IFNA(VLOOKUP(I701,Table14543[],2,FALSE()),"")</f>
        <v/>
      </c>
      <c r="K701" s="84" t="str">
        <f aca="false">_xlfn.IFNA(VLOOKUP(I701,Table14543[],3,FALSE()),"")</f>
        <v/>
      </c>
      <c r="L701" s="83" t="str">
        <f aca="false">CONCATENATE("",I701,""," ",J701," ",K701)</f>
        <v>  </v>
      </c>
      <c r="M701" s="85"/>
      <c r="N701" s="86"/>
      <c r="O701" s="86"/>
      <c r="P701" s="86" t="n">
        <f aca="false">N701*O701</f>
        <v>0</v>
      </c>
      <c r="Q701" s="86"/>
      <c r="R701" s="87" t="n">
        <f aca="false">(O701*N701)+Q701</f>
        <v>0</v>
      </c>
      <c r="S701" s="91"/>
    </row>
    <row r="702" customFormat="false" ht="14.25" hidden="false" customHeight="false" outlineLevel="0" collapsed="false">
      <c r="A702" s="77"/>
      <c r="B702" s="78"/>
      <c r="C702" s="79"/>
      <c r="D702" s="79"/>
      <c r="E702" s="80" t="str">
        <f aca="false">_xlfn.IFNA(VLOOKUP(C702,'بيانات الآليات '!A:G,4,FALSE()),"")</f>
        <v/>
      </c>
      <c r="F702" s="81" t="str">
        <f aca="false">_xlfn.IFNA(VLOOKUP(C702,'بيانات الآليات '!A:G,2,FALSE()),"")</f>
        <v/>
      </c>
      <c r="G702" s="81"/>
      <c r="H702" s="81" t="str">
        <f aca="false">_xlfn.IFNA(VLOOKUP(C702,'بيانات الآليات '!A:G,5,FALSE()),"")</f>
        <v/>
      </c>
      <c r="I702" s="82"/>
      <c r="J702" s="83" t="str">
        <f aca="false">_xlfn.IFNA(VLOOKUP(I702,Table14543[],2,FALSE()),"")</f>
        <v/>
      </c>
      <c r="K702" s="84" t="str">
        <f aca="false">_xlfn.IFNA(VLOOKUP(I702,Table14543[],3,FALSE()),"")</f>
        <v/>
      </c>
      <c r="L702" s="83" t="str">
        <f aca="false">CONCATENATE("",I702,""," ",J702," ",K702)</f>
        <v>  </v>
      </c>
      <c r="M702" s="85"/>
      <c r="N702" s="86"/>
      <c r="O702" s="86"/>
      <c r="P702" s="86" t="n">
        <f aca="false">N702*O702</f>
        <v>0</v>
      </c>
      <c r="Q702" s="86"/>
      <c r="R702" s="87" t="n">
        <f aca="false">(O702*N702)+Q702</f>
        <v>0</v>
      </c>
      <c r="S702" s="91"/>
    </row>
    <row r="703" customFormat="false" ht="14.25" hidden="false" customHeight="false" outlineLevel="0" collapsed="false">
      <c r="A703" s="77"/>
      <c r="B703" s="78"/>
      <c r="C703" s="79"/>
      <c r="D703" s="79"/>
      <c r="E703" s="80" t="str">
        <f aca="false">_xlfn.IFNA(VLOOKUP(C703,'بيانات الآليات '!A:G,4,FALSE()),"")</f>
        <v/>
      </c>
      <c r="F703" s="81" t="str">
        <f aca="false">_xlfn.IFNA(VLOOKUP(C703,'بيانات الآليات '!A:G,2,FALSE()),"")</f>
        <v/>
      </c>
      <c r="G703" s="81"/>
      <c r="H703" s="81" t="str">
        <f aca="false">_xlfn.IFNA(VLOOKUP(C703,'بيانات الآليات '!A:G,5,FALSE()),"")</f>
        <v/>
      </c>
      <c r="I703" s="82"/>
      <c r="J703" s="83" t="str">
        <f aca="false">_xlfn.IFNA(VLOOKUP(I703,Table14543[],2,FALSE()),"")</f>
        <v/>
      </c>
      <c r="K703" s="84" t="str">
        <f aca="false">_xlfn.IFNA(VLOOKUP(I703,Table14543[],3,FALSE()),"")</f>
        <v/>
      </c>
      <c r="L703" s="83" t="str">
        <f aca="false">CONCATENATE("",I703,""," ",J703," ",K703)</f>
        <v>  </v>
      </c>
      <c r="M703" s="85"/>
      <c r="N703" s="86"/>
      <c r="O703" s="86"/>
      <c r="P703" s="86" t="n">
        <f aca="false">N703*O703</f>
        <v>0</v>
      </c>
      <c r="Q703" s="86"/>
      <c r="R703" s="87" t="n">
        <f aca="false">(O703*N703)+Q703</f>
        <v>0</v>
      </c>
      <c r="S703" s="91"/>
    </row>
    <row r="704" customFormat="false" ht="14.25" hidden="false" customHeight="false" outlineLevel="0" collapsed="false">
      <c r="A704" s="77"/>
      <c r="B704" s="78"/>
      <c r="C704" s="79"/>
      <c r="D704" s="79"/>
      <c r="E704" s="80" t="str">
        <f aca="false">_xlfn.IFNA(VLOOKUP(C704,'بيانات الآليات '!A:G,4,FALSE()),"")</f>
        <v/>
      </c>
      <c r="F704" s="81" t="str">
        <f aca="false">_xlfn.IFNA(VLOOKUP(C704,'بيانات الآليات '!A:G,2,FALSE()),"")</f>
        <v/>
      </c>
      <c r="G704" s="81"/>
      <c r="H704" s="81" t="str">
        <f aca="false">_xlfn.IFNA(VLOOKUP(C704,'بيانات الآليات '!A:G,5,FALSE()),"")</f>
        <v/>
      </c>
      <c r="I704" s="82"/>
      <c r="J704" s="83" t="str">
        <f aca="false">_xlfn.IFNA(VLOOKUP(I704,Table14543[],2,FALSE()),"")</f>
        <v/>
      </c>
      <c r="K704" s="84" t="str">
        <f aca="false">_xlfn.IFNA(VLOOKUP(I704,Table14543[],3,FALSE()),"")</f>
        <v/>
      </c>
      <c r="L704" s="83" t="str">
        <f aca="false">CONCATENATE("",I704,""," ",J704," ",K704)</f>
        <v>  </v>
      </c>
      <c r="M704" s="85"/>
      <c r="N704" s="86"/>
      <c r="O704" s="86"/>
      <c r="P704" s="86" t="n">
        <f aca="false">N704*O704</f>
        <v>0</v>
      </c>
      <c r="Q704" s="86"/>
      <c r="R704" s="87" t="n">
        <f aca="false">(O704*N704)+Q704</f>
        <v>0</v>
      </c>
      <c r="S704" s="91"/>
    </row>
    <row r="705" customFormat="false" ht="14.25" hidden="false" customHeight="false" outlineLevel="0" collapsed="false">
      <c r="A705" s="77"/>
      <c r="B705" s="78"/>
      <c r="C705" s="79"/>
      <c r="D705" s="79"/>
      <c r="E705" s="80" t="str">
        <f aca="false">_xlfn.IFNA(VLOOKUP(C705,'بيانات الآليات '!A:G,4,FALSE()),"")</f>
        <v/>
      </c>
      <c r="F705" s="81" t="str">
        <f aca="false">_xlfn.IFNA(VLOOKUP(C705,'بيانات الآليات '!A:G,2,FALSE()),"")</f>
        <v/>
      </c>
      <c r="G705" s="81"/>
      <c r="H705" s="81" t="str">
        <f aca="false">_xlfn.IFNA(VLOOKUP(C705,'بيانات الآليات '!A:G,5,FALSE()),"")</f>
        <v/>
      </c>
      <c r="I705" s="82"/>
      <c r="J705" s="83" t="str">
        <f aca="false">_xlfn.IFNA(VLOOKUP(I705,Table14543[],2,FALSE()),"")</f>
        <v/>
      </c>
      <c r="K705" s="84" t="str">
        <f aca="false">_xlfn.IFNA(VLOOKUP(I705,Table14543[],3,FALSE()),"")</f>
        <v/>
      </c>
      <c r="L705" s="83" t="str">
        <f aca="false">CONCATENATE("",I705,""," ",J705," ",K705)</f>
        <v>  </v>
      </c>
      <c r="M705" s="85"/>
      <c r="N705" s="86"/>
      <c r="O705" s="86"/>
      <c r="P705" s="86" t="n">
        <f aca="false">N705*O705</f>
        <v>0</v>
      </c>
      <c r="Q705" s="86"/>
      <c r="R705" s="87" t="n">
        <f aca="false">(O705*N705)+Q705</f>
        <v>0</v>
      </c>
      <c r="S705" s="91"/>
    </row>
    <row r="706" customFormat="false" ht="14.25" hidden="false" customHeight="false" outlineLevel="0" collapsed="false">
      <c r="A706" s="77"/>
      <c r="B706" s="78"/>
      <c r="C706" s="79"/>
      <c r="D706" s="79"/>
      <c r="E706" s="80" t="str">
        <f aca="false">_xlfn.IFNA(VLOOKUP(C706,'بيانات الآليات '!A:G,4,FALSE()),"")</f>
        <v/>
      </c>
      <c r="F706" s="81" t="str">
        <f aca="false">_xlfn.IFNA(VLOOKUP(C706,'بيانات الآليات '!A:G,2,FALSE()),"")</f>
        <v/>
      </c>
      <c r="G706" s="81"/>
      <c r="H706" s="81" t="str">
        <f aca="false">_xlfn.IFNA(VLOOKUP(C706,'بيانات الآليات '!A:G,5,FALSE()),"")</f>
        <v/>
      </c>
      <c r="I706" s="82"/>
      <c r="J706" s="83" t="str">
        <f aca="false">_xlfn.IFNA(VLOOKUP(I706,Table14543[],2,FALSE()),"")</f>
        <v/>
      </c>
      <c r="K706" s="84" t="str">
        <f aca="false">_xlfn.IFNA(VLOOKUP(I706,Table14543[],3,FALSE()),"")</f>
        <v/>
      </c>
      <c r="L706" s="83" t="str">
        <f aca="false">CONCATENATE("",I706,""," ",J706," ",K706)</f>
        <v>  </v>
      </c>
      <c r="M706" s="85"/>
      <c r="N706" s="86"/>
      <c r="O706" s="86"/>
      <c r="P706" s="86" t="n">
        <f aca="false">N706*O706</f>
        <v>0</v>
      </c>
      <c r="Q706" s="86"/>
      <c r="R706" s="87" t="n">
        <f aca="false">(O706*N706)+Q706</f>
        <v>0</v>
      </c>
      <c r="S706" s="91"/>
    </row>
    <row r="707" customFormat="false" ht="14.25" hidden="false" customHeight="false" outlineLevel="0" collapsed="false">
      <c r="A707" s="77"/>
      <c r="B707" s="78"/>
      <c r="C707" s="79"/>
      <c r="D707" s="79"/>
      <c r="E707" s="80" t="str">
        <f aca="false">_xlfn.IFNA(VLOOKUP(C707,'بيانات الآليات '!A:G,4,FALSE()),"")</f>
        <v/>
      </c>
      <c r="F707" s="81" t="str">
        <f aca="false">_xlfn.IFNA(VLOOKUP(C707,'بيانات الآليات '!A:G,2,FALSE()),"")</f>
        <v/>
      </c>
      <c r="G707" s="81"/>
      <c r="H707" s="81" t="str">
        <f aca="false">_xlfn.IFNA(VLOOKUP(C707,'بيانات الآليات '!A:G,5,FALSE()),"")</f>
        <v/>
      </c>
      <c r="I707" s="82"/>
      <c r="J707" s="83" t="str">
        <f aca="false">_xlfn.IFNA(VLOOKUP(I707,Table14543[],2,FALSE()),"")</f>
        <v/>
      </c>
      <c r="K707" s="84" t="str">
        <f aca="false">_xlfn.IFNA(VLOOKUP(I707,Table14543[],3,FALSE()),"")</f>
        <v/>
      </c>
      <c r="L707" s="83" t="str">
        <f aca="false">CONCATENATE("",I707,""," ",J707," ",K707)</f>
        <v>  </v>
      </c>
      <c r="M707" s="85"/>
      <c r="N707" s="86"/>
      <c r="O707" s="86"/>
      <c r="P707" s="86" t="n">
        <f aca="false">N707*O707</f>
        <v>0</v>
      </c>
      <c r="Q707" s="86"/>
      <c r="R707" s="87" t="n">
        <f aca="false">(O707*N707)+Q707</f>
        <v>0</v>
      </c>
      <c r="S707" s="91"/>
    </row>
    <row r="708" customFormat="false" ht="14.25" hidden="false" customHeight="false" outlineLevel="0" collapsed="false">
      <c r="A708" s="77"/>
      <c r="B708" s="78"/>
      <c r="C708" s="79"/>
      <c r="D708" s="79"/>
      <c r="E708" s="80" t="str">
        <f aca="false">_xlfn.IFNA(VLOOKUP(C708,'بيانات الآليات '!A:G,4,FALSE()),"")</f>
        <v/>
      </c>
      <c r="F708" s="81" t="str">
        <f aca="false">_xlfn.IFNA(VLOOKUP(C708,'بيانات الآليات '!A:G,2,FALSE()),"")</f>
        <v/>
      </c>
      <c r="G708" s="81"/>
      <c r="H708" s="81" t="str">
        <f aca="false">_xlfn.IFNA(VLOOKUP(C708,'بيانات الآليات '!A:G,5,FALSE()),"")</f>
        <v/>
      </c>
      <c r="I708" s="82"/>
      <c r="J708" s="83" t="str">
        <f aca="false">_xlfn.IFNA(VLOOKUP(I708,Table14543[],2,FALSE()),"")</f>
        <v/>
      </c>
      <c r="K708" s="84" t="str">
        <f aca="false">_xlfn.IFNA(VLOOKUP(I708,Table14543[],3,FALSE()),"")</f>
        <v/>
      </c>
      <c r="L708" s="83" t="str">
        <f aca="false">CONCATENATE("",I708,""," ",J708," ",K708)</f>
        <v>  </v>
      </c>
      <c r="M708" s="85"/>
      <c r="N708" s="86"/>
      <c r="O708" s="86"/>
      <c r="P708" s="86" t="n">
        <f aca="false">N708*O708</f>
        <v>0</v>
      </c>
      <c r="Q708" s="86"/>
      <c r="R708" s="87" t="n">
        <f aca="false">(O708*N708)+Q708</f>
        <v>0</v>
      </c>
      <c r="S708" s="91"/>
    </row>
    <row r="709" customFormat="false" ht="14.25" hidden="false" customHeight="false" outlineLevel="0" collapsed="false">
      <c r="A709" s="77"/>
      <c r="B709" s="78"/>
      <c r="C709" s="79"/>
      <c r="D709" s="79"/>
      <c r="E709" s="80" t="str">
        <f aca="false">_xlfn.IFNA(VLOOKUP(C709,'بيانات الآليات '!A:G,4,FALSE()),"")</f>
        <v/>
      </c>
      <c r="F709" s="81" t="str">
        <f aca="false">_xlfn.IFNA(VLOOKUP(C709,'بيانات الآليات '!A:G,2,FALSE()),"")</f>
        <v/>
      </c>
      <c r="G709" s="81"/>
      <c r="H709" s="81" t="str">
        <f aca="false">_xlfn.IFNA(VLOOKUP(C709,'بيانات الآليات '!A:G,5,FALSE()),"")</f>
        <v/>
      </c>
      <c r="I709" s="82"/>
      <c r="J709" s="83" t="str">
        <f aca="false">_xlfn.IFNA(VLOOKUP(I709,Table14543[],2,FALSE()),"")</f>
        <v/>
      </c>
      <c r="K709" s="84" t="str">
        <f aca="false">_xlfn.IFNA(VLOOKUP(I709,Table14543[],3,FALSE()),"")</f>
        <v/>
      </c>
      <c r="L709" s="83" t="str">
        <f aca="false">CONCATENATE("",I709,""," ",J709," ",K709)</f>
        <v>  </v>
      </c>
      <c r="M709" s="85"/>
      <c r="N709" s="86"/>
      <c r="O709" s="86"/>
      <c r="P709" s="86" t="n">
        <f aca="false">N709*O709</f>
        <v>0</v>
      </c>
      <c r="Q709" s="86"/>
      <c r="R709" s="87" t="n">
        <f aca="false">(O709*N709)+Q709</f>
        <v>0</v>
      </c>
      <c r="S709" s="91"/>
    </row>
    <row r="710" customFormat="false" ht="14.25" hidden="false" customHeight="false" outlineLevel="0" collapsed="false">
      <c r="A710" s="77"/>
      <c r="B710" s="78"/>
      <c r="C710" s="79"/>
      <c r="D710" s="79"/>
      <c r="E710" s="80" t="str">
        <f aca="false">_xlfn.IFNA(VLOOKUP(C710,'بيانات الآليات '!A:G,4,FALSE()),"")</f>
        <v/>
      </c>
      <c r="F710" s="81" t="str">
        <f aca="false">_xlfn.IFNA(VLOOKUP(C710,'بيانات الآليات '!A:G,2,FALSE()),"")</f>
        <v/>
      </c>
      <c r="G710" s="81"/>
      <c r="H710" s="81" t="str">
        <f aca="false">_xlfn.IFNA(VLOOKUP(C710,'بيانات الآليات '!A:G,5,FALSE()),"")</f>
        <v/>
      </c>
      <c r="I710" s="82"/>
      <c r="J710" s="83" t="str">
        <f aca="false">_xlfn.IFNA(VLOOKUP(I710,Table14543[],2,FALSE()),"")</f>
        <v/>
      </c>
      <c r="K710" s="84" t="str">
        <f aca="false">_xlfn.IFNA(VLOOKUP(I710,Table14543[],3,FALSE()),"")</f>
        <v/>
      </c>
      <c r="L710" s="83" t="str">
        <f aca="false">CONCATENATE("",I710,""," ",J710," ",K710)</f>
        <v>  </v>
      </c>
      <c r="M710" s="85"/>
      <c r="N710" s="86"/>
      <c r="O710" s="86"/>
      <c r="P710" s="86" t="n">
        <f aca="false">N710*O710</f>
        <v>0</v>
      </c>
      <c r="Q710" s="86"/>
      <c r="R710" s="87" t="n">
        <f aca="false">(O710*N710)+Q710</f>
        <v>0</v>
      </c>
      <c r="S710" s="91"/>
    </row>
    <row r="711" customFormat="false" ht="14.25" hidden="false" customHeight="false" outlineLevel="0" collapsed="false">
      <c r="A711" s="77"/>
      <c r="B711" s="78"/>
      <c r="C711" s="79"/>
      <c r="D711" s="79"/>
      <c r="E711" s="80" t="str">
        <f aca="false">_xlfn.IFNA(VLOOKUP(C711,'بيانات الآليات '!A:G,4,FALSE()),"")</f>
        <v/>
      </c>
      <c r="F711" s="81" t="str">
        <f aca="false">_xlfn.IFNA(VLOOKUP(C711,'بيانات الآليات '!A:G,2,FALSE()),"")</f>
        <v/>
      </c>
      <c r="G711" s="81"/>
      <c r="H711" s="81" t="str">
        <f aca="false">_xlfn.IFNA(VLOOKUP(C711,'بيانات الآليات '!A:G,5,FALSE()),"")</f>
        <v/>
      </c>
      <c r="I711" s="82"/>
      <c r="J711" s="83" t="str">
        <f aca="false">_xlfn.IFNA(VLOOKUP(I711,Table14543[],2,FALSE()),"")</f>
        <v/>
      </c>
      <c r="K711" s="84" t="str">
        <f aca="false">_xlfn.IFNA(VLOOKUP(I711,Table14543[],3,FALSE()),"")</f>
        <v/>
      </c>
      <c r="L711" s="83" t="str">
        <f aca="false">CONCATENATE("",I711,""," ",J711," ",K711)</f>
        <v>  </v>
      </c>
      <c r="M711" s="85"/>
      <c r="N711" s="86"/>
      <c r="O711" s="86"/>
      <c r="P711" s="86" t="n">
        <f aca="false">N711*O711</f>
        <v>0</v>
      </c>
      <c r="Q711" s="86"/>
      <c r="R711" s="87" t="n">
        <f aca="false">(O711*N711)+Q711</f>
        <v>0</v>
      </c>
      <c r="S711" s="91"/>
    </row>
    <row r="712" customFormat="false" ht="14.25" hidden="false" customHeight="false" outlineLevel="0" collapsed="false">
      <c r="A712" s="77"/>
      <c r="B712" s="78"/>
      <c r="C712" s="79"/>
      <c r="D712" s="79"/>
      <c r="E712" s="80" t="str">
        <f aca="false">_xlfn.IFNA(VLOOKUP(C712,'بيانات الآليات '!A:G,4,FALSE()),"")</f>
        <v/>
      </c>
      <c r="F712" s="81" t="str">
        <f aca="false">_xlfn.IFNA(VLOOKUP(C712,'بيانات الآليات '!A:G,2,FALSE()),"")</f>
        <v/>
      </c>
      <c r="G712" s="81"/>
      <c r="H712" s="81" t="str">
        <f aca="false">_xlfn.IFNA(VLOOKUP(C712,'بيانات الآليات '!A:G,5,FALSE()),"")</f>
        <v/>
      </c>
      <c r="I712" s="82"/>
      <c r="J712" s="83" t="str">
        <f aca="false">_xlfn.IFNA(VLOOKUP(I712,Table14543[],2,FALSE()),"")</f>
        <v/>
      </c>
      <c r="K712" s="84" t="str">
        <f aca="false">_xlfn.IFNA(VLOOKUP(I712,Table14543[],3,FALSE()),"")</f>
        <v/>
      </c>
      <c r="L712" s="83" t="str">
        <f aca="false">CONCATENATE("",I712,""," ",J712," ",K712)</f>
        <v>  </v>
      </c>
      <c r="M712" s="85"/>
      <c r="N712" s="86"/>
      <c r="O712" s="86"/>
      <c r="P712" s="86" t="n">
        <f aca="false">N712*O712</f>
        <v>0</v>
      </c>
      <c r="Q712" s="86"/>
      <c r="R712" s="87" t="n">
        <f aca="false">(O712*N712)+Q712</f>
        <v>0</v>
      </c>
      <c r="S712" s="91"/>
    </row>
    <row r="713" customFormat="false" ht="14.25" hidden="false" customHeight="false" outlineLevel="0" collapsed="false">
      <c r="A713" s="77"/>
      <c r="B713" s="78"/>
      <c r="C713" s="79"/>
      <c r="D713" s="79"/>
      <c r="E713" s="80"/>
      <c r="F713" s="86"/>
      <c r="G713" s="86"/>
      <c r="H713" s="86"/>
      <c r="I713" s="82"/>
      <c r="J713" s="83"/>
      <c r="K713" s="84"/>
      <c r="L713" s="83"/>
      <c r="M713" s="85"/>
      <c r="N713" s="86"/>
      <c r="O713" s="86"/>
      <c r="P713" s="86"/>
      <c r="Q713" s="86"/>
      <c r="R713" s="87"/>
      <c r="S713" s="91"/>
    </row>
    <row r="714" customFormat="false" ht="14.25" hidden="false" customHeight="false" outlineLevel="0" collapsed="false">
      <c r="A714" s="77"/>
      <c r="B714" s="78"/>
      <c r="C714" s="79"/>
      <c r="D714" s="79"/>
      <c r="E714" s="80"/>
      <c r="F714" s="86"/>
      <c r="G714" s="86"/>
      <c r="H714" s="86"/>
      <c r="I714" s="82"/>
      <c r="J714" s="83"/>
      <c r="K714" s="84"/>
      <c r="L714" s="83"/>
      <c r="M714" s="85"/>
      <c r="N714" s="86"/>
      <c r="O714" s="86"/>
      <c r="P714" s="86"/>
      <c r="Q714" s="86"/>
      <c r="R714" s="87"/>
      <c r="S714" s="91"/>
    </row>
    <row r="715" customFormat="false" ht="14.25" hidden="false" customHeight="false" outlineLevel="0" collapsed="false">
      <c r="A715" s="77"/>
      <c r="B715" s="78"/>
      <c r="C715" s="79"/>
      <c r="D715" s="79"/>
      <c r="E715" s="80"/>
      <c r="F715" s="86"/>
      <c r="G715" s="86"/>
      <c r="H715" s="86"/>
      <c r="I715" s="82"/>
      <c r="J715" s="83"/>
      <c r="K715" s="84"/>
      <c r="L715" s="83"/>
      <c r="M715" s="85"/>
      <c r="N715" s="86"/>
      <c r="O715" s="86"/>
      <c r="P715" s="86"/>
      <c r="Q715" s="86"/>
      <c r="R715" s="87"/>
      <c r="S715" s="91"/>
    </row>
    <row r="716" customFormat="false" ht="14.25" hidden="false" customHeight="false" outlineLevel="0" collapsed="false">
      <c r="A716" s="93"/>
      <c r="B716" s="94"/>
      <c r="C716" s="95"/>
      <c r="D716" s="95"/>
      <c r="E716" s="95"/>
      <c r="F716" s="93"/>
      <c r="G716" s="93"/>
      <c r="H716" s="93"/>
      <c r="I716" s="96"/>
      <c r="J716" s="97"/>
      <c r="K716" s="98"/>
      <c r="L716" s="97"/>
      <c r="M716" s="93"/>
      <c r="N716" s="93"/>
      <c r="O716" s="93"/>
      <c r="P716" s="93"/>
      <c r="Q716" s="93"/>
      <c r="R716" s="99" t="n">
        <f aca="false">SUM(R2:R715)</f>
        <v>9750</v>
      </c>
      <c r="S716" s="100"/>
    </row>
  </sheetData>
  <autoFilter ref="A1:S712"/>
  <dataValidations count="4">
    <dataValidation allowBlank="true" errorStyle="stop" operator="between" showDropDown="false" showErrorMessage="true" showInputMessage="true" sqref="M2:M715" type="list">
      <formula1>"لتر,عدد,كجم,أخرى"</formula1>
      <formula2>0</formula2>
    </dataValidation>
    <dataValidation allowBlank="true" errorStyle="stop" operator="between" showDropDown="false" showErrorMessage="true" showInputMessage="true" sqref="I2:I32" type="list">
      <formula1>'بنود أعمال الصيانة'!$A$2:$A$128</formula1>
      <formula2>0</formula2>
    </dataValidation>
    <dataValidation allowBlank="true" errorStyle="stop" operator="between" showDropDown="false" showErrorMessage="true" showInputMessage="true" sqref="C2:C18 C19:D715" type="list">
      <formula1>'بيانات الآليات '!$A$2:$A$41</formula1>
      <formula2>0</formula2>
    </dataValidation>
    <dataValidation allowBlank="true" errorStyle="stop" operator="between" showDropDown="false" showErrorMessage="true" showInputMessage="true" sqref="D2:D18" type="none">
      <formula1>'بيانات الآليات '!$A$2:$A$41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en-IL</dc:language>
  <cp:lastModifiedBy/>
  <dcterms:modified xsi:type="dcterms:W3CDTF">2025-12-23T12:11:21Z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